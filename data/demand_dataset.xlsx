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upp-route-rl\data\"/>
    </mc:Choice>
  </mc:AlternateContent>
  <xr:revisionPtr revIDLastSave="0" documentId="13_ncr:1_{CA952D5B-3219-42B8-8186-CFBF9F923715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Hoja1" sheetId="2" r:id="rId1"/>
    <sheet name="demanda" sheetId="1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B33" i="2" l="1"/>
  <c r="B26" i="2"/>
  <c r="B22" i="2"/>
  <c r="P5" i="2"/>
  <c r="Q5" i="2"/>
  <c r="R5" i="2" s="1"/>
  <c r="T5" i="2"/>
  <c r="P6" i="2"/>
  <c r="Q6" i="2"/>
  <c r="R6" i="2"/>
  <c r="S6" i="2" s="1"/>
  <c r="T6" i="2"/>
  <c r="P7" i="2"/>
  <c r="Q7" i="2"/>
  <c r="R7" i="2"/>
  <c r="U7" i="2" s="1"/>
  <c r="T7" i="2"/>
  <c r="P8" i="2"/>
  <c r="Q8" i="2"/>
  <c r="R8" i="2"/>
  <c r="S8" i="2" s="1"/>
  <c r="T8" i="2"/>
  <c r="P9" i="2"/>
  <c r="Q9" i="2"/>
  <c r="R9" i="2"/>
  <c r="U9" i="2" s="1"/>
  <c r="T9" i="2"/>
  <c r="P10" i="2"/>
  <c r="Q10" i="2"/>
  <c r="R10" i="2"/>
  <c r="S10" i="2" s="1"/>
  <c r="T10" i="2"/>
  <c r="P11" i="2"/>
  <c r="Q11" i="2"/>
  <c r="R11" i="2"/>
  <c r="U11" i="2" s="1"/>
  <c r="T11" i="2"/>
  <c r="P12" i="2"/>
  <c r="Q12" i="2"/>
  <c r="R12" i="2"/>
  <c r="S12" i="2" s="1"/>
  <c r="T12" i="2"/>
  <c r="P13" i="2"/>
  <c r="Q13" i="2"/>
  <c r="R13" i="2"/>
  <c r="U13" i="2" s="1"/>
  <c r="T13" i="2"/>
  <c r="P14" i="2"/>
  <c r="Q14" i="2"/>
  <c r="R14" i="2"/>
  <c r="S14" i="2" s="1"/>
  <c r="T14" i="2"/>
  <c r="P15" i="2"/>
  <c r="Q15" i="2"/>
  <c r="R15" i="2"/>
  <c r="U15" i="2" s="1"/>
  <c r="T15" i="2"/>
  <c r="P16" i="2"/>
  <c r="Q16" i="2"/>
  <c r="R16" i="2"/>
  <c r="S16" i="2" s="1"/>
  <c r="T16" i="2"/>
  <c r="P17" i="2"/>
  <c r="Q17" i="2"/>
  <c r="R17" i="2"/>
  <c r="U17" i="2" s="1"/>
  <c r="T17" i="2"/>
  <c r="P18" i="2"/>
  <c r="Q18" i="2"/>
  <c r="R18" i="2"/>
  <c r="S18" i="2" s="1"/>
  <c r="T18" i="2"/>
  <c r="P19" i="2"/>
  <c r="Q19" i="2"/>
  <c r="R19" i="2"/>
  <c r="U19" i="2" s="1"/>
  <c r="T19" i="2"/>
  <c r="P20" i="2"/>
  <c r="Q20" i="2"/>
  <c r="R20" i="2"/>
  <c r="S20" i="2" s="1"/>
  <c r="T20" i="2"/>
  <c r="P21" i="2"/>
  <c r="Q21" i="2"/>
  <c r="R21" i="2"/>
  <c r="U21" i="2" s="1"/>
  <c r="T21" i="2"/>
  <c r="P22" i="2"/>
  <c r="Q22" i="2"/>
  <c r="R22" i="2"/>
  <c r="S22" i="2" s="1"/>
  <c r="T22" i="2"/>
  <c r="P23" i="2"/>
  <c r="Q23" i="2"/>
  <c r="R23" i="2"/>
  <c r="U23" i="2" s="1"/>
  <c r="T23" i="2"/>
  <c r="P24" i="2"/>
  <c r="Q24" i="2"/>
  <c r="R24" i="2"/>
  <c r="S24" i="2" s="1"/>
  <c r="T24" i="2"/>
  <c r="P25" i="2"/>
  <c r="Q25" i="2"/>
  <c r="R25" i="2"/>
  <c r="U25" i="2" s="1"/>
  <c r="T25" i="2"/>
  <c r="P26" i="2"/>
  <c r="Q26" i="2"/>
  <c r="R26" i="2"/>
  <c r="S26" i="2" s="1"/>
  <c r="T26" i="2"/>
  <c r="P27" i="2"/>
  <c r="Q27" i="2"/>
  <c r="R27" i="2"/>
  <c r="U27" i="2" s="1"/>
  <c r="T27" i="2"/>
  <c r="P28" i="2"/>
  <c r="Q28" i="2"/>
  <c r="R28" i="2"/>
  <c r="S28" i="2" s="1"/>
  <c r="T28" i="2"/>
  <c r="P29" i="2"/>
  <c r="Q29" i="2"/>
  <c r="R29" i="2"/>
  <c r="U29" i="2" s="1"/>
  <c r="T29" i="2"/>
  <c r="P30" i="2"/>
  <c r="Q30" i="2"/>
  <c r="R30" i="2"/>
  <c r="S30" i="2" s="1"/>
  <c r="T30" i="2"/>
  <c r="P31" i="2"/>
  <c r="Q31" i="2"/>
  <c r="R31" i="2"/>
  <c r="U31" i="2" s="1"/>
  <c r="T31" i="2"/>
  <c r="P32" i="2"/>
  <c r="Q32" i="2"/>
  <c r="R32" i="2"/>
  <c r="S32" i="2" s="1"/>
  <c r="T32" i="2"/>
  <c r="P33" i="2"/>
  <c r="Q33" i="2"/>
  <c r="R33" i="2"/>
  <c r="U33" i="2" s="1"/>
  <c r="T33" i="2"/>
  <c r="P34" i="2"/>
  <c r="Q34" i="2"/>
  <c r="R34" i="2"/>
  <c r="S34" i="2" s="1"/>
  <c r="T34" i="2"/>
  <c r="P35" i="2"/>
  <c r="Q35" i="2"/>
  <c r="R35" i="2"/>
  <c r="U35" i="2" s="1"/>
  <c r="T35" i="2"/>
  <c r="P36" i="2"/>
  <c r="Q36" i="2"/>
  <c r="R36" i="2"/>
  <c r="S36" i="2" s="1"/>
  <c r="T36" i="2"/>
  <c r="P37" i="2"/>
  <c r="Q37" i="2"/>
  <c r="R37" i="2"/>
  <c r="U37" i="2" s="1"/>
  <c r="T37" i="2"/>
  <c r="P38" i="2"/>
  <c r="Q38" i="2"/>
  <c r="R38" i="2"/>
  <c r="S38" i="2" s="1"/>
  <c r="T38" i="2"/>
  <c r="P39" i="2"/>
  <c r="Q39" i="2"/>
  <c r="R39" i="2"/>
  <c r="U39" i="2" s="1"/>
  <c r="T39" i="2"/>
  <c r="P40" i="2"/>
  <c r="Q40" i="2"/>
  <c r="R40" i="2"/>
  <c r="S40" i="2" s="1"/>
  <c r="T40" i="2"/>
  <c r="P41" i="2"/>
  <c r="Q41" i="2"/>
  <c r="R41" i="2"/>
  <c r="U41" i="2" s="1"/>
  <c r="T41" i="2"/>
  <c r="P42" i="2"/>
  <c r="Q42" i="2"/>
  <c r="R42" i="2"/>
  <c r="S42" i="2" s="1"/>
  <c r="T42" i="2"/>
  <c r="P43" i="2"/>
  <c r="Q43" i="2"/>
  <c r="R43" i="2"/>
  <c r="U43" i="2" s="1"/>
  <c r="T43" i="2"/>
  <c r="P44" i="2"/>
  <c r="Q44" i="2"/>
  <c r="R44" i="2"/>
  <c r="S44" i="2" s="1"/>
  <c r="T44" i="2"/>
  <c r="P45" i="2"/>
  <c r="Q45" i="2"/>
  <c r="R45" i="2"/>
  <c r="U45" i="2" s="1"/>
  <c r="T45" i="2"/>
  <c r="P46" i="2"/>
  <c r="Q46" i="2"/>
  <c r="R46" i="2"/>
  <c r="S46" i="2" s="1"/>
  <c r="T46" i="2"/>
  <c r="P47" i="2"/>
  <c r="Q47" i="2"/>
  <c r="R47" i="2"/>
  <c r="U47" i="2" s="1"/>
  <c r="T47" i="2"/>
  <c r="P48" i="2"/>
  <c r="Q48" i="2"/>
  <c r="R48" i="2"/>
  <c r="S48" i="2" s="1"/>
  <c r="T48" i="2"/>
  <c r="P49" i="2"/>
  <c r="Q49" i="2"/>
  <c r="R49" i="2"/>
  <c r="U49" i="2" s="1"/>
  <c r="T49" i="2"/>
  <c r="P50" i="2"/>
  <c r="Q50" i="2"/>
  <c r="R50" i="2"/>
  <c r="S50" i="2" s="1"/>
  <c r="T50" i="2"/>
  <c r="P51" i="2"/>
  <c r="Q51" i="2"/>
  <c r="R51" i="2"/>
  <c r="U51" i="2" s="1"/>
  <c r="T51" i="2"/>
  <c r="P52" i="2"/>
  <c r="Q52" i="2"/>
  <c r="R52" i="2"/>
  <c r="S52" i="2" s="1"/>
  <c r="T52" i="2"/>
  <c r="P53" i="2"/>
  <c r="Q53" i="2"/>
  <c r="R53" i="2"/>
  <c r="U53" i="2" s="1"/>
  <c r="T53" i="2"/>
  <c r="P54" i="2"/>
  <c r="Q54" i="2"/>
  <c r="R54" i="2"/>
  <c r="S54" i="2" s="1"/>
  <c r="T54" i="2"/>
  <c r="P55" i="2"/>
  <c r="Q55" i="2"/>
  <c r="R55" i="2"/>
  <c r="U55" i="2" s="1"/>
  <c r="T55" i="2"/>
  <c r="P56" i="2"/>
  <c r="Q56" i="2"/>
  <c r="R56" i="2"/>
  <c r="S56" i="2" s="1"/>
  <c r="T56" i="2"/>
  <c r="P57" i="2"/>
  <c r="Q57" i="2"/>
  <c r="R57" i="2"/>
  <c r="U57" i="2" s="1"/>
  <c r="T57" i="2"/>
  <c r="P58" i="2"/>
  <c r="Q58" i="2"/>
  <c r="R58" i="2"/>
  <c r="S58" i="2" s="1"/>
  <c r="T58" i="2"/>
  <c r="P59" i="2"/>
  <c r="Q59" i="2"/>
  <c r="R59" i="2"/>
  <c r="U59" i="2" s="1"/>
  <c r="T59" i="2"/>
  <c r="P60" i="2"/>
  <c r="Q60" i="2"/>
  <c r="R60" i="2"/>
  <c r="S60" i="2" s="1"/>
  <c r="T60" i="2"/>
  <c r="P61" i="2"/>
  <c r="Q61" i="2"/>
  <c r="R61" i="2"/>
  <c r="T61" i="2"/>
  <c r="P62" i="2"/>
  <c r="Q62" i="2"/>
  <c r="R62" i="2"/>
  <c r="S62" i="2" s="1"/>
  <c r="T62" i="2"/>
  <c r="P63" i="2"/>
  <c r="Q63" i="2"/>
  <c r="R63" i="2"/>
  <c r="T63" i="2"/>
  <c r="P64" i="2"/>
  <c r="Q64" i="2"/>
  <c r="R64" i="2"/>
  <c r="S64" i="2" s="1"/>
  <c r="T64" i="2"/>
  <c r="P65" i="2"/>
  <c r="Q65" i="2"/>
  <c r="R65" i="2"/>
  <c r="T65" i="2"/>
  <c r="P66" i="2"/>
  <c r="Q66" i="2"/>
  <c r="R66" i="2"/>
  <c r="S66" i="2" s="1"/>
  <c r="T66" i="2"/>
  <c r="P67" i="2"/>
  <c r="Q67" i="2"/>
  <c r="R67" i="2"/>
  <c r="T67" i="2"/>
  <c r="P68" i="2"/>
  <c r="Q68" i="2"/>
  <c r="R68" i="2"/>
  <c r="S68" i="2" s="1"/>
  <c r="T68" i="2"/>
  <c r="P69" i="2"/>
  <c r="Q69" i="2"/>
  <c r="R69" i="2"/>
  <c r="T69" i="2"/>
  <c r="P70" i="2"/>
  <c r="Q70" i="2"/>
  <c r="R70" i="2"/>
  <c r="S70" i="2" s="1"/>
  <c r="T70" i="2"/>
  <c r="P71" i="2"/>
  <c r="Q71" i="2"/>
  <c r="R71" i="2"/>
  <c r="T71" i="2"/>
  <c r="P72" i="2"/>
  <c r="Q72" i="2"/>
  <c r="R72" i="2"/>
  <c r="S72" i="2" s="1"/>
  <c r="T72" i="2"/>
  <c r="P73" i="2"/>
  <c r="Q73" i="2"/>
  <c r="R73" i="2"/>
  <c r="T73" i="2"/>
  <c r="P74" i="2"/>
  <c r="Q74" i="2"/>
  <c r="R74" i="2"/>
  <c r="S74" i="2" s="1"/>
  <c r="T74" i="2"/>
  <c r="P75" i="2"/>
  <c r="Q75" i="2"/>
  <c r="R75" i="2"/>
  <c r="T75" i="2"/>
  <c r="P76" i="2"/>
  <c r="Q76" i="2"/>
  <c r="R76" i="2"/>
  <c r="S76" i="2" s="1"/>
  <c r="T76" i="2"/>
  <c r="P77" i="2"/>
  <c r="Q77" i="2"/>
  <c r="R77" i="2"/>
  <c r="T77" i="2"/>
  <c r="P78" i="2"/>
  <c r="Q78" i="2"/>
  <c r="R78" i="2"/>
  <c r="S78" i="2" s="1"/>
  <c r="T78" i="2"/>
  <c r="P79" i="2"/>
  <c r="Q79" i="2"/>
  <c r="R79" i="2"/>
  <c r="T79" i="2"/>
  <c r="P80" i="2"/>
  <c r="Q80" i="2"/>
  <c r="R80" i="2"/>
  <c r="S80" i="2" s="1"/>
  <c r="T80" i="2"/>
  <c r="P81" i="2"/>
  <c r="Q81" i="2"/>
  <c r="R81" i="2"/>
  <c r="T81" i="2"/>
  <c r="P82" i="2"/>
  <c r="Q82" i="2"/>
  <c r="R82" i="2"/>
  <c r="T82" i="2"/>
  <c r="P83" i="2"/>
  <c r="Q83" i="2"/>
  <c r="R83" i="2"/>
  <c r="U83" i="2" s="1"/>
  <c r="T83" i="2"/>
  <c r="P84" i="2"/>
  <c r="Q84" i="2"/>
  <c r="R84" i="2" s="1"/>
  <c r="S84" i="2" s="1"/>
  <c r="T84" i="2"/>
  <c r="U84" i="2"/>
  <c r="P85" i="2"/>
  <c r="Q85" i="2"/>
  <c r="R85" i="2"/>
  <c r="U85" i="2" s="1"/>
  <c r="S85" i="2"/>
  <c r="T85" i="2"/>
  <c r="P86" i="2"/>
  <c r="Q86" i="2"/>
  <c r="R86" i="2"/>
  <c r="T86" i="2"/>
  <c r="P87" i="2"/>
  <c r="Q87" i="2"/>
  <c r="R87" i="2"/>
  <c r="U87" i="2" s="1"/>
  <c r="T87" i="2"/>
  <c r="P88" i="2"/>
  <c r="Q88" i="2"/>
  <c r="R88" i="2" s="1"/>
  <c r="S88" i="2" s="1"/>
  <c r="T88" i="2"/>
  <c r="P89" i="2"/>
  <c r="Q89" i="2"/>
  <c r="R89" i="2"/>
  <c r="U89" i="2" s="1"/>
  <c r="S89" i="2"/>
  <c r="T89" i="2"/>
  <c r="P90" i="2"/>
  <c r="Q90" i="2"/>
  <c r="R90" i="2"/>
  <c r="T90" i="2"/>
  <c r="P91" i="2"/>
  <c r="Q91" i="2"/>
  <c r="R91" i="2" s="1"/>
  <c r="T91" i="2"/>
  <c r="P92" i="2"/>
  <c r="Q92" i="2"/>
  <c r="R92" i="2"/>
  <c r="T92" i="2"/>
  <c r="P93" i="2"/>
  <c r="Q93" i="2"/>
  <c r="R93" i="2" s="1"/>
  <c r="T93" i="2"/>
  <c r="P94" i="2"/>
  <c r="Q94" i="2"/>
  <c r="R94" i="2"/>
  <c r="T94" i="2"/>
  <c r="P95" i="2"/>
  <c r="Q95" i="2"/>
  <c r="R95" i="2" s="1"/>
  <c r="T95" i="2"/>
  <c r="P96" i="2"/>
  <c r="Q96" i="2"/>
  <c r="R96" i="2"/>
  <c r="T96" i="2"/>
  <c r="P97" i="2"/>
  <c r="Q97" i="2"/>
  <c r="R97" i="2" s="1"/>
  <c r="T97" i="2"/>
  <c r="P98" i="2"/>
  <c r="Q98" i="2"/>
  <c r="R98" i="2"/>
  <c r="T98" i="2"/>
  <c r="P99" i="2"/>
  <c r="Q99" i="2"/>
  <c r="R99" i="2" s="1"/>
  <c r="T99" i="2"/>
  <c r="P100" i="2"/>
  <c r="Q100" i="2"/>
  <c r="R100" i="2"/>
  <c r="T100" i="2"/>
  <c r="P101" i="2"/>
  <c r="Q101" i="2"/>
  <c r="R101" i="2" s="1"/>
  <c r="T101" i="2"/>
  <c r="P102" i="2"/>
  <c r="Q102" i="2"/>
  <c r="R102" i="2"/>
  <c r="T102" i="2"/>
  <c r="P103" i="2"/>
  <c r="Q103" i="2"/>
  <c r="R103" i="2" s="1"/>
  <c r="T103" i="2"/>
  <c r="P104" i="2"/>
  <c r="Q104" i="2"/>
  <c r="R104" i="2"/>
  <c r="T104" i="2"/>
  <c r="P105" i="2"/>
  <c r="Q105" i="2"/>
  <c r="R105" i="2" s="1"/>
  <c r="T105" i="2"/>
  <c r="P106" i="2"/>
  <c r="Q106" i="2"/>
  <c r="R106" i="2"/>
  <c r="T106" i="2"/>
  <c r="P107" i="2"/>
  <c r="Q107" i="2"/>
  <c r="R107" i="2" s="1"/>
  <c r="T107" i="2"/>
  <c r="P108" i="2"/>
  <c r="Q108" i="2"/>
  <c r="R108" i="2"/>
  <c r="T108" i="2"/>
  <c r="P109" i="2"/>
  <c r="Q109" i="2"/>
  <c r="R109" i="2" s="1"/>
  <c r="T109" i="2"/>
  <c r="P110" i="2"/>
  <c r="Q110" i="2"/>
  <c r="R110" i="2"/>
  <c r="T110" i="2"/>
  <c r="P111" i="2"/>
  <c r="Q111" i="2"/>
  <c r="R111" i="2" s="1"/>
  <c r="T111" i="2"/>
  <c r="P112" i="2"/>
  <c r="Q112" i="2"/>
  <c r="R112" i="2"/>
  <c r="T112" i="2"/>
  <c r="P113" i="2"/>
  <c r="Q113" i="2"/>
  <c r="R113" i="2" s="1"/>
  <c r="T113" i="2"/>
  <c r="P114" i="2"/>
  <c r="Q114" i="2"/>
  <c r="R114" i="2"/>
  <c r="T114" i="2"/>
  <c r="P115" i="2"/>
  <c r="Q115" i="2"/>
  <c r="R115" i="2" s="1"/>
  <c r="T115" i="2"/>
  <c r="P116" i="2"/>
  <c r="Q116" i="2"/>
  <c r="R116" i="2"/>
  <c r="T116" i="2"/>
  <c r="P117" i="2"/>
  <c r="Q117" i="2"/>
  <c r="R117" i="2" s="1"/>
  <c r="T117" i="2"/>
  <c r="P118" i="2"/>
  <c r="Q118" i="2"/>
  <c r="R118" i="2"/>
  <c r="T118" i="2"/>
  <c r="P119" i="2"/>
  <c r="Q119" i="2"/>
  <c r="R119" i="2" s="1"/>
  <c r="T119" i="2"/>
  <c r="P120" i="2"/>
  <c r="Q120" i="2"/>
  <c r="R120" i="2"/>
  <c r="T120" i="2"/>
  <c r="P121" i="2"/>
  <c r="Q121" i="2"/>
  <c r="R121" i="2" s="1"/>
  <c r="T121" i="2"/>
  <c r="P122" i="2"/>
  <c r="Q122" i="2"/>
  <c r="R122" i="2"/>
  <c r="T122" i="2"/>
  <c r="P123" i="2"/>
  <c r="Q123" i="2"/>
  <c r="R123" i="2" s="1"/>
  <c r="T123" i="2"/>
  <c r="P124" i="2"/>
  <c r="Q124" i="2"/>
  <c r="R124" i="2"/>
  <c r="T124" i="2"/>
  <c r="P125" i="2"/>
  <c r="Q125" i="2"/>
  <c r="R125" i="2" s="1"/>
  <c r="T125" i="2"/>
  <c r="P126" i="2"/>
  <c r="Q126" i="2"/>
  <c r="R126" i="2"/>
  <c r="T126" i="2"/>
  <c r="P127" i="2"/>
  <c r="Q127" i="2"/>
  <c r="R127" i="2" s="1"/>
  <c r="T127" i="2"/>
  <c r="P128" i="2"/>
  <c r="Q128" i="2"/>
  <c r="R128" i="2"/>
  <c r="T128" i="2"/>
  <c r="P129" i="2"/>
  <c r="Q129" i="2"/>
  <c r="R129" i="2" s="1"/>
  <c r="T129" i="2"/>
  <c r="P130" i="2"/>
  <c r="Q130" i="2"/>
  <c r="R130" i="2"/>
  <c r="T130" i="2"/>
  <c r="P131" i="2"/>
  <c r="Q131" i="2"/>
  <c r="R131" i="2" s="1"/>
  <c r="T131" i="2"/>
  <c r="P132" i="2"/>
  <c r="Q132" i="2"/>
  <c r="R132" i="2"/>
  <c r="T132" i="2"/>
  <c r="P133" i="2"/>
  <c r="Q133" i="2"/>
  <c r="R133" i="2" s="1"/>
  <c r="T133" i="2"/>
  <c r="P134" i="2"/>
  <c r="Q134" i="2"/>
  <c r="R134" i="2"/>
  <c r="T134" i="2"/>
  <c r="P135" i="2"/>
  <c r="Q135" i="2"/>
  <c r="R135" i="2" s="1"/>
  <c r="T135" i="2"/>
  <c r="P136" i="2"/>
  <c r="Q136" i="2"/>
  <c r="R136" i="2"/>
  <c r="T136" i="2"/>
  <c r="P137" i="2"/>
  <c r="Q137" i="2"/>
  <c r="R137" i="2" s="1"/>
  <c r="T137" i="2"/>
  <c r="P138" i="2"/>
  <c r="Q138" i="2"/>
  <c r="R138" i="2"/>
  <c r="T138" i="2"/>
  <c r="P139" i="2"/>
  <c r="Q139" i="2"/>
  <c r="R139" i="2" s="1"/>
  <c r="T139" i="2"/>
  <c r="P140" i="2"/>
  <c r="Q140" i="2"/>
  <c r="R140" i="2"/>
  <c r="T140" i="2"/>
  <c r="P141" i="2"/>
  <c r="Q141" i="2"/>
  <c r="R141" i="2" s="1"/>
  <c r="T141" i="2"/>
  <c r="P142" i="2"/>
  <c r="Q142" i="2"/>
  <c r="R142" i="2"/>
  <c r="T142" i="2"/>
  <c r="P143" i="2"/>
  <c r="Q143" i="2"/>
  <c r="R143" i="2" s="1"/>
  <c r="T143" i="2"/>
  <c r="P144" i="2"/>
  <c r="Q144" i="2"/>
  <c r="R144" i="2"/>
  <c r="T144" i="2"/>
  <c r="P145" i="2"/>
  <c r="Q145" i="2"/>
  <c r="R145" i="2" s="1"/>
  <c r="T145" i="2"/>
  <c r="P146" i="2"/>
  <c r="Q146" i="2"/>
  <c r="R146" i="2"/>
  <c r="T146" i="2"/>
  <c r="P147" i="2"/>
  <c r="Q147" i="2"/>
  <c r="R147" i="2" s="1"/>
  <c r="T147" i="2"/>
  <c r="P148" i="2"/>
  <c r="Q148" i="2"/>
  <c r="R148" i="2"/>
  <c r="T148" i="2"/>
  <c r="P149" i="2"/>
  <c r="Q149" i="2"/>
  <c r="R149" i="2" s="1"/>
  <c r="T149" i="2"/>
  <c r="P150" i="2"/>
  <c r="Q150" i="2"/>
  <c r="R150" i="2"/>
  <c r="T150" i="2"/>
  <c r="P151" i="2"/>
  <c r="Q151" i="2"/>
  <c r="R151" i="2" s="1"/>
  <c r="T151" i="2"/>
  <c r="P152" i="2"/>
  <c r="Q152" i="2"/>
  <c r="R152" i="2"/>
  <c r="T152" i="2"/>
  <c r="P153" i="2"/>
  <c r="Q153" i="2"/>
  <c r="R153" i="2" s="1"/>
  <c r="T153" i="2"/>
  <c r="P154" i="2"/>
  <c r="Q154" i="2"/>
  <c r="R154" i="2"/>
  <c r="T154" i="2"/>
  <c r="P155" i="2"/>
  <c r="Q155" i="2"/>
  <c r="R155" i="2" s="1"/>
  <c r="T155" i="2"/>
  <c r="P156" i="2"/>
  <c r="Q156" i="2"/>
  <c r="R156" i="2"/>
  <c r="T156" i="2"/>
  <c r="P157" i="2"/>
  <c r="Q157" i="2"/>
  <c r="R157" i="2" s="1"/>
  <c r="T157" i="2"/>
  <c r="P158" i="2"/>
  <c r="Q158" i="2"/>
  <c r="R158" i="2"/>
  <c r="T158" i="2"/>
  <c r="P159" i="2"/>
  <c r="Q159" i="2"/>
  <c r="R159" i="2" s="1"/>
  <c r="T159" i="2"/>
  <c r="P160" i="2"/>
  <c r="Q160" i="2"/>
  <c r="R160" i="2"/>
  <c r="T160" i="2"/>
  <c r="P161" i="2"/>
  <c r="Q161" i="2"/>
  <c r="R161" i="2" s="1"/>
  <c r="T161" i="2"/>
  <c r="P162" i="2"/>
  <c r="Q162" i="2"/>
  <c r="R162" i="2"/>
  <c r="T162" i="2"/>
  <c r="P163" i="2"/>
  <c r="Q163" i="2"/>
  <c r="R163" i="2" s="1"/>
  <c r="T163" i="2"/>
  <c r="P164" i="2"/>
  <c r="Q164" i="2"/>
  <c r="R164" i="2"/>
  <c r="T164" i="2"/>
  <c r="P165" i="2"/>
  <c r="Q165" i="2"/>
  <c r="R165" i="2" s="1"/>
  <c r="T165" i="2"/>
  <c r="P166" i="2"/>
  <c r="Q166" i="2"/>
  <c r="R166" i="2"/>
  <c r="T166" i="2"/>
  <c r="P167" i="2"/>
  <c r="Q167" i="2"/>
  <c r="R167" i="2" s="1"/>
  <c r="T167" i="2"/>
  <c r="P168" i="2"/>
  <c r="Q168" i="2"/>
  <c r="R168" i="2"/>
  <c r="T168" i="2"/>
  <c r="P169" i="2"/>
  <c r="Q169" i="2"/>
  <c r="R169" i="2" s="1"/>
  <c r="T169" i="2"/>
  <c r="P170" i="2"/>
  <c r="Q170" i="2"/>
  <c r="R170" i="2"/>
  <c r="T170" i="2"/>
  <c r="P171" i="2"/>
  <c r="Q171" i="2"/>
  <c r="R171" i="2" s="1"/>
  <c r="T171" i="2"/>
  <c r="P172" i="2"/>
  <c r="Q172" i="2"/>
  <c r="R172" i="2"/>
  <c r="T172" i="2"/>
  <c r="P173" i="2"/>
  <c r="Q173" i="2"/>
  <c r="R173" i="2" s="1"/>
  <c r="S173" i="2" s="1"/>
  <c r="T173" i="2"/>
  <c r="P174" i="2"/>
  <c r="Q174" i="2"/>
  <c r="R174" i="2"/>
  <c r="U174" i="2" s="1"/>
  <c r="T174" i="2"/>
  <c r="P175" i="2"/>
  <c r="Q175" i="2"/>
  <c r="R175" i="2" s="1"/>
  <c r="S175" i="2" s="1"/>
  <c r="T175" i="2"/>
  <c r="U175" i="2"/>
  <c r="P176" i="2"/>
  <c r="Q176" i="2"/>
  <c r="R176" i="2" s="1"/>
  <c r="U176" i="2" s="1"/>
  <c r="T176" i="2"/>
  <c r="P177" i="2"/>
  <c r="Q177" i="2"/>
  <c r="R177" i="2" s="1"/>
  <c r="S177" i="2" s="1"/>
  <c r="T177" i="2"/>
  <c r="P178" i="2"/>
  <c r="Q178" i="2"/>
  <c r="R178" i="2" s="1"/>
  <c r="U178" i="2" s="1"/>
  <c r="T178" i="2"/>
  <c r="P179" i="2"/>
  <c r="Q179" i="2"/>
  <c r="R179" i="2" s="1"/>
  <c r="S179" i="2" s="1"/>
  <c r="T179" i="2"/>
  <c r="P180" i="2"/>
  <c r="Q180" i="2"/>
  <c r="R180" i="2" s="1"/>
  <c r="U180" i="2" s="1"/>
  <c r="T180" i="2"/>
  <c r="P181" i="2"/>
  <c r="Q181" i="2"/>
  <c r="R181" i="2" s="1"/>
  <c r="S181" i="2" s="1"/>
  <c r="T181" i="2"/>
  <c r="P182" i="2"/>
  <c r="Q182" i="2"/>
  <c r="R182" i="2" s="1"/>
  <c r="U182" i="2" s="1"/>
  <c r="T182" i="2"/>
  <c r="P183" i="2"/>
  <c r="Q183" i="2"/>
  <c r="R183" i="2" s="1"/>
  <c r="S183" i="2" s="1"/>
  <c r="T183" i="2"/>
  <c r="P184" i="2"/>
  <c r="Q184" i="2"/>
  <c r="R184" i="2" s="1"/>
  <c r="U184" i="2" s="1"/>
  <c r="T184" i="2"/>
  <c r="P185" i="2"/>
  <c r="Q185" i="2"/>
  <c r="R185" i="2" s="1"/>
  <c r="S185" i="2" s="1"/>
  <c r="T185" i="2"/>
  <c r="P186" i="2"/>
  <c r="Q186" i="2"/>
  <c r="R186" i="2" s="1"/>
  <c r="U186" i="2" s="1"/>
  <c r="T186" i="2"/>
  <c r="P187" i="2"/>
  <c r="Q187" i="2"/>
  <c r="R187" i="2" s="1"/>
  <c r="S187" i="2" s="1"/>
  <c r="T187" i="2"/>
  <c r="P188" i="2"/>
  <c r="Q188" i="2"/>
  <c r="R188" i="2" s="1"/>
  <c r="U188" i="2" s="1"/>
  <c r="T188" i="2"/>
  <c r="P189" i="2"/>
  <c r="Q189" i="2"/>
  <c r="R189" i="2" s="1"/>
  <c r="S189" i="2" s="1"/>
  <c r="T189" i="2"/>
  <c r="P190" i="2"/>
  <c r="Q190" i="2"/>
  <c r="R190" i="2" s="1"/>
  <c r="U190" i="2" s="1"/>
  <c r="T190" i="2"/>
  <c r="P191" i="2"/>
  <c r="Q191" i="2"/>
  <c r="R191" i="2" s="1"/>
  <c r="S191" i="2" s="1"/>
  <c r="T191" i="2"/>
  <c r="P192" i="2"/>
  <c r="Q192" i="2"/>
  <c r="R192" i="2" s="1"/>
  <c r="U192" i="2" s="1"/>
  <c r="T192" i="2"/>
  <c r="P193" i="2"/>
  <c r="Q193" i="2"/>
  <c r="R193" i="2" s="1"/>
  <c r="S193" i="2" s="1"/>
  <c r="T193" i="2"/>
  <c r="P194" i="2"/>
  <c r="Q194" i="2"/>
  <c r="R194" i="2" s="1"/>
  <c r="U194" i="2" s="1"/>
  <c r="T194" i="2"/>
  <c r="P195" i="2"/>
  <c r="Q195" i="2"/>
  <c r="R195" i="2" s="1"/>
  <c r="S195" i="2" s="1"/>
  <c r="T195" i="2"/>
  <c r="P196" i="2"/>
  <c r="Q196" i="2"/>
  <c r="R196" i="2" s="1"/>
  <c r="U196" i="2" s="1"/>
  <c r="T196" i="2"/>
  <c r="P197" i="2"/>
  <c r="Q197" i="2"/>
  <c r="R197" i="2" s="1"/>
  <c r="S197" i="2" s="1"/>
  <c r="T197" i="2"/>
  <c r="P198" i="2"/>
  <c r="Q198" i="2"/>
  <c r="R198" i="2" s="1"/>
  <c r="U198" i="2" s="1"/>
  <c r="T198" i="2"/>
  <c r="P199" i="2"/>
  <c r="Q199" i="2"/>
  <c r="R199" i="2" s="1"/>
  <c r="S199" i="2" s="1"/>
  <c r="T199" i="2"/>
  <c r="P200" i="2"/>
  <c r="Q200" i="2"/>
  <c r="R200" i="2"/>
  <c r="U200" i="2" s="1"/>
  <c r="S200" i="2"/>
  <c r="T200" i="2"/>
  <c r="P201" i="2"/>
  <c r="Q201" i="2"/>
  <c r="R201" i="2" s="1"/>
  <c r="S201" i="2" s="1"/>
  <c r="T201" i="2"/>
  <c r="P202" i="2"/>
  <c r="Q202" i="2"/>
  <c r="R202" i="2"/>
  <c r="U202" i="2" s="1"/>
  <c r="S202" i="2"/>
  <c r="T202" i="2"/>
  <c r="P203" i="2"/>
  <c r="Q203" i="2"/>
  <c r="R203" i="2" s="1"/>
  <c r="S203" i="2" s="1"/>
  <c r="T203" i="2"/>
  <c r="U203" i="2"/>
  <c r="P204" i="2"/>
  <c r="Q204" i="2"/>
  <c r="R204" i="2"/>
  <c r="U204" i="2" s="1"/>
  <c r="S204" i="2"/>
  <c r="T204" i="2"/>
  <c r="P205" i="2"/>
  <c r="Q205" i="2"/>
  <c r="R205" i="2" s="1"/>
  <c r="S205" i="2" s="1"/>
  <c r="T205" i="2"/>
  <c r="P206" i="2"/>
  <c r="Q206" i="2"/>
  <c r="R206" i="2"/>
  <c r="U206" i="2" s="1"/>
  <c r="S206" i="2"/>
  <c r="T206" i="2"/>
  <c r="P207" i="2"/>
  <c r="Q207" i="2"/>
  <c r="R207" i="2" s="1"/>
  <c r="S207" i="2" s="1"/>
  <c r="T207" i="2"/>
  <c r="P208" i="2"/>
  <c r="Q208" i="2"/>
  <c r="R208" i="2"/>
  <c r="U208" i="2" s="1"/>
  <c r="S208" i="2"/>
  <c r="T208" i="2"/>
  <c r="P209" i="2"/>
  <c r="Q209" i="2"/>
  <c r="R209" i="2" s="1"/>
  <c r="S209" i="2" s="1"/>
  <c r="T209" i="2"/>
  <c r="P210" i="2"/>
  <c r="Q210" i="2"/>
  <c r="R210" i="2"/>
  <c r="U210" i="2" s="1"/>
  <c r="S210" i="2"/>
  <c r="T210" i="2"/>
  <c r="P211" i="2"/>
  <c r="Q211" i="2"/>
  <c r="R211" i="2" s="1"/>
  <c r="S211" i="2" s="1"/>
  <c r="T211" i="2"/>
  <c r="U211" i="2"/>
  <c r="P212" i="2"/>
  <c r="Q212" i="2"/>
  <c r="R212" i="2"/>
  <c r="U212" i="2" s="1"/>
  <c r="S212" i="2"/>
  <c r="T212" i="2"/>
  <c r="P213" i="2"/>
  <c r="Q213" i="2"/>
  <c r="R213" i="2" s="1"/>
  <c r="S213" i="2" s="1"/>
  <c r="T213" i="2"/>
  <c r="P214" i="2"/>
  <c r="Q214" i="2"/>
  <c r="R214" i="2"/>
  <c r="U214" i="2" s="1"/>
  <c r="S214" i="2"/>
  <c r="T214" i="2"/>
  <c r="P215" i="2"/>
  <c r="Q215" i="2"/>
  <c r="R215" i="2" s="1"/>
  <c r="S215" i="2" s="1"/>
  <c r="T215" i="2"/>
  <c r="P216" i="2"/>
  <c r="Q216" i="2"/>
  <c r="R216" i="2"/>
  <c r="U216" i="2" s="1"/>
  <c r="S216" i="2"/>
  <c r="T216" i="2"/>
  <c r="P217" i="2"/>
  <c r="Q217" i="2"/>
  <c r="R217" i="2" s="1"/>
  <c r="S217" i="2" s="1"/>
  <c r="T217" i="2"/>
  <c r="P218" i="2"/>
  <c r="Q218" i="2"/>
  <c r="R218" i="2"/>
  <c r="U218" i="2" s="1"/>
  <c r="S218" i="2"/>
  <c r="T218" i="2"/>
  <c r="P219" i="2"/>
  <c r="Q219" i="2"/>
  <c r="R219" i="2" s="1"/>
  <c r="S219" i="2" s="1"/>
  <c r="T219" i="2"/>
  <c r="U219" i="2"/>
  <c r="P220" i="2"/>
  <c r="Q220" i="2"/>
  <c r="R220" i="2"/>
  <c r="U220" i="2" s="1"/>
  <c r="S220" i="2"/>
  <c r="T220" i="2"/>
  <c r="P221" i="2"/>
  <c r="Q221" i="2"/>
  <c r="R221" i="2" s="1"/>
  <c r="S221" i="2" s="1"/>
  <c r="T221" i="2"/>
  <c r="P222" i="2"/>
  <c r="Q222" i="2"/>
  <c r="R222" i="2"/>
  <c r="U222" i="2" s="1"/>
  <c r="S222" i="2"/>
  <c r="T222" i="2"/>
  <c r="P223" i="2"/>
  <c r="Q223" i="2"/>
  <c r="R223" i="2" s="1"/>
  <c r="S223" i="2" s="1"/>
  <c r="T223" i="2"/>
  <c r="P224" i="2"/>
  <c r="Q224" i="2"/>
  <c r="R224" i="2"/>
  <c r="U224" i="2" s="1"/>
  <c r="S224" i="2"/>
  <c r="T224" i="2"/>
  <c r="P225" i="2"/>
  <c r="Q225" i="2"/>
  <c r="R225" i="2" s="1"/>
  <c r="S225" i="2" s="1"/>
  <c r="T225" i="2"/>
  <c r="P226" i="2"/>
  <c r="Q226" i="2"/>
  <c r="R226" i="2"/>
  <c r="U226" i="2" s="1"/>
  <c r="S226" i="2"/>
  <c r="T226" i="2"/>
  <c r="P227" i="2"/>
  <c r="Q227" i="2"/>
  <c r="R227" i="2" s="1"/>
  <c r="S227" i="2" s="1"/>
  <c r="T227" i="2"/>
  <c r="U227" i="2"/>
  <c r="P228" i="2"/>
  <c r="Q228" i="2"/>
  <c r="R228" i="2"/>
  <c r="U228" i="2" s="1"/>
  <c r="S228" i="2"/>
  <c r="T228" i="2"/>
  <c r="P229" i="2"/>
  <c r="Q229" i="2"/>
  <c r="R229" i="2" s="1"/>
  <c r="S229" i="2" s="1"/>
  <c r="T229" i="2"/>
  <c r="P230" i="2"/>
  <c r="Q230" i="2"/>
  <c r="R230" i="2"/>
  <c r="U230" i="2" s="1"/>
  <c r="S230" i="2"/>
  <c r="T230" i="2"/>
  <c r="P231" i="2"/>
  <c r="Q231" i="2"/>
  <c r="R231" i="2" s="1"/>
  <c r="S231" i="2" s="1"/>
  <c r="T231" i="2"/>
  <c r="P232" i="2"/>
  <c r="Q232" i="2"/>
  <c r="R232" i="2"/>
  <c r="U232" i="2" s="1"/>
  <c r="S232" i="2"/>
  <c r="T232" i="2"/>
  <c r="P233" i="2"/>
  <c r="Q233" i="2"/>
  <c r="R233" i="2" s="1"/>
  <c r="S233" i="2" s="1"/>
  <c r="T233" i="2"/>
  <c r="U233" i="2"/>
  <c r="P234" i="2"/>
  <c r="Q234" i="2"/>
  <c r="R234" i="2"/>
  <c r="U234" i="2" s="1"/>
  <c r="S234" i="2"/>
  <c r="T234" i="2"/>
  <c r="P235" i="2"/>
  <c r="Q235" i="2"/>
  <c r="R235" i="2" s="1"/>
  <c r="S235" i="2" s="1"/>
  <c r="T235" i="2"/>
  <c r="U235" i="2"/>
  <c r="P236" i="2"/>
  <c r="Q236" i="2"/>
  <c r="R236" i="2"/>
  <c r="U236" i="2" s="1"/>
  <c r="S236" i="2"/>
  <c r="T236" i="2"/>
  <c r="P237" i="2"/>
  <c r="Q237" i="2"/>
  <c r="R237" i="2" s="1"/>
  <c r="S237" i="2" s="1"/>
  <c r="T237" i="2"/>
  <c r="P238" i="2"/>
  <c r="Q238" i="2"/>
  <c r="R238" i="2"/>
  <c r="U238" i="2" s="1"/>
  <c r="S238" i="2"/>
  <c r="T238" i="2"/>
  <c r="P239" i="2"/>
  <c r="Q239" i="2"/>
  <c r="R239" i="2" s="1"/>
  <c r="S239" i="2" s="1"/>
  <c r="T239" i="2"/>
  <c r="P240" i="2"/>
  <c r="Q240" i="2"/>
  <c r="R240" i="2"/>
  <c r="U240" i="2" s="1"/>
  <c r="S240" i="2"/>
  <c r="T240" i="2"/>
  <c r="P241" i="2"/>
  <c r="Q241" i="2"/>
  <c r="R241" i="2" s="1"/>
  <c r="S241" i="2" s="1"/>
  <c r="T241" i="2"/>
  <c r="U241" i="2"/>
  <c r="P242" i="2"/>
  <c r="Q242" i="2"/>
  <c r="R242" i="2"/>
  <c r="U242" i="2" s="1"/>
  <c r="S242" i="2"/>
  <c r="T242" i="2"/>
  <c r="P243" i="2"/>
  <c r="Q243" i="2"/>
  <c r="R243" i="2" s="1"/>
  <c r="S243" i="2" s="1"/>
  <c r="T243" i="2"/>
  <c r="U243" i="2"/>
  <c r="P244" i="2"/>
  <c r="Q244" i="2"/>
  <c r="R244" i="2"/>
  <c r="U244" i="2" s="1"/>
  <c r="S244" i="2"/>
  <c r="T244" i="2"/>
  <c r="P245" i="2"/>
  <c r="Q245" i="2"/>
  <c r="R245" i="2"/>
  <c r="S245" i="2" s="1"/>
  <c r="T245" i="2"/>
  <c r="P246" i="2"/>
  <c r="Q246" i="2"/>
  <c r="R246" i="2"/>
  <c r="U246" i="2" s="1"/>
  <c r="S246" i="2"/>
  <c r="T246" i="2"/>
  <c r="P247" i="2"/>
  <c r="Q247" i="2"/>
  <c r="R247" i="2"/>
  <c r="S247" i="2" s="1"/>
  <c r="T247" i="2"/>
  <c r="U247" i="2"/>
  <c r="P248" i="2"/>
  <c r="Q248" i="2"/>
  <c r="R248" i="2"/>
  <c r="U248" i="2" s="1"/>
  <c r="S248" i="2"/>
  <c r="T248" i="2"/>
  <c r="P249" i="2"/>
  <c r="Q249" i="2"/>
  <c r="R249" i="2"/>
  <c r="S249" i="2" s="1"/>
  <c r="T249" i="2"/>
  <c r="P250" i="2"/>
  <c r="Q250" i="2"/>
  <c r="R250" i="2" s="1"/>
  <c r="T250" i="2"/>
  <c r="P251" i="2"/>
  <c r="Q251" i="2"/>
  <c r="R251" i="2" s="1"/>
  <c r="T251" i="2"/>
  <c r="P252" i="2"/>
  <c r="Q252" i="2"/>
  <c r="R252" i="2" s="1"/>
  <c r="T252" i="2"/>
  <c r="P253" i="2"/>
  <c r="Q253" i="2"/>
  <c r="R253" i="2" s="1"/>
  <c r="T253" i="2"/>
  <c r="P254" i="2"/>
  <c r="Q254" i="2"/>
  <c r="R254" i="2" s="1"/>
  <c r="T254" i="2"/>
  <c r="P255" i="2"/>
  <c r="Q255" i="2"/>
  <c r="R255" i="2" s="1"/>
  <c r="T255" i="2"/>
  <c r="P256" i="2"/>
  <c r="Q256" i="2"/>
  <c r="R256" i="2" s="1"/>
  <c r="T256" i="2"/>
  <c r="P257" i="2"/>
  <c r="Q257" i="2"/>
  <c r="R257" i="2" s="1"/>
  <c r="T257" i="2"/>
  <c r="P258" i="2"/>
  <c r="Q258" i="2"/>
  <c r="R258" i="2" s="1"/>
  <c r="T258" i="2"/>
  <c r="P259" i="2"/>
  <c r="Q259" i="2"/>
  <c r="R259" i="2" s="1"/>
  <c r="T259" i="2"/>
  <c r="P260" i="2"/>
  <c r="Q260" i="2"/>
  <c r="R260" i="2" s="1"/>
  <c r="T260" i="2"/>
  <c r="P261" i="2"/>
  <c r="Q261" i="2"/>
  <c r="R261" i="2" s="1"/>
  <c r="T261" i="2"/>
  <c r="P262" i="2"/>
  <c r="Q262" i="2"/>
  <c r="R262" i="2" s="1"/>
  <c r="T262" i="2"/>
  <c r="P263" i="2"/>
  <c r="Q263" i="2"/>
  <c r="R263" i="2" s="1"/>
  <c r="T263" i="2"/>
  <c r="P264" i="2"/>
  <c r="Q264" i="2"/>
  <c r="R264" i="2" s="1"/>
  <c r="T264" i="2"/>
  <c r="P265" i="2"/>
  <c r="Q265" i="2"/>
  <c r="R265" i="2" s="1"/>
  <c r="T265" i="2"/>
  <c r="P266" i="2"/>
  <c r="Q266" i="2"/>
  <c r="R266" i="2" s="1"/>
  <c r="T266" i="2"/>
  <c r="P267" i="2"/>
  <c r="Q267" i="2"/>
  <c r="R267" i="2" s="1"/>
  <c r="T267" i="2"/>
  <c r="P268" i="2"/>
  <c r="Q268" i="2"/>
  <c r="R268" i="2" s="1"/>
  <c r="T268" i="2"/>
  <c r="P269" i="2"/>
  <c r="Q269" i="2"/>
  <c r="R269" i="2" s="1"/>
  <c r="T269" i="2"/>
  <c r="P270" i="2"/>
  <c r="Q270" i="2"/>
  <c r="R270" i="2" s="1"/>
  <c r="T270" i="2"/>
  <c r="P271" i="2"/>
  <c r="Q271" i="2"/>
  <c r="R271" i="2" s="1"/>
  <c r="T271" i="2"/>
  <c r="P272" i="2"/>
  <c r="Q272" i="2"/>
  <c r="R272" i="2" s="1"/>
  <c r="T272" i="2"/>
  <c r="P273" i="2"/>
  <c r="Q273" i="2"/>
  <c r="R273" i="2" s="1"/>
  <c r="T273" i="2"/>
  <c r="P274" i="2"/>
  <c r="Q274" i="2"/>
  <c r="R274" i="2" s="1"/>
  <c r="T274" i="2"/>
  <c r="P275" i="2"/>
  <c r="Q275" i="2"/>
  <c r="R275" i="2" s="1"/>
  <c r="T275" i="2"/>
  <c r="P276" i="2"/>
  <c r="Q276" i="2"/>
  <c r="R276" i="2" s="1"/>
  <c r="T276" i="2"/>
  <c r="P277" i="2"/>
  <c r="Q277" i="2"/>
  <c r="R277" i="2" s="1"/>
  <c r="T277" i="2"/>
  <c r="P278" i="2"/>
  <c r="Q278" i="2"/>
  <c r="R278" i="2" s="1"/>
  <c r="T278" i="2"/>
  <c r="P279" i="2"/>
  <c r="Q279" i="2"/>
  <c r="R279" i="2" s="1"/>
  <c r="T279" i="2"/>
  <c r="P280" i="2"/>
  <c r="Q280" i="2"/>
  <c r="R280" i="2" s="1"/>
  <c r="T280" i="2"/>
  <c r="P281" i="2"/>
  <c r="Q281" i="2"/>
  <c r="R281" i="2" s="1"/>
  <c r="T281" i="2"/>
  <c r="P282" i="2"/>
  <c r="Q282" i="2"/>
  <c r="R282" i="2" s="1"/>
  <c r="T282" i="2"/>
  <c r="P283" i="2"/>
  <c r="Q283" i="2"/>
  <c r="R283" i="2" s="1"/>
  <c r="T283" i="2"/>
  <c r="P284" i="2"/>
  <c r="Q284" i="2"/>
  <c r="R284" i="2" s="1"/>
  <c r="T284" i="2"/>
  <c r="P285" i="2"/>
  <c r="Q285" i="2"/>
  <c r="R285" i="2" s="1"/>
  <c r="T285" i="2"/>
  <c r="P286" i="2"/>
  <c r="Q286" i="2"/>
  <c r="R286" i="2" s="1"/>
  <c r="T286" i="2"/>
  <c r="P287" i="2"/>
  <c r="Q287" i="2"/>
  <c r="R287" i="2" s="1"/>
  <c r="T287" i="2"/>
  <c r="P288" i="2"/>
  <c r="Q288" i="2"/>
  <c r="R288" i="2" s="1"/>
  <c r="T288" i="2"/>
  <c r="P289" i="2"/>
  <c r="Q289" i="2"/>
  <c r="R289" i="2" s="1"/>
  <c r="T289" i="2"/>
  <c r="P290" i="2"/>
  <c r="Q290" i="2"/>
  <c r="R290" i="2" s="1"/>
  <c r="T290" i="2"/>
  <c r="P291" i="2"/>
  <c r="Q291" i="2"/>
  <c r="R291" i="2" s="1"/>
  <c r="T291" i="2"/>
  <c r="P292" i="2"/>
  <c r="Q292" i="2"/>
  <c r="R292" i="2" s="1"/>
  <c r="T292" i="2"/>
  <c r="P293" i="2"/>
  <c r="Q293" i="2"/>
  <c r="R293" i="2" s="1"/>
  <c r="T293" i="2"/>
  <c r="P294" i="2"/>
  <c r="Q294" i="2"/>
  <c r="R294" i="2" s="1"/>
  <c r="T294" i="2"/>
  <c r="P295" i="2"/>
  <c r="Q295" i="2"/>
  <c r="R295" i="2" s="1"/>
  <c r="T295" i="2"/>
  <c r="P296" i="2"/>
  <c r="Q296" i="2"/>
  <c r="R296" i="2" s="1"/>
  <c r="T296" i="2"/>
  <c r="P297" i="2"/>
  <c r="Q297" i="2"/>
  <c r="R297" i="2" s="1"/>
  <c r="T297" i="2"/>
  <c r="P298" i="2"/>
  <c r="Q298" i="2"/>
  <c r="R298" i="2" s="1"/>
  <c r="T298" i="2"/>
  <c r="P299" i="2"/>
  <c r="Q299" i="2"/>
  <c r="R299" i="2" s="1"/>
  <c r="T299" i="2"/>
  <c r="P300" i="2"/>
  <c r="Q300" i="2"/>
  <c r="R300" i="2" s="1"/>
  <c r="T300" i="2"/>
  <c r="P301" i="2"/>
  <c r="Q301" i="2"/>
  <c r="R301" i="2" s="1"/>
  <c r="T301" i="2"/>
  <c r="P302" i="2"/>
  <c r="Q302" i="2"/>
  <c r="R302" i="2" s="1"/>
  <c r="T302" i="2"/>
  <c r="P303" i="2"/>
  <c r="Q303" i="2"/>
  <c r="R303" i="2" s="1"/>
  <c r="T303" i="2"/>
  <c r="P304" i="2"/>
  <c r="Q304" i="2"/>
  <c r="R304" i="2" s="1"/>
  <c r="T304" i="2"/>
  <c r="P305" i="2"/>
  <c r="Q305" i="2"/>
  <c r="R305" i="2" s="1"/>
  <c r="T305" i="2"/>
  <c r="P306" i="2"/>
  <c r="Q306" i="2"/>
  <c r="R306" i="2" s="1"/>
  <c r="T306" i="2"/>
  <c r="P307" i="2"/>
  <c r="Q307" i="2"/>
  <c r="R307" i="2" s="1"/>
  <c r="T307" i="2"/>
  <c r="P308" i="2"/>
  <c r="Q308" i="2"/>
  <c r="R308" i="2" s="1"/>
  <c r="T308" i="2"/>
  <c r="P309" i="2"/>
  <c r="Q309" i="2"/>
  <c r="R309" i="2" s="1"/>
  <c r="T309" i="2"/>
  <c r="P310" i="2"/>
  <c r="Q310" i="2"/>
  <c r="R310" i="2" s="1"/>
  <c r="T310" i="2"/>
  <c r="P311" i="2"/>
  <c r="Q311" i="2"/>
  <c r="R311" i="2" s="1"/>
  <c r="T311" i="2"/>
  <c r="P312" i="2"/>
  <c r="Q312" i="2"/>
  <c r="R312" i="2" s="1"/>
  <c r="T312" i="2"/>
  <c r="P313" i="2"/>
  <c r="Q313" i="2"/>
  <c r="R313" i="2" s="1"/>
  <c r="T313" i="2"/>
  <c r="P314" i="2"/>
  <c r="Q314" i="2"/>
  <c r="R314" i="2" s="1"/>
  <c r="T314" i="2"/>
  <c r="P315" i="2"/>
  <c r="Q315" i="2"/>
  <c r="R315" i="2" s="1"/>
  <c r="T315" i="2"/>
  <c r="P316" i="2"/>
  <c r="Q316" i="2"/>
  <c r="R316" i="2" s="1"/>
  <c r="T316" i="2"/>
  <c r="P317" i="2"/>
  <c r="Q317" i="2"/>
  <c r="R317" i="2" s="1"/>
  <c r="T317" i="2"/>
  <c r="P318" i="2"/>
  <c r="Q318" i="2"/>
  <c r="R318" i="2" s="1"/>
  <c r="T318" i="2"/>
  <c r="P319" i="2"/>
  <c r="Q319" i="2"/>
  <c r="R319" i="2" s="1"/>
  <c r="T319" i="2"/>
  <c r="P320" i="2"/>
  <c r="Q320" i="2"/>
  <c r="R320" i="2" s="1"/>
  <c r="T320" i="2"/>
  <c r="P321" i="2"/>
  <c r="Q321" i="2"/>
  <c r="R321" i="2" s="1"/>
  <c r="T321" i="2"/>
  <c r="P322" i="2"/>
  <c r="Q322" i="2"/>
  <c r="R322" i="2" s="1"/>
  <c r="T322" i="2"/>
  <c r="P323" i="2"/>
  <c r="Q323" i="2"/>
  <c r="R323" i="2" s="1"/>
  <c r="T323" i="2"/>
  <c r="P324" i="2"/>
  <c r="Q324" i="2"/>
  <c r="R324" i="2" s="1"/>
  <c r="T324" i="2"/>
  <c r="P325" i="2"/>
  <c r="Q325" i="2"/>
  <c r="R325" i="2" s="1"/>
  <c r="T325" i="2"/>
  <c r="P326" i="2"/>
  <c r="Q326" i="2"/>
  <c r="R326" i="2" s="1"/>
  <c r="T326" i="2"/>
  <c r="P327" i="2"/>
  <c r="Q327" i="2"/>
  <c r="R327" i="2" s="1"/>
  <c r="T327" i="2"/>
  <c r="P328" i="2"/>
  <c r="Q328" i="2"/>
  <c r="R328" i="2" s="1"/>
  <c r="T328" i="2"/>
  <c r="P329" i="2"/>
  <c r="Q329" i="2"/>
  <c r="R329" i="2" s="1"/>
  <c r="T329" i="2"/>
  <c r="P330" i="2"/>
  <c r="Q330" i="2"/>
  <c r="R330" i="2" s="1"/>
  <c r="T330" i="2"/>
  <c r="P331" i="2"/>
  <c r="Q331" i="2"/>
  <c r="R331" i="2" s="1"/>
  <c r="T331" i="2"/>
  <c r="P332" i="2"/>
  <c r="Q332" i="2"/>
  <c r="R332" i="2" s="1"/>
  <c r="T332" i="2"/>
  <c r="P333" i="2"/>
  <c r="Q333" i="2"/>
  <c r="R333" i="2" s="1"/>
  <c r="T333" i="2"/>
  <c r="P334" i="2"/>
  <c r="Q334" i="2"/>
  <c r="R334" i="2" s="1"/>
  <c r="T334" i="2"/>
  <c r="P335" i="2"/>
  <c r="Q335" i="2"/>
  <c r="R335" i="2" s="1"/>
  <c r="T335" i="2"/>
  <c r="P336" i="2"/>
  <c r="Q336" i="2"/>
  <c r="R336" i="2" s="1"/>
  <c r="T336" i="2"/>
  <c r="P337" i="2"/>
  <c r="Q337" i="2"/>
  <c r="R337" i="2" s="1"/>
  <c r="T337" i="2"/>
  <c r="P338" i="2"/>
  <c r="Q338" i="2"/>
  <c r="R338" i="2" s="1"/>
  <c r="S338" i="2" s="1"/>
  <c r="T338" i="2"/>
  <c r="U338" i="2"/>
  <c r="P339" i="2"/>
  <c r="Q339" i="2"/>
  <c r="R339" i="2" s="1"/>
  <c r="U339" i="2" s="1"/>
  <c r="S339" i="2"/>
  <c r="T339" i="2"/>
  <c r="P340" i="2"/>
  <c r="Q340" i="2"/>
  <c r="R340" i="2" s="1"/>
  <c r="S340" i="2" s="1"/>
  <c r="T340" i="2"/>
  <c r="P341" i="2"/>
  <c r="Q341" i="2"/>
  <c r="R341" i="2" s="1"/>
  <c r="U341" i="2" s="1"/>
  <c r="T341" i="2"/>
  <c r="P342" i="2"/>
  <c r="Q342" i="2"/>
  <c r="R342" i="2" s="1"/>
  <c r="S342" i="2" s="1"/>
  <c r="T342" i="2"/>
  <c r="P343" i="2"/>
  <c r="Q343" i="2"/>
  <c r="R343" i="2" s="1"/>
  <c r="U343" i="2" s="1"/>
  <c r="T343" i="2"/>
  <c r="P344" i="2"/>
  <c r="Q344" i="2"/>
  <c r="R344" i="2" s="1"/>
  <c r="S344" i="2" s="1"/>
  <c r="T344" i="2"/>
  <c r="P345" i="2"/>
  <c r="Q345" i="2"/>
  <c r="R345" i="2" s="1"/>
  <c r="U345" i="2" s="1"/>
  <c r="T345" i="2"/>
  <c r="P346" i="2"/>
  <c r="Q346" i="2"/>
  <c r="R346" i="2" s="1"/>
  <c r="S346" i="2" s="1"/>
  <c r="T346" i="2"/>
  <c r="P347" i="2"/>
  <c r="Q347" i="2"/>
  <c r="R347" i="2" s="1"/>
  <c r="U347" i="2" s="1"/>
  <c r="T347" i="2"/>
  <c r="P348" i="2"/>
  <c r="Q348" i="2"/>
  <c r="R348" i="2" s="1"/>
  <c r="S348" i="2" s="1"/>
  <c r="T348" i="2"/>
  <c r="P349" i="2"/>
  <c r="Q349" i="2"/>
  <c r="R349" i="2" s="1"/>
  <c r="U349" i="2" s="1"/>
  <c r="T349" i="2"/>
  <c r="P350" i="2"/>
  <c r="Q350" i="2"/>
  <c r="R350" i="2" s="1"/>
  <c r="S350" i="2" s="1"/>
  <c r="T350" i="2"/>
  <c r="P351" i="2"/>
  <c r="Q351" i="2"/>
  <c r="R351" i="2" s="1"/>
  <c r="U351" i="2" s="1"/>
  <c r="T351" i="2"/>
  <c r="P352" i="2"/>
  <c r="Q352" i="2"/>
  <c r="R352" i="2" s="1"/>
  <c r="S352" i="2" s="1"/>
  <c r="T352" i="2"/>
  <c r="P353" i="2"/>
  <c r="Q353" i="2"/>
  <c r="R353" i="2" s="1"/>
  <c r="U353" i="2" s="1"/>
  <c r="T353" i="2"/>
  <c r="P354" i="2"/>
  <c r="Q354" i="2"/>
  <c r="R354" i="2" s="1"/>
  <c r="S354" i="2" s="1"/>
  <c r="T354" i="2"/>
  <c r="P355" i="2"/>
  <c r="Q355" i="2"/>
  <c r="R355" i="2" s="1"/>
  <c r="U355" i="2" s="1"/>
  <c r="T355" i="2"/>
  <c r="P356" i="2"/>
  <c r="Q356" i="2"/>
  <c r="R356" i="2" s="1"/>
  <c r="S356" i="2" s="1"/>
  <c r="T356" i="2"/>
  <c r="P357" i="2"/>
  <c r="Q357" i="2"/>
  <c r="R357" i="2" s="1"/>
  <c r="U357" i="2" s="1"/>
  <c r="T357" i="2"/>
  <c r="P358" i="2"/>
  <c r="Q358" i="2"/>
  <c r="R358" i="2" s="1"/>
  <c r="S358" i="2" s="1"/>
  <c r="T358" i="2"/>
  <c r="P359" i="2"/>
  <c r="Q359" i="2"/>
  <c r="R359" i="2" s="1"/>
  <c r="U359" i="2" s="1"/>
  <c r="T359" i="2"/>
  <c r="P360" i="2"/>
  <c r="Q360" i="2"/>
  <c r="R360" i="2" s="1"/>
  <c r="S360" i="2" s="1"/>
  <c r="T360" i="2"/>
  <c r="P361" i="2"/>
  <c r="Q361" i="2"/>
  <c r="R361" i="2" s="1"/>
  <c r="U361" i="2" s="1"/>
  <c r="T361" i="2"/>
  <c r="P362" i="2"/>
  <c r="Q362" i="2"/>
  <c r="R362" i="2" s="1"/>
  <c r="S362" i="2" s="1"/>
  <c r="T362" i="2"/>
  <c r="P363" i="2"/>
  <c r="Q363" i="2"/>
  <c r="R363" i="2" s="1"/>
  <c r="U363" i="2" s="1"/>
  <c r="T363" i="2"/>
  <c r="P364" i="2"/>
  <c r="Q364" i="2"/>
  <c r="R364" i="2" s="1"/>
  <c r="S364" i="2" s="1"/>
  <c r="T364" i="2"/>
  <c r="P365" i="2"/>
  <c r="Q365" i="2"/>
  <c r="R365" i="2" s="1"/>
  <c r="T365" i="2"/>
  <c r="P366" i="2"/>
  <c r="Q366" i="2"/>
  <c r="R366" i="2" s="1"/>
  <c r="T366" i="2"/>
  <c r="P367" i="2"/>
  <c r="Q367" i="2"/>
  <c r="R367" i="2" s="1"/>
  <c r="T367" i="2"/>
  <c r="P368" i="2"/>
  <c r="Q368" i="2"/>
  <c r="R368" i="2" s="1"/>
  <c r="T368" i="2"/>
  <c r="P369" i="2"/>
  <c r="Q369" i="2"/>
  <c r="R369" i="2" s="1"/>
  <c r="T369" i="2"/>
  <c r="P370" i="2"/>
  <c r="Q370" i="2"/>
  <c r="R370" i="2" s="1"/>
  <c r="T370" i="2"/>
  <c r="P371" i="2"/>
  <c r="Q371" i="2"/>
  <c r="R371" i="2" s="1"/>
  <c r="T371" i="2"/>
  <c r="P372" i="2"/>
  <c r="Q372" i="2"/>
  <c r="R372" i="2" s="1"/>
  <c r="T372" i="2"/>
  <c r="P373" i="2"/>
  <c r="Q373" i="2"/>
  <c r="R373" i="2" s="1"/>
  <c r="T373" i="2"/>
  <c r="P374" i="2"/>
  <c r="Q374" i="2"/>
  <c r="R374" i="2" s="1"/>
  <c r="T374" i="2"/>
  <c r="P375" i="2"/>
  <c r="Q375" i="2"/>
  <c r="R375" i="2" s="1"/>
  <c r="T375" i="2"/>
  <c r="P376" i="2"/>
  <c r="Q376" i="2"/>
  <c r="R376" i="2" s="1"/>
  <c r="T376" i="2"/>
  <c r="P377" i="2"/>
  <c r="Q377" i="2"/>
  <c r="R377" i="2" s="1"/>
  <c r="T377" i="2"/>
  <c r="P378" i="2"/>
  <c r="Q378" i="2"/>
  <c r="R378" i="2" s="1"/>
  <c r="T378" i="2"/>
  <c r="P379" i="2"/>
  <c r="Q379" i="2"/>
  <c r="R379" i="2" s="1"/>
  <c r="T379" i="2"/>
  <c r="P380" i="2"/>
  <c r="Q380" i="2"/>
  <c r="R380" i="2" s="1"/>
  <c r="T380" i="2"/>
  <c r="P381" i="2"/>
  <c r="Q381" i="2"/>
  <c r="R381" i="2" s="1"/>
  <c r="T381" i="2"/>
  <c r="P382" i="2"/>
  <c r="Q382" i="2"/>
  <c r="R382" i="2" s="1"/>
  <c r="T382" i="2"/>
  <c r="P383" i="2"/>
  <c r="Q383" i="2"/>
  <c r="R383" i="2" s="1"/>
  <c r="T383" i="2"/>
  <c r="P384" i="2"/>
  <c r="Q384" i="2"/>
  <c r="R384" i="2" s="1"/>
  <c r="T384" i="2"/>
  <c r="P385" i="2"/>
  <c r="Q385" i="2"/>
  <c r="R385" i="2" s="1"/>
  <c r="T385" i="2"/>
  <c r="P386" i="2"/>
  <c r="Q386" i="2"/>
  <c r="R386" i="2" s="1"/>
  <c r="T386" i="2"/>
  <c r="P387" i="2"/>
  <c r="Q387" i="2"/>
  <c r="R387" i="2" s="1"/>
  <c r="T387" i="2"/>
  <c r="P388" i="2"/>
  <c r="Q388" i="2"/>
  <c r="R388" i="2" s="1"/>
  <c r="T388" i="2"/>
  <c r="P389" i="2"/>
  <c r="Q389" i="2"/>
  <c r="R389" i="2" s="1"/>
  <c r="T389" i="2"/>
  <c r="P390" i="2"/>
  <c r="Q390" i="2"/>
  <c r="R390" i="2" s="1"/>
  <c r="T390" i="2"/>
  <c r="P391" i="2"/>
  <c r="Q391" i="2"/>
  <c r="R391" i="2" s="1"/>
  <c r="T391" i="2"/>
  <c r="P392" i="2"/>
  <c r="Q392" i="2"/>
  <c r="R392" i="2" s="1"/>
  <c r="T392" i="2"/>
  <c r="P393" i="2"/>
  <c r="Q393" i="2"/>
  <c r="R393" i="2" s="1"/>
  <c r="U393" i="2" s="1"/>
  <c r="T393" i="2"/>
  <c r="P394" i="2"/>
  <c r="Q394" i="2"/>
  <c r="R394" i="2" s="1"/>
  <c r="S394" i="2" s="1"/>
  <c r="T394" i="2"/>
  <c r="P395" i="2"/>
  <c r="Q395" i="2"/>
  <c r="R395" i="2" s="1"/>
  <c r="U395" i="2" s="1"/>
  <c r="T395" i="2"/>
  <c r="P396" i="2"/>
  <c r="Q396" i="2"/>
  <c r="R396" i="2" s="1"/>
  <c r="T396" i="2"/>
  <c r="P397" i="2"/>
  <c r="Q397" i="2"/>
  <c r="R397" i="2" s="1"/>
  <c r="U397" i="2" s="1"/>
  <c r="S397" i="2"/>
  <c r="T397" i="2"/>
  <c r="P398" i="2"/>
  <c r="Q398" i="2"/>
  <c r="R398" i="2"/>
  <c r="T398" i="2"/>
  <c r="P399" i="2"/>
  <c r="Q399" i="2"/>
  <c r="R399" i="2" s="1"/>
  <c r="T399" i="2"/>
  <c r="P400" i="2"/>
  <c r="Q400" i="2"/>
  <c r="R400" i="2" s="1"/>
  <c r="T400" i="2"/>
  <c r="P401" i="2"/>
  <c r="Q401" i="2"/>
  <c r="R401" i="2" s="1"/>
  <c r="S401" i="2" s="1"/>
  <c r="T401" i="2"/>
  <c r="U401" i="2"/>
  <c r="P402" i="2"/>
  <c r="Q402" i="2"/>
  <c r="R402" i="2" s="1"/>
  <c r="U402" i="2" s="1"/>
  <c r="T402" i="2"/>
  <c r="P403" i="2"/>
  <c r="Q403" i="2"/>
  <c r="R403" i="2" s="1"/>
  <c r="T403" i="2"/>
  <c r="P404" i="2"/>
  <c r="Q404" i="2"/>
  <c r="R404" i="2" s="1"/>
  <c r="T404" i="2"/>
  <c r="P405" i="2"/>
  <c r="Q405" i="2"/>
  <c r="R405" i="2"/>
  <c r="T405" i="2"/>
  <c r="P406" i="2"/>
  <c r="Q406" i="2"/>
  <c r="R406" i="2" s="1"/>
  <c r="T406" i="2"/>
  <c r="P407" i="2"/>
  <c r="Q407" i="2"/>
  <c r="R407" i="2"/>
  <c r="T407" i="2"/>
  <c r="P408" i="2"/>
  <c r="Q408" i="2"/>
  <c r="R408" i="2" s="1"/>
  <c r="T408" i="2"/>
  <c r="P409" i="2"/>
  <c r="Q409" i="2"/>
  <c r="R409" i="2"/>
  <c r="T409" i="2"/>
  <c r="P410" i="2"/>
  <c r="Q410" i="2"/>
  <c r="R410" i="2" s="1"/>
  <c r="T410" i="2"/>
  <c r="P411" i="2"/>
  <c r="Q411" i="2"/>
  <c r="R411" i="2"/>
  <c r="T411" i="2"/>
  <c r="P412" i="2"/>
  <c r="Q412" i="2"/>
  <c r="R412" i="2" s="1"/>
  <c r="T412" i="2"/>
  <c r="P413" i="2"/>
  <c r="Q413" i="2"/>
  <c r="R413" i="2"/>
  <c r="T413" i="2"/>
  <c r="P414" i="2"/>
  <c r="Q414" i="2"/>
  <c r="R414" i="2" s="1"/>
  <c r="T414" i="2"/>
  <c r="P415" i="2"/>
  <c r="Q415" i="2"/>
  <c r="R415" i="2"/>
  <c r="T415" i="2"/>
  <c r="P416" i="2"/>
  <c r="Q416" i="2"/>
  <c r="R416" i="2" s="1"/>
  <c r="T416" i="2"/>
  <c r="P417" i="2"/>
  <c r="Q417" i="2"/>
  <c r="R417" i="2"/>
  <c r="T417" i="2"/>
  <c r="P418" i="2"/>
  <c r="Q418" i="2"/>
  <c r="R418" i="2"/>
  <c r="U418" i="2" s="1"/>
  <c r="T418" i="2"/>
  <c r="P419" i="2"/>
  <c r="Q419" i="2"/>
  <c r="R419" i="2"/>
  <c r="T419" i="2"/>
  <c r="P420" i="2"/>
  <c r="Q420" i="2"/>
  <c r="R420" i="2"/>
  <c r="U420" i="2" s="1"/>
  <c r="T420" i="2"/>
  <c r="P421" i="2"/>
  <c r="Q421" i="2"/>
  <c r="R421" i="2"/>
  <c r="T421" i="2"/>
  <c r="P422" i="2"/>
  <c r="Q422" i="2"/>
  <c r="R422" i="2"/>
  <c r="U422" i="2" s="1"/>
  <c r="T422" i="2"/>
  <c r="P423" i="2"/>
  <c r="Q423" i="2"/>
  <c r="R423" i="2"/>
  <c r="T423" i="2"/>
  <c r="P424" i="2"/>
  <c r="Q424" i="2"/>
  <c r="R424" i="2"/>
  <c r="U424" i="2" s="1"/>
  <c r="T424" i="2"/>
  <c r="P425" i="2"/>
  <c r="Q425" i="2"/>
  <c r="R425" i="2"/>
  <c r="T425" i="2"/>
  <c r="P426" i="2"/>
  <c r="Q426" i="2"/>
  <c r="R426" i="2"/>
  <c r="U426" i="2" s="1"/>
  <c r="T426" i="2"/>
  <c r="P427" i="2"/>
  <c r="Q427" i="2"/>
  <c r="R427" i="2"/>
  <c r="T427" i="2"/>
  <c r="P428" i="2"/>
  <c r="Q428" i="2"/>
  <c r="R428" i="2"/>
  <c r="U428" i="2" s="1"/>
  <c r="T428" i="2"/>
  <c r="P429" i="2"/>
  <c r="Q429" i="2"/>
  <c r="R429" i="2"/>
  <c r="T429" i="2"/>
  <c r="P430" i="2"/>
  <c r="Q430" i="2"/>
  <c r="R430" i="2"/>
  <c r="U430" i="2" s="1"/>
  <c r="T430" i="2"/>
  <c r="P431" i="2"/>
  <c r="Q431" i="2"/>
  <c r="R431" i="2"/>
  <c r="T431" i="2"/>
  <c r="P432" i="2"/>
  <c r="Q432" i="2"/>
  <c r="R432" i="2"/>
  <c r="U432" i="2" s="1"/>
  <c r="T432" i="2"/>
  <c r="P433" i="2"/>
  <c r="Q433" i="2"/>
  <c r="R433" i="2"/>
  <c r="T433" i="2"/>
  <c r="P434" i="2"/>
  <c r="Q434" i="2"/>
  <c r="R434" i="2"/>
  <c r="U434" i="2" s="1"/>
  <c r="T434" i="2"/>
  <c r="P435" i="2"/>
  <c r="Q435" i="2"/>
  <c r="R435" i="2"/>
  <c r="T435" i="2"/>
  <c r="P436" i="2"/>
  <c r="Q436" i="2"/>
  <c r="R436" i="2"/>
  <c r="U436" i="2" s="1"/>
  <c r="T436" i="2"/>
  <c r="P437" i="2"/>
  <c r="Q437" i="2"/>
  <c r="R437" i="2"/>
  <c r="T437" i="2"/>
  <c r="P438" i="2"/>
  <c r="Q438" i="2"/>
  <c r="R438" i="2"/>
  <c r="U438" i="2" s="1"/>
  <c r="T438" i="2"/>
  <c r="P439" i="2"/>
  <c r="Q439" i="2"/>
  <c r="R439" i="2"/>
  <c r="T439" i="2"/>
  <c r="P440" i="2"/>
  <c r="Q440" i="2"/>
  <c r="R440" i="2"/>
  <c r="U440" i="2" s="1"/>
  <c r="T440" i="2"/>
  <c r="P441" i="2"/>
  <c r="Q441" i="2"/>
  <c r="R441" i="2"/>
  <c r="T441" i="2"/>
  <c r="P442" i="2"/>
  <c r="Q442" i="2"/>
  <c r="R442" i="2"/>
  <c r="U442" i="2" s="1"/>
  <c r="T442" i="2"/>
  <c r="P443" i="2"/>
  <c r="Q443" i="2"/>
  <c r="R443" i="2"/>
  <c r="T443" i="2"/>
  <c r="P444" i="2"/>
  <c r="Q444" i="2"/>
  <c r="R444" i="2"/>
  <c r="U444" i="2" s="1"/>
  <c r="T444" i="2"/>
  <c r="P445" i="2"/>
  <c r="Q445" i="2"/>
  <c r="R445" i="2"/>
  <c r="T445" i="2"/>
  <c r="P446" i="2"/>
  <c r="Q446" i="2"/>
  <c r="R446" i="2"/>
  <c r="T446" i="2"/>
  <c r="P447" i="2"/>
  <c r="Q447" i="2"/>
  <c r="R447" i="2"/>
  <c r="T447" i="2"/>
  <c r="P448" i="2"/>
  <c r="Q448" i="2"/>
  <c r="R448" i="2"/>
  <c r="T448" i="2"/>
  <c r="P449" i="2"/>
  <c r="Q449" i="2"/>
  <c r="R449" i="2"/>
  <c r="T449" i="2"/>
  <c r="P450" i="2"/>
  <c r="Q450" i="2"/>
  <c r="R450" i="2"/>
  <c r="T450" i="2"/>
  <c r="P451" i="2"/>
  <c r="Q451" i="2"/>
  <c r="R451" i="2"/>
  <c r="T451" i="2"/>
  <c r="P452" i="2"/>
  <c r="Q452" i="2"/>
  <c r="R452" i="2"/>
  <c r="T452" i="2"/>
  <c r="P453" i="2"/>
  <c r="Q453" i="2"/>
  <c r="R453" i="2"/>
  <c r="T453" i="2"/>
  <c r="P454" i="2"/>
  <c r="Q454" i="2"/>
  <c r="R454" i="2"/>
  <c r="T454" i="2"/>
  <c r="P455" i="2"/>
  <c r="Q455" i="2"/>
  <c r="R455" i="2"/>
  <c r="T455" i="2"/>
  <c r="P456" i="2"/>
  <c r="Q456" i="2"/>
  <c r="R456" i="2"/>
  <c r="T456" i="2"/>
  <c r="P457" i="2"/>
  <c r="Q457" i="2"/>
  <c r="R457" i="2"/>
  <c r="T457" i="2"/>
  <c r="P458" i="2"/>
  <c r="Q458" i="2"/>
  <c r="R458" i="2"/>
  <c r="S458" i="2" s="1"/>
  <c r="T458" i="2"/>
  <c r="P459" i="2"/>
  <c r="Q459" i="2"/>
  <c r="R459" i="2"/>
  <c r="U459" i="2" s="1"/>
  <c r="T459" i="2"/>
  <c r="P460" i="2"/>
  <c r="Q460" i="2"/>
  <c r="R460" i="2" s="1"/>
  <c r="T460" i="2"/>
  <c r="P461" i="2"/>
  <c r="Q461" i="2"/>
  <c r="R461" i="2"/>
  <c r="U461" i="2" s="1"/>
  <c r="S461" i="2"/>
  <c r="T461" i="2"/>
  <c r="P462" i="2"/>
  <c r="Q462" i="2"/>
  <c r="R462" i="2"/>
  <c r="S462" i="2" s="1"/>
  <c r="T462" i="2"/>
  <c r="P463" i="2"/>
  <c r="Q463" i="2"/>
  <c r="R463" i="2"/>
  <c r="U463" i="2" s="1"/>
  <c r="T463" i="2"/>
  <c r="P464" i="2"/>
  <c r="Q464" i="2"/>
  <c r="R464" i="2" s="1"/>
  <c r="T464" i="2"/>
  <c r="P465" i="2"/>
  <c r="Q465" i="2"/>
  <c r="R465" i="2"/>
  <c r="U465" i="2" s="1"/>
  <c r="S465" i="2"/>
  <c r="T465" i="2"/>
  <c r="P466" i="2"/>
  <c r="Q466" i="2"/>
  <c r="R466" i="2"/>
  <c r="S466" i="2" s="1"/>
  <c r="T466" i="2"/>
  <c r="P467" i="2"/>
  <c r="Q467" i="2"/>
  <c r="R467" i="2"/>
  <c r="U467" i="2" s="1"/>
  <c r="T467" i="2"/>
  <c r="P468" i="2"/>
  <c r="Q468" i="2"/>
  <c r="R468" i="2" s="1"/>
  <c r="T468" i="2"/>
  <c r="P469" i="2"/>
  <c r="Q469" i="2"/>
  <c r="R469" i="2"/>
  <c r="U469" i="2" s="1"/>
  <c r="S469" i="2"/>
  <c r="T469" i="2"/>
  <c r="P470" i="2"/>
  <c r="Q470" i="2"/>
  <c r="R470" i="2"/>
  <c r="S470" i="2" s="1"/>
  <c r="T470" i="2"/>
  <c r="P471" i="2"/>
  <c r="Q471" i="2"/>
  <c r="R471" i="2"/>
  <c r="U471" i="2" s="1"/>
  <c r="T471" i="2"/>
  <c r="P472" i="2"/>
  <c r="Q472" i="2"/>
  <c r="R472" i="2" s="1"/>
  <c r="T472" i="2"/>
  <c r="P473" i="2"/>
  <c r="Q473" i="2"/>
  <c r="R473" i="2"/>
  <c r="U473" i="2" s="1"/>
  <c r="S473" i="2"/>
  <c r="T473" i="2"/>
  <c r="P474" i="2"/>
  <c r="Q474" i="2"/>
  <c r="R474" i="2"/>
  <c r="S474" i="2" s="1"/>
  <c r="T474" i="2"/>
  <c r="P475" i="2"/>
  <c r="Q475" i="2"/>
  <c r="R475" i="2"/>
  <c r="U475" i="2" s="1"/>
  <c r="T475" i="2"/>
  <c r="P476" i="2"/>
  <c r="Q476" i="2"/>
  <c r="R476" i="2" s="1"/>
  <c r="T476" i="2"/>
  <c r="P477" i="2"/>
  <c r="Q477" i="2"/>
  <c r="R477" i="2"/>
  <c r="U477" i="2" s="1"/>
  <c r="T477" i="2"/>
  <c r="P478" i="2"/>
  <c r="Q478" i="2"/>
  <c r="R478" i="2" s="1"/>
  <c r="T478" i="2"/>
  <c r="P479" i="2"/>
  <c r="Q479" i="2"/>
  <c r="R479" i="2"/>
  <c r="U479" i="2" s="1"/>
  <c r="T479" i="2"/>
  <c r="P480" i="2"/>
  <c r="Q480" i="2"/>
  <c r="R480" i="2" s="1"/>
  <c r="T480" i="2"/>
  <c r="P481" i="2"/>
  <c r="Q481" i="2"/>
  <c r="R481" i="2"/>
  <c r="U481" i="2" s="1"/>
  <c r="T481" i="2"/>
  <c r="P482" i="2"/>
  <c r="Q482" i="2"/>
  <c r="R482" i="2" s="1"/>
  <c r="T482" i="2"/>
  <c r="P483" i="2"/>
  <c r="Q483" i="2"/>
  <c r="R483" i="2"/>
  <c r="U483" i="2" s="1"/>
  <c r="T483" i="2"/>
  <c r="P484" i="2"/>
  <c r="Q484" i="2"/>
  <c r="R484" i="2" s="1"/>
  <c r="T484" i="2"/>
  <c r="P485" i="2"/>
  <c r="Q485" i="2"/>
  <c r="R485" i="2"/>
  <c r="U485" i="2" s="1"/>
  <c r="T485" i="2"/>
  <c r="P486" i="2"/>
  <c r="Q486" i="2"/>
  <c r="R486" i="2" s="1"/>
  <c r="T486" i="2"/>
  <c r="P487" i="2"/>
  <c r="Q487" i="2"/>
  <c r="R487" i="2"/>
  <c r="U487" i="2" s="1"/>
  <c r="T487" i="2"/>
  <c r="P488" i="2"/>
  <c r="Q488" i="2"/>
  <c r="R488" i="2" s="1"/>
  <c r="T488" i="2"/>
  <c r="P489" i="2"/>
  <c r="Q489" i="2"/>
  <c r="R489" i="2"/>
  <c r="U489" i="2" s="1"/>
  <c r="T489" i="2"/>
  <c r="P490" i="2"/>
  <c r="Q490" i="2"/>
  <c r="R490" i="2" s="1"/>
  <c r="T490" i="2"/>
  <c r="P491" i="2"/>
  <c r="Q491" i="2"/>
  <c r="R491" i="2"/>
  <c r="U491" i="2" s="1"/>
  <c r="T491" i="2"/>
  <c r="P492" i="2"/>
  <c r="Q492" i="2"/>
  <c r="R492" i="2" s="1"/>
  <c r="T492" i="2"/>
  <c r="P493" i="2"/>
  <c r="Q493" i="2"/>
  <c r="R493" i="2"/>
  <c r="U493" i="2" s="1"/>
  <c r="T493" i="2"/>
  <c r="P494" i="2"/>
  <c r="Q494" i="2"/>
  <c r="R494" i="2" s="1"/>
  <c r="T494" i="2"/>
  <c r="P495" i="2"/>
  <c r="Q495" i="2"/>
  <c r="R495" i="2"/>
  <c r="U495" i="2" s="1"/>
  <c r="T495" i="2"/>
  <c r="P496" i="2"/>
  <c r="Q496" i="2"/>
  <c r="R496" i="2" s="1"/>
  <c r="T496" i="2"/>
  <c r="P497" i="2"/>
  <c r="Q497" i="2"/>
  <c r="R497" i="2"/>
  <c r="U497" i="2" s="1"/>
  <c r="T497" i="2"/>
  <c r="P498" i="2"/>
  <c r="Q498" i="2"/>
  <c r="R498" i="2" s="1"/>
  <c r="T498" i="2"/>
  <c r="P499" i="2"/>
  <c r="Q499" i="2"/>
  <c r="R499" i="2"/>
  <c r="U499" i="2" s="1"/>
  <c r="T499" i="2"/>
  <c r="P500" i="2"/>
  <c r="Q500" i="2"/>
  <c r="R500" i="2" s="1"/>
  <c r="T500" i="2"/>
  <c r="P501" i="2"/>
  <c r="Q501" i="2"/>
  <c r="R501" i="2"/>
  <c r="U501" i="2" s="1"/>
  <c r="T501" i="2"/>
  <c r="P502" i="2"/>
  <c r="Q502" i="2"/>
  <c r="R502" i="2" s="1"/>
  <c r="T502" i="2"/>
  <c r="P503" i="2"/>
  <c r="Q503" i="2"/>
  <c r="R503" i="2"/>
  <c r="U503" i="2" s="1"/>
  <c r="T503" i="2"/>
  <c r="P504" i="2"/>
  <c r="Q504" i="2"/>
  <c r="R504" i="2" s="1"/>
  <c r="T504" i="2"/>
  <c r="P505" i="2"/>
  <c r="Q505" i="2"/>
  <c r="R505" i="2"/>
  <c r="U505" i="2" s="1"/>
  <c r="T505" i="2"/>
  <c r="P506" i="2"/>
  <c r="Q506" i="2"/>
  <c r="R506" i="2" s="1"/>
  <c r="T506" i="2"/>
  <c r="P507" i="2"/>
  <c r="Q507" i="2"/>
  <c r="R507" i="2"/>
  <c r="U507" i="2" s="1"/>
  <c r="T507" i="2"/>
  <c r="P508" i="2"/>
  <c r="Q508" i="2"/>
  <c r="R508" i="2" s="1"/>
  <c r="T508" i="2"/>
  <c r="P509" i="2"/>
  <c r="Q509" i="2"/>
  <c r="R509" i="2"/>
  <c r="U509" i="2" s="1"/>
  <c r="T509" i="2"/>
  <c r="P510" i="2"/>
  <c r="Q510" i="2"/>
  <c r="R510" i="2" s="1"/>
  <c r="T510" i="2"/>
  <c r="P511" i="2"/>
  <c r="Q511" i="2"/>
  <c r="R511" i="2"/>
  <c r="U511" i="2" s="1"/>
  <c r="T511" i="2"/>
  <c r="P512" i="2"/>
  <c r="Q512" i="2"/>
  <c r="R512" i="2" s="1"/>
  <c r="T512" i="2"/>
  <c r="P513" i="2"/>
  <c r="Q513" i="2"/>
  <c r="R513" i="2"/>
  <c r="U513" i="2" s="1"/>
  <c r="T513" i="2"/>
  <c r="P514" i="2"/>
  <c r="Q514" i="2"/>
  <c r="R514" i="2" s="1"/>
  <c r="T514" i="2"/>
  <c r="P515" i="2"/>
  <c r="Q515" i="2"/>
  <c r="R515" i="2"/>
  <c r="U515" i="2" s="1"/>
  <c r="T515" i="2"/>
  <c r="P516" i="2"/>
  <c r="Q516" i="2"/>
  <c r="R516" i="2" s="1"/>
  <c r="T516" i="2"/>
  <c r="P517" i="2"/>
  <c r="Q517" i="2"/>
  <c r="R517" i="2"/>
  <c r="U517" i="2" s="1"/>
  <c r="T517" i="2"/>
  <c r="P518" i="2"/>
  <c r="Q518" i="2"/>
  <c r="R518" i="2" s="1"/>
  <c r="T518" i="2"/>
  <c r="P519" i="2"/>
  <c r="Q519" i="2"/>
  <c r="R519" i="2"/>
  <c r="U519" i="2" s="1"/>
  <c r="T519" i="2"/>
  <c r="P520" i="2"/>
  <c r="Q520" i="2"/>
  <c r="R520" i="2" s="1"/>
  <c r="T520" i="2"/>
  <c r="P521" i="2"/>
  <c r="Q521" i="2"/>
  <c r="R521" i="2"/>
  <c r="U521" i="2" s="1"/>
  <c r="T521" i="2"/>
  <c r="P522" i="2"/>
  <c r="Q522" i="2"/>
  <c r="R522" i="2" s="1"/>
  <c r="T522" i="2"/>
  <c r="P523" i="2"/>
  <c r="Q523" i="2"/>
  <c r="R523" i="2"/>
  <c r="U523" i="2" s="1"/>
  <c r="T523" i="2"/>
  <c r="P524" i="2"/>
  <c r="Q524" i="2"/>
  <c r="R524" i="2" s="1"/>
  <c r="T524" i="2"/>
  <c r="P525" i="2"/>
  <c r="Q525" i="2"/>
  <c r="R525" i="2"/>
  <c r="U525" i="2" s="1"/>
  <c r="T525" i="2"/>
  <c r="P526" i="2"/>
  <c r="Q526" i="2"/>
  <c r="R526" i="2" s="1"/>
  <c r="T526" i="2"/>
  <c r="P527" i="2"/>
  <c r="Q527" i="2"/>
  <c r="R527" i="2"/>
  <c r="U527" i="2" s="1"/>
  <c r="T527" i="2"/>
  <c r="P528" i="2"/>
  <c r="Q528" i="2"/>
  <c r="R528" i="2" s="1"/>
  <c r="T528" i="2"/>
  <c r="P529" i="2"/>
  <c r="Q529" i="2"/>
  <c r="R529" i="2"/>
  <c r="U529" i="2" s="1"/>
  <c r="T529" i="2"/>
  <c r="P530" i="2"/>
  <c r="Q530" i="2"/>
  <c r="R530" i="2" s="1"/>
  <c r="T530" i="2"/>
  <c r="P531" i="2"/>
  <c r="Q531" i="2"/>
  <c r="R531" i="2"/>
  <c r="U531" i="2" s="1"/>
  <c r="T531" i="2"/>
  <c r="P532" i="2"/>
  <c r="Q532" i="2"/>
  <c r="R532" i="2" s="1"/>
  <c r="T532" i="2"/>
  <c r="P533" i="2"/>
  <c r="Q533" i="2"/>
  <c r="R533" i="2"/>
  <c r="U533" i="2" s="1"/>
  <c r="T533" i="2"/>
  <c r="P534" i="2"/>
  <c r="Q534" i="2"/>
  <c r="R534" i="2" s="1"/>
  <c r="T534" i="2"/>
  <c r="P535" i="2"/>
  <c r="Q535" i="2"/>
  <c r="R535" i="2"/>
  <c r="U535" i="2" s="1"/>
  <c r="T535" i="2"/>
  <c r="P536" i="2"/>
  <c r="Q536" i="2"/>
  <c r="R536" i="2" s="1"/>
  <c r="T536" i="2"/>
  <c r="P537" i="2"/>
  <c r="Q537" i="2"/>
  <c r="R537" i="2"/>
  <c r="U537" i="2" s="1"/>
  <c r="T537" i="2"/>
  <c r="P538" i="2"/>
  <c r="Q538" i="2"/>
  <c r="R538" i="2" s="1"/>
  <c r="T538" i="2"/>
  <c r="P539" i="2"/>
  <c r="Q539" i="2"/>
  <c r="R539" i="2"/>
  <c r="U539" i="2" s="1"/>
  <c r="T539" i="2"/>
  <c r="P540" i="2"/>
  <c r="Q540" i="2"/>
  <c r="R540" i="2" s="1"/>
  <c r="T540" i="2"/>
  <c r="P541" i="2"/>
  <c r="Q541" i="2"/>
  <c r="R541" i="2"/>
  <c r="U541" i="2" s="1"/>
  <c r="T541" i="2"/>
  <c r="P542" i="2"/>
  <c r="Q542" i="2"/>
  <c r="R542" i="2" s="1"/>
  <c r="T542" i="2"/>
  <c r="P543" i="2"/>
  <c r="Q543" i="2"/>
  <c r="R543" i="2"/>
  <c r="U543" i="2" s="1"/>
  <c r="T543" i="2"/>
  <c r="P544" i="2"/>
  <c r="Q544" i="2"/>
  <c r="R544" i="2" s="1"/>
  <c r="T544" i="2"/>
  <c r="P545" i="2"/>
  <c r="Q545" i="2"/>
  <c r="R545" i="2"/>
  <c r="U545" i="2" s="1"/>
  <c r="T545" i="2"/>
  <c r="P546" i="2"/>
  <c r="Q546" i="2"/>
  <c r="R546" i="2" s="1"/>
  <c r="T546" i="2"/>
  <c r="P547" i="2"/>
  <c r="Q547" i="2"/>
  <c r="R547" i="2"/>
  <c r="U547" i="2" s="1"/>
  <c r="T547" i="2"/>
  <c r="P548" i="2"/>
  <c r="Q548" i="2"/>
  <c r="R548" i="2" s="1"/>
  <c r="T548" i="2"/>
  <c r="P549" i="2"/>
  <c r="Q549" i="2"/>
  <c r="R549" i="2"/>
  <c r="U549" i="2" s="1"/>
  <c r="T549" i="2"/>
  <c r="P550" i="2"/>
  <c r="Q550" i="2"/>
  <c r="R550" i="2" s="1"/>
  <c r="T550" i="2"/>
  <c r="P551" i="2"/>
  <c r="Q551" i="2"/>
  <c r="R551" i="2"/>
  <c r="U551" i="2" s="1"/>
  <c r="T551" i="2"/>
  <c r="P552" i="2"/>
  <c r="Q552" i="2"/>
  <c r="R552" i="2" s="1"/>
  <c r="T552" i="2"/>
  <c r="P553" i="2"/>
  <c r="Q553" i="2"/>
  <c r="R553" i="2"/>
  <c r="U553" i="2" s="1"/>
  <c r="T553" i="2"/>
  <c r="P554" i="2"/>
  <c r="Q554" i="2"/>
  <c r="R554" i="2" s="1"/>
  <c r="T554" i="2"/>
  <c r="P555" i="2"/>
  <c r="Q555" i="2"/>
  <c r="R555" i="2"/>
  <c r="U555" i="2" s="1"/>
  <c r="T555" i="2"/>
  <c r="P556" i="2"/>
  <c r="Q556" i="2"/>
  <c r="R556" i="2" s="1"/>
  <c r="T556" i="2"/>
  <c r="P557" i="2"/>
  <c r="Q557" i="2"/>
  <c r="R557" i="2"/>
  <c r="U557" i="2" s="1"/>
  <c r="T557" i="2"/>
  <c r="P558" i="2"/>
  <c r="Q558" i="2"/>
  <c r="R558" i="2" s="1"/>
  <c r="T558" i="2"/>
  <c r="P559" i="2"/>
  <c r="Q559" i="2"/>
  <c r="R559" i="2"/>
  <c r="U559" i="2" s="1"/>
  <c r="T559" i="2"/>
  <c r="P560" i="2"/>
  <c r="Q560" i="2"/>
  <c r="R560" i="2" s="1"/>
  <c r="T560" i="2"/>
  <c r="P561" i="2"/>
  <c r="Q561" i="2"/>
  <c r="R561" i="2"/>
  <c r="U561" i="2" s="1"/>
  <c r="T561" i="2"/>
  <c r="P562" i="2"/>
  <c r="Q562" i="2"/>
  <c r="R562" i="2" s="1"/>
  <c r="T562" i="2"/>
  <c r="P563" i="2"/>
  <c r="Q563" i="2"/>
  <c r="R563" i="2"/>
  <c r="U563" i="2" s="1"/>
  <c r="T563" i="2"/>
  <c r="P564" i="2"/>
  <c r="Q564" i="2"/>
  <c r="R564" i="2" s="1"/>
  <c r="T564" i="2"/>
  <c r="P565" i="2"/>
  <c r="Q565" i="2"/>
  <c r="R565" i="2"/>
  <c r="U565" i="2" s="1"/>
  <c r="T565" i="2"/>
  <c r="P566" i="2"/>
  <c r="Q566" i="2"/>
  <c r="R566" i="2" s="1"/>
  <c r="T566" i="2"/>
  <c r="P567" i="2"/>
  <c r="Q567" i="2"/>
  <c r="R567" i="2"/>
  <c r="U567" i="2" s="1"/>
  <c r="T567" i="2"/>
  <c r="P568" i="2"/>
  <c r="Q568" i="2"/>
  <c r="R568" i="2" s="1"/>
  <c r="T568" i="2"/>
  <c r="P569" i="2"/>
  <c r="Q569" i="2"/>
  <c r="R569" i="2"/>
  <c r="U569" i="2" s="1"/>
  <c r="T569" i="2"/>
  <c r="P570" i="2"/>
  <c r="Q570" i="2"/>
  <c r="R570" i="2" s="1"/>
  <c r="T570" i="2"/>
  <c r="P571" i="2"/>
  <c r="Q571" i="2"/>
  <c r="R571" i="2"/>
  <c r="U571" i="2" s="1"/>
  <c r="T571" i="2"/>
  <c r="P572" i="2"/>
  <c r="Q572" i="2"/>
  <c r="R572" i="2" s="1"/>
  <c r="T572" i="2"/>
  <c r="P573" i="2"/>
  <c r="Q573" i="2"/>
  <c r="R573" i="2"/>
  <c r="U573" i="2" s="1"/>
  <c r="T573" i="2"/>
  <c r="P574" i="2"/>
  <c r="Q574" i="2"/>
  <c r="R574" i="2" s="1"/>
  <c r="T574" i="2"/>
  <c r="P575" i="2"/>
  <c r="Q575" i="2"/>
  <c r="R575" i="2"/>
  <c r="U575" i="2" s="1"/>
  <c r="T575" i="2"/>
  <c r="P576" i="2"/>
  <c r="Q576" i="2"/>
  <c r="R576" i="2" s="1"/>
  <c r="T576" i="2"/>
  <c r="P577" i="2"/>
  <c r="Q577" i="2"/>
  <c r="R577" i="2"/>
  <c r="U577" i="2" s="1"/>
  <c r="T577" i="2"/>
  <c r="P578" i="2"/>
  <c r="Q578" i="2"/>
  <c r="R578" i="2" s="1"/>
  <c r="T578" i="2"/>
  <c r="P579" i="2"/>
  <c r="Q579" i="2"/>
  <c r="R579" i="2"/>
  <c r="U579" i="2" s="1"/>
  <c r="T579" i="2"/>
  <c r="P580" i="2"/>
  <c r="Q580" i="2"/>
  <c r="R580" i="2" s="1"/>
  <c r="T580" i="2"/>
  <c r="P581" i="2"/>
  <c r="Q581" i="2"/>
  <c r="R581" i="2"/>
  <c r="U581" i="2" s="1"/>
  <c r="T581" i="2"/>
  <c r="P582" i="2"/>
  <c r="Q582" i="2"/>
  <c r="R582" i="2" s="1"/>
  <c r="T582" i="2"/>
  <c r="P583" i="2"/>
  <c r="Q583" i="2"/>
  <c r="R583" i="2"/>
  <c r="U583" i="2" s="1"/>
  <c r="T583" i="2"/>
  <c r="P584" i="2"/>
  <c r="Q584" i="2"/>
  <c r="R584" i="2" s="1"/>
  <c r="T584" i="2"/>
  <c r="P585" i="2"/>
  <c r="Q585" i="2"/>
  <c r="R585" i="2"/>
  <c r="T585" i="2"/>
  <c r="P586" i="2"/>
  <c r="Q586" i="2"/>
  <c r="R586" i="2" s="1"/>
  <c r="T586" i="2"/>
  <c r="P587" i="2"/>
  <c r="Q587" i="2"/>
  <c r="R587" i="2"/>
  <c r="T587" i="2"/>
  <c r="P588" i="2"/>
  <c r="Q588" i="2"/>
  <c r="R588" i="2" s="1"/>
  <c r="T588" i="2"/>
  <c r="P589" i="2"/>
  <c r="Q589" i="2"/>
  <c r="R589" i="2"/>
  <c r="T589" i="2"/>
  <c r="P590" i="2"/>
  <c r="Q590" i="2"/>
  <c r="R590" i="2" s="1"/>
  <c r="T590" i="2"/>
  <c r="P591" i="2"/>
  <c r="Q591" i="2"/>
  <c r="R591" i="2"/>
  <c r="T591" i="2"/>
  <c r="P592" i="2"/>
  <c r="Q592" i="2"/>
  <c r="R592" i="2" s="1"/>
  <c r="T592" i="2"/>
  <c r="P593" i="2"/>
  <c r="Q593" i="2"/>
  <c r="R593" i="2"/>
  <c r="T593" i="2"/>
  <c r="P594" i="2"/>
  <c r="Q594" i="2"/>
  <c r="R594" i="2" s="1"/>
  <c r="T594" i="2"/>
  <c r="P595" i="2"/>
  <c r="Q595" i="2"/>
  <c r="R595" i="2"/>
  <c r="T595" i="2"/>
  <c r="P596" i="2"/>
  <c r="Q596" i="2"/>
  <c r="R596" i="2" s="1"/>
  <c r="T596" i="2"/>
  <c r="P597" i="2"/>
  <c r="Q597" i="2"/>
  <c r="R597" i="2"/>
  <c r="T597" i="2"/>
  <c r="P598" i="2"/>
  <c r="Q598" i="2"/>
  <c r="R598" i="2" s="1"/>
  <c r="T598" i="2"/>
  <c r="P599" i="2"/>
  <c r="Q599" i="2"/>
  <c r="R599" i="2"/>
  <c r="T599" i="2"/>
  <c r="P600" i="2"/>
  <c r="Q600" i="2"/>
  <c r="R600" i="2" s="1"/>
  <c r="T600" i="2"/>
  <c r="P601" i="2"/>
  <c r="Q601" i="2"/>
  <c r="R601" i="2"/>
  <c r="T601" i="2"/>
  <c r="P602" i="2"/>
  <c r="Q602" i="2"/>
  <c r="R602" i="2" s="1"/>
  <c r="T602" i="2"/>
  <c r="P603" i="2"/>
  <c r="Q603" i="2"/>
  <c r="R603" i="2"/>
  <c r="T603" i="2"/>
  <c r="P604" i="2"/>
  <c r="Q604" i="2"/>
  <c r="R604" i="2" s="1"/>
  <c r="T604" i="2"/>
  <c r="P605" i="2"/>
  <c r="Q605" i="2"/>
  <c r="R605" i="2"/>
  <c r="T605" i="2"/>
  <c r="P606" i="2"/>
  <c r="Q606" i="2"/>
  <c r="R606" i="2" s="1"/>
  <c r="T606" i="2"/>
  <c r="P607" i="2"/>
  <c r="Q607" i="2"/>
  <c r="R607" i="2"/>
  <c r="T607" i="2"/>
  <c r="P608" i="2"/>
  <c r="Q608" i="2"/>
  <c r="R608" i="2" s="1"/>
  <c r="T608" i="2"/>
  <c r="P609" i="2"/>
  <c r="Q609" i="2"/>
  <c r="R609" i="2"/>
  <c r="T609" i="2"/>
  <c r="P610" i="2"/>
  <c r="Q610" i="2"/>
  <c r="R610" i="2" s="1"/>
  <c r="T610" i="2"/>
  <c r="P611" i="2"/>
  <c r="Q611" i="2"/>
  <c r="R611" i="2"/>
  <c r="T611" i="2"/>
  <c r="P612" i="2"/>
  <c r="Q612" i="2"/>
  <c r="R612" i="2" s="1"/>
  <c r="T612" i="2"/>
  <c r="P613" i="2"/>
  <c r="Q613" i="2"/>
  <c r="R613" i="2"/>
  <c r="T613" i="2"/>
  <c r="P614" i="2"/>
  <c r="Q614" i="2"/>
  <c r="R614" i="2"/>
  <c r="S614" i="2" s="1"/>
  <c r="T614" i="2"/>
  <c r="P615" i="2"/>
  <c r="Q615" i="2"/>
  <c r="R615" i="2"/>
  <c r="T615" i="2"/>
  <c r="P616" i="2"/>
  <c r="Q616" i="2"/>
  <c r="R616" i="2"/>
  <c r="S616" i="2" s="1"/>
  <c r="T616" i="2"/>
  <c r="P617" i="2"/>
  <c r="Q617" i="2"/>
  <c r="R617" i="2"/>
  <c r="T617" i="2"/>
  <c r="P618" i="2"/>
  <c r="Q618" i="2"/>
  <c r="R618" i="2"/>
  <c r="S618" i="2" s="1"/>
  <c r="T618" i="2"/>
  <c r="P619" i="2"/>
  <c r="Q619" i="2"/>
  <c r="R619" i="2"/>
  <c r="T619" i="2"/>
  <c r="P620" i="2"/>
  <c r="Q620" i="2"/>
  <c r="R620" i="2"/>
  <c r="S620" i="2" s="1"/>
  <c r="T620" i="2"/>
  <c r="P621" i="2"/>
  <c r="Q621" i="2"/>
  <c r="R621" i="2"/>
  <c r="T621" i="2"/>
  <c r="P622" i="2"/>
  <c r="Q622" i="2"/>
  <c r="R622" i="2"/>
  <c r="S622" i="2" s="1"/>
  <c r="T622" i="2"/>
  <c r="P623" i="2"/>
  <c r="Q623" i="2"/>
  <c r="R623" i="2"/>
  <c r="T623" i="2"/>
  <c r="P624" i="2"/>
  <c r="Q624" i="2"/>
  <c r="R624" i="2"/>
  <c r="S624" i="2" s="1"/>
  <c r="T624" i="2"/>
  <c r="P625" i="2"/>
  <c r="Q625" i="2"/>
  <c r="R625" i="2"/>
  <c r="T625" i="2"/>
  <c r="P626" i="2"/>
  <c r="Q626" i="2"/>
  <c r="R626" i="2"/>
  <c r="S626" i="2" s="1"/>
  <c r="T626" i="2"/>
  <c r="P627" i="2"/>
  <c r="Q627" i="2"/>
  <c r="R627" i="2"/>
  <c r="T627" i="2"/>
  <c r="P628" i="2"/>
  <c r="Q628" i="2"/>
  <c r="R628" i="2"/>
  <c r="S628" i="2" s="1"/>
  <c r="T628" i="2"/>
  <c r="P629" i="2"/>
  <c r="Q629" i="2"/>
  <c r="R629" i="2"/>
  <c r="T629" i="2"/>
  <c r="P630" i="2"/>
  <c r="Q630" i="2"/>
  <c r="R630" i="2"/>
  <c r="S630" i="2" s="1"/>
  <c r="T630" i="2"/>
  <c r="P631" i="2"/>
  <c r="Q631" i="2"/>
  <c r="R631" i="2"/>
  <c r="T631" i="2"/>
  <c r="P632" i="2"/>
  <c r="Q632" i="2"/>
  <c r="R632" i="2"/>
  <c r="S632" i="2" s="1"/>
  <c r="T632" i="2"/>
  <c r="P633" i="2"/>
  <c r="Q633" i="2"/>
  <c r="R633" i="2"/>
  <c r="T633" i="2"/>
  <c r="P634" i="2"/>
  <c r="Q634" i="2"/>
  <c r="R634" i="2"/>
  <c r="S634" i="2" s="1"/>
  <c r="T634" i="2"/>
  <c r="P635" i="2"/>
  <c r="Q635" i="2"/>
  <c r="R635" i="2"/>
  <c r="T635" i="2"/>
  <c r="P636" i="2"/>
  <c r="Q636" i="2"/>
  <c r="R636" i="2"/>
  <c r="T636" i="2"/>
  <c r="P637" i="2"/>
  <c r="Q637" i="2"/>
  <c r="R637" i="2"/>
  <c r="T637" i="2"/>
  <c r="P638" i="2"/>
  <c r="Q638" i="2"/>
  <c r="R638" i="2"/>
  <c r="T638" i="2"/>
  <c r="P639" i="2"/>
  <c r="Q639" i="2"/>
  <c r="R639" i="2"/>
  <c r="T639" i="2"/>
  <c r="P640" i="2"/>
  <c r="Q640" i="2"/>
  <c r="R640" i="2"/>
  <c r="T640" i="2"/>
  <c r="P641" i="2"/>
  <c r="Q641" i="2"/>
  <c r="R641" i="2"/>
  <c r="S641" i="2" s="1"/>
  <c r="T641" i="2"/>
  <c r="P642" i="2"/>
  <c r="Q642" i="2"/>
  <c r="R642" i="2"/>
  <c r="U642" i="2" s="1"/>
  <c r="T642" i="2"/>
  <c r="P643" i="2"/>
  <c r="Q643" i="2"/>
  <c r="R643" i="2"/>
  <c r="S643" i="2" s="1"/>
  <c r="T643" i="2"/>
  <c r="P644" i="2"/>
  <c r="Q644" i="2"/>
  <c r="R644" i="2"/>
  <c r="U644" i="2" s="1"/>
  <c r="T644" i="2"/>
  <c r="P645" i="2"/>
  <c r="Q645" i="2"/>
  <c r="R645" i="2"/>
  <c r="S645" i="2" s="1"/>
  <c r="T645" i="2"/>
  <c r="P646" i="2"/>
  <c r="Q646" i="2"/>
  <c r="R646" i="2"/>
  <c r="U646" i="2" s="1"/>
  <c r="T646" i="2"/>
  <c r="P647" i="2"/>
  <c r="Q647" i="2"/>
  <c r="R647" i="2"/>
  <c r="S647" i="2" s="1"/>
  <c r="T647" i="2"/>
  <c r="P648" i="2"/>
  <c r="Q648" i="2"/>
  <c r="R648" i="2"/>
  <c r="U648" i="2" s="1"/>
  <c r="T648" i="2"/>
  <c r="P649" i="2"/>
  <c r="Q649" i="2"/>
  <c r="R649" i="2"/>
  <c r="S649" i="2" s="1"/>
  <c r="T649" i="2"/>
  <c r="P650" i="2"/>
  <c r="Q650" i="2"/>
  <c r="R650" i="2"/>
  <c r="U650" i="2" s="1"/>
  <c r="T650" i="2"/>
  <c r="P651" i="2"/>
  <c r="Q651" i="2"/>
  <c r="R651" i="2"/>
  <c r="S651" i="2" s="1"/>
  <c r="T651" i="2"/>
  <c r="P652" i="2"/>
  <c r="Q652" i="2"/>
  <c r="R652" i="2"/>
  <c r="U652" i="2" s="1"/>
  <c r="T652" i="2"/>
  <c r="P653" i="2"/>
  <c r="Q653" i="2"/>
  <c r="R653" i="2"/>
  <c r="S653" i="2" s="1"/>
  <c r="T653" i="2"/>
  <c r="P654" i="2"/>
  <c r="Q654" i="2"/>
  <c r="R654" i="2"/>
  <c r="U654" i="2" s="1"/>
  <c r="T654" i="2"/>
  <c r="P655" i="2"/>
  <c r="Q655" i="2"/>
  <c r="R655" i="2"/>
  <c r="S655" i="2" s="1"/>
  <c r="T655" i="2"/>
  <c r="P656" i="2"/>
  <c r="Q656" i="2"/>
  <c r="R656" i="2"/>
  <c r="U656" i="2" s="1"/>
  <c r="T656" i="2"/>
  <c r="P657" i="2"/>
  <c r="Q657" i="2"/>
  <c r="R657" i="2"/>
  <c r="S657" i="2" s="1"/>
  <c r="T657" i="2"/>
  <c r="P658" i="2"/>
  <c r="Q658" i="2"/>
  <c r="R658" i="2"/>
  <c r="U658" i="2" s="1"/>
  <c r="T658" i="2"/>
  <c r="P659" i="2"/>
  <c r="Q659" i="2"/>
  <c r="R659" i="2"/>
  <c r="S659" i="2" s="1"/>
  <c r="T659" i="2"/>
  <c r="P660" i="2"/>
  <c r="Q660" i="2"/>
  <c r="R660" i="2"/>
  <c r="U660" i="2" s="1"/>
  <c r="T660" i="2"/>
  <c r="P661" i="2"/>
  <c r="Q661" i="2"/>
  <c r="R661" i="2"/>
  <c r="S661" i="2" s="1"/>
  <c r="T661" i="2"/>
  <c r="P662" i="2"/>
  <c r="Q662" i="2"/>
  <c r="R662" i="2"/>
  <c r="U662" i="2" s="1"/>
  <c r="T662" i="2"/>
  <c r="P663" i="2"/>
  <c r="Q663" i="2"/>
  <c r="R663" i="2"/>
  <c r="S663" i="2" s="1"/>
  <c r="T663" i="2"/>
  <c r="P664" i="2"/>
  <c r="Q664" i="2"/>
  <c r="R664" i="2"/>
  <c r="U664" i="2" s="1"/>
  <c r="T664" i="2"/>
  <c r="P665" i="2"/>
  <c r="Q665" i="2"/>
  <c r="R665" i="2"/>
  <c r="S665" i="2" s="1"/>
  <c r="T665" i="2"/>
  <c r="P666" i="2"/>
  <c r="Q666" i="2"/>
  <c r="R666" i="2"/>
  <c r="U666" i="2" s="1"/>
  <c r="T666" i="2"/>
  <c r="P667" i="2"/>
  <c r="Q667" i="2"/>
  <c r="R667" i="2"/>
  <c r="S667" i="2" s="1"/>
  <c r="T667" i="2"/>
  <c r="P668" i="2"/>
  <c r="Q668" i="2"/>
  <c r="R668" i="2"/>
  <c r="U668" i="2" s="1"/>
  <c r="T668" i="2"/>
  <c r="P669" i="2"/>
  <c r="Q669" i="2"/>
  <c r="R669" i="2"/>
  <c r="S669" i="2" s="1"/>
  <c r="T669" i="2"/>
  <c r="P670" i="2"/>
  <c r="Q670" i="2"/>
  <c r="R670" i="2"/>
  <c r="U670" i="2" s="1"/>
  <c r="T670" i="2"/>
  <c r="P671" i="2"/>
  <c r="Q671" i="2"/>
  <c r="R671" i="2"/>
  <c r="S671" i="2" s="1"/>
  <c r="T671" i="2"/>
  <c r="P672" i="2"/>
  <c r="Q672" i="2"/>
  <c r="R672" i="2"/>
  <c r="U672" i="2" s="1"/>
  <c r="T672" i="2"/>
  <c r="P673" i="2"/>
  <c r="Q673" i="2"/>
  <c r="R673" i="2"/>
  <c r="S673" i="2" s="1"/>
  <c r="T673" i="2"/>
  <c r="P674" i="2"/>
  <c r="Q674" i="2"/>
  <c r="R674" i="2"/>
  <c r="U674" i="2" s="1"/>
  <c r="T674" i="2"/>
  <c r="P675" i="2"/>
  <c r="Q675" i="2"/>
  <c r="R675" i="2"/>
  <c r="S675" i="2" s="1"/>
  <c r="T675" i="2"/>
  <c r="P676" i="2"/>
  <c r="Q676" i="2"/>
  <c r="R676" i="2"/>
  <c r="U676" i="2" s="1"/>
  <c r="T676" i="2"/>
  <c r="P677" i="2"/>
  <c r="Q677" i="2"/>
  <c r="R677" i="2"/>
  <c r="S677" i="2" s="1"/>
  <c r="T677" i="2"/>
  <c r="P678" i="2"/>
  <c r="Q678" i="2"/>
  <c r="R678" i="2"/>
  <c r="U678" i="2" s="1"/>
  <c r="T678" i="2"/>
  <c r="P679" i="2"/>
  <c r="Q679" i="2"/>
  <c r="R679" i="2"/>
  <c r="S679" i="2" s="1"/>
  <c r="T679" i="2"/>
  <c r="P680" i="2"/>
  <c r="Q680" i="2"/>
  <c r="R680" i="2"/>
  <c r="U680" i="2" s="1"/>
  <c r="T680" i="2"/>
  <c r="P681" i="2"/>
  <c r="Q681" i="2"/>
  <c r="R681" i="2"/>
  <c r="S681" i="2" s="1"/>
  <c r="T681" i="2"/>
  <c r="P682" i="2"/>
  <c r="Q682" i="2"/>
  <c r="R682" i="2"/>
  <c r="U682" i="2" s="1"/>
  <c r="T682" i="2"/>
  <c r="P683" i="2"/>
  <c r="Q683" i="2"/>
  <c r="R683" i="2"/>
  <c r="S683" i="2" s="1"/>
  <c r="T683" i="2"/>
  <c r="P684" i="2"/>
  <c r="Q684" i="2"/>
  <c r="R684" i="2"/>
  <c r="U684" i="2" s="1"/>
  <c r="T684" i="2"/>
  <c r="P685" i="2"/>
  <c r="Q685" i="2"/>
  <c r="R685" i="2"/>
  <c r="S685" i="2" s="1"/>
  <c r="T685" i="2"/>
  <c r="P686" i="2"/>
  <c r="Q686" i="2"/>
  <c r="R686" i="2"/>
  <c r="U686" i="2" s="1"/>
  <c r="T686" i="2"/>
  <c r="P687" i="2"/>
  <c r="Q687" i="2"/>
  <c r="R687" i="2"/>
  <c r="S687" i="2" s="1"/>
  <c r="T687" i="2"/>
  <c r="P688" i="2"/>
  <c r="Q688" i="2"/>
  <c r="R688" i="2"/>
  <c r="U688" i="2" s="1"/>
  <c r="T688" i="2"/>
  <c r="P689" i="2"/>
  <c r="Q689" i="2"/>
  <c r="R689" i="2"/>
  <c r="S689" i="2" s="1"/>
  <c r="T689" i="2"/>
  <c r="P690" i="2"/>
  <c r="Q690" i="2"/>
  <c r="R690" i="2"/>
  <c r="U690" i="2" s="1"/>
  <c r="T690" i="2"/>
  <c r="P691" i="2"/>
  <c r="Q691" i="2"/>
  <c r="R691" i="2"/>
  <c r="S691" i="2" s="1"/>
  <c r="T691" i="2"/>
  <c r="P692" i="2"/>
  <c r="Q692" i="2"/>
  <c r="R692" i="2"/>
  <c r="U692" i="2" s="1"/>
  <c r="T692" i="2"/>
  <c r="P693" i="2"/>
  <c r="Q693" i="2"/>
  <c r="R693" i="2"/>
  <c r="S693" i="2" s="1"/>
  <c r="T693" i="2"/>
  <c r="P694" i="2"/>
  <c r="Q694" i="2"/>
  <c r="R694" i="2"/>
  <c r="U694" i="2" s="1"/>
  <c r="T694" i="2"/>
  <c r="P695" i="2"/>
  <c r="Q695" i="2"/>
  <c r="R695" i="2"/>
  <c r="S695" i="2" s="1"/>
  <c r="T695" i="2"/>
  <c r="P696" i="2"/>
  <c r="Q696" i="2"/>
  <c r="R696" i="2"/>
  <c r="U696" i="2" s="1"/>
  <c r="T696" i="2"/>
  <c r="P697" i="2"/>
  <c r="Q697" i="2"/>
  <c r="R697" i="2"/>
  <c r="S697" i="2" s="1"/>
  <c r="T697" i="2"/>
  <c r="P698" i="2"/>
  <c r="Q698" i="2"/>
  <c r="R698" i="2"/>
  <c r="U698" i="2" s="1"/>
  <c r="T698" i="2"/>
  <c r="P699" i="2"/>
  <c r="Q699" i="2"/>
  <c r="R699" i="2"/>
  <c r="S699" i="2" s="1"/>
  <c r="T699" i="2"/>
  <c r="P700" i="2"/>
  <c r="Q700" i="2"/>
  <c r="R700" i="2"/>
  <c r="U700" i="2" s="1"/>
  <c r="T700" i="2"/>
  <c r="P701" i="2"/>
  <c r="Q701" i="2"/>
  <c r="R701" i="2"/>
  <c r="T701" i="2"/>
  <c r="P702" i="2"/>
  <c r="Q702" i="2"/>
  <c r="R702" i="2"/>
  <c r="U702" i="2" s="1"/>
  <c r="T702" i="2"/>
  <c r="P703" i="2"/>
  <c r="Q703" i="2"/>
  <c r="R703" i="2"/>
  <c r="T703" i="2"/>
  <c r="P704" i="2"/>
  <c r="Q704" i="2"/>
  <c r="R704" i="2"/>
  <c r="U704" i="2" s="1"/>
  <c r="T704" i="2"/>
  <c r="P705" i="2"/>
  <c r="Q705" i="2"/>
  <c r="R705" i="2"/>
  <c r="T705" i="2"/>
  <c r="P706" i="2"/>
  <c r="Q706" i="2"/>
  <c r="R706" i="2"/>
  <c r="U706" i="2" s="1"/>
  <c r="T706" i="2"/>
  <c r="P707" i="2"/>
  <c r="Q707" i="2"/>
  <c r="R707" i="2"/>
  <c r="T707" i="2"/>
  <c r="P708" i="2"/>
  <c r="Q708" i="2"/>
  <c r="R708" i="2"/>
  <c r="U708" i="2" s="1"/>
  <c r="T708" i="2"/>
  <c r="P709" i="2"/>
  <c r="Q709" i="2"/>
  <c r="R709" i="2"/>
  <c r="T709" i="2"/>
  <c r="P710" i="2"/>
  <c r="Q710" i="2"/>
  <c r="R710" i="2"/>
  <c r="U710" i="2" s="1"/>
  <c r="T710" i="2"/>
  <c r="P711" i="2"/>
  <c r="Q711" i="2"/>
  <c r="R711" i="2"/>
  <c r="T711" i="2"/>
  <c r="P712" i="2"/>
  <c r="Q712" i="2"/>
  <c r="R712" i="2"/>
  <c r="U712" i="2" s="1"/>
  <c r="T712" i="2"/>
  <c r="P713" i="2"/>
  <c r="Q713" i="2"/>
  <c r="R713" i="2"/>
  <c r="T713" i="2"/>
  <c r="P714" i="2"/>
  <c r="Q714" i="2"/>
  <c r="R714" i="2"/>
  <c r="U714" i="2" s="1"/>
  <c r="T714" i="2"/>
  <c r="P715" i="2"/>
  <c r="Q715" i="2"/>
  <c r="R715" i="2"/>
  <c r="T715" i="2"/>
  <c r="P716" i="2"/>
  <c r="Q716" i="2"/>
  <c r="R716" i="2"/>
  <c r="U716" i="2" s="1"/>
  <c r="T716" i="2"/>
  <c r="P717" i="2"/>
  <c r="Q717" i="2"/>
  <c r="R717" i="2"/>
  <c r="T717" i="2"/>
  <c r="P718" i="2"/>
  <c r="Q718" i="2"/>
  <c r="R718" i="2"/>
  <c r="U718" i="2" s="1"/>
  <c r="T718" i="2"/>
  <c r="P719" i="2"/>
  <c r="Q719" i="2"/>
  <c r="R719" i="2"/>
  <c r="T719" i="2"/>
  <c r="P720" i="2"/>
  <c r="Q720" i="2"/>
  <c r="R720" i="2"/>
  <c r="U720" i="2" s="1"/>
  <c r="T720" i="2"/>
  <c r="P721" i="2"/>
  <c r="Q721" i="2"/>
  <c r="R721" i="2"/>
  <c r="T721" i="2"/>
  <c r="P722" i="2"/>
  <c r="Q722" i="2"/>
  <c r="R722" i="2"/>
  <c r="U722" i="2" s="1"/>
  <c r="T722" i="2"/>
  <c r="P723" i="2"/>
  <c r="Q723" i="2"/>
  <c r="R723" i="2"/>
  <c r="T723" i="2"/>
  <c r="P724" i="2"/>
  <c r="Q724" i="2"/>
  <c r="R724" i="2"/>
  <c r="T724" i="2"/>
  <c r="P725" i="2"/>
  <c r="Q725" i="2"/>
  <c r="R725" i="2"/>
  <c r="T725" i="2"/>
  <c r="P726" i="2"/>
  <c r="Q726" i="2"/>
  <c r="R726" i="2"/>
  <c r="T726" i="2"/>
  <c r="P727" i="2"/>
  <c r="Q727" i="2"/>
  <c r="R727" i="2"/>
  <c r="T727" i="2"/>
  <c r="P728" i="2"/>
  <c r="Q728" i="2"/>
  <c r="R728" i="2"/>
  <c r="T728" i="2"/>
  <c r="P729" i="2"/>
  <c r="Q729" i="2"/>
  <c r="R729" i="2"/>
  <c r="T729" i="2"/>
  <c r="P730" i="2"/>
  <c r="Q730" i="2"/>
  <c r="R730" i="2"/>
  <c r="T730" i="2"/>
  <c r="P731" i="2"/>
  <c r="Q731" i="2"/>
  <c r="R731" i="2"/>
  <c r="T731" i="2"/>
  <c r="P732" i="2"/>
  <c r="Q732" i="2"/>
  <c r="R732" i="2"/>
  <c r="T732" i="2"/>
  <c r="P733" i="2"/>
  <c r="Q733" i="2"/>
  <c r="R733" i="2"/>
  <c r="T733" i="2"/>
  <c r="P734" i="2"/>
  <c r="Q734" i="2"/>
  <c r="R734" i="2"/>
  <c r="T734" i="2"/>
  <c r="P735" i="2"/>
  <c r="Q735" i="2"/>
  <c r="R735" i="2"/>
  <c r="T735" i="2"/>
  <c r="P736" i="2"/>
  <c r="Q736" i="2"/>
  <c r="R736" i="2"/>
  <c r="T736" i="2"/>
  <c r="P737" i="2"/>
  <c r="Q737" i="2"/>
  <c r="R737" i="2"/>
  <c r="T737" i="2"/>
  <c r="P738" i="2"/>
  <c r="Q738" i="2"/>
  <c r="R738" i="2"/>
  <c r="T738" i="2"/>
  <c r="P739" i="2"/>
  <c r="Q739" i="2"/>
  <c r="R739" i="2"/>
  <c r="T739" i="2"/>
  <c r="P740" i="2"/>
  <c r="Q740" i="2"/>
  <c r="R740" i="2"/>
  <c r="T740" i="2"/>
  <c r="P741" i="2"/>
  <c r="Q741" i="2"/>
  <c r="R741" i="2"/>
  <c r="T741" i="2"/>
  <c r="P742" i="2"/>
  <c r="Q742" i="2"/>
  <c r="R742" i="2"/>
  <c r="T742" i="2"/>
  <c r="P743" i="2"/>
  <c r="Q743" i="2"/>
  <c r="R743" i="2"/>
  <c r="T743" i="2"/>
  <c r="P744" i="2"/>
  <c r="Q744" i="2"/>
  <c r="R744" i="2"/>
  <c r="T744" i="2"/>
  <c r="P745" i="2"/>
  <c r="Q745" i="2"/>
  <c r="R745" i="2"/>
  <c r="T745" i="2"/>
  <c r="P746" i="2"/>
  <c r="Q746" i="2"/>
  <c r="R746" i="2"/>
  <c r="T746" i="2"/>
  <c r="P747" i="2"/>
  <c r="Q747" i="2"/>
  <c r="R747" i="2"/>
  <c r="T747" i="2"/>
  <c r="P748" i="2"/>
  <c r="Q748" i="2"/>
  <c r="R748" i="2"/>
  <c r="T748" i="2"/>
  <c r="P749" i="2"/>
  <c r="Q749" i="2"/>
  <c r="R749" i="2"/>
  <c r="T749" i="2"/>
  <c r="P750" i="2"/>
  <c r="Q750" i="2"/>
  <c r="R750" i="2"/>
  <c r="T750" i="2"/>
  <c r="P751" i="2"/>
  <c r="Q751" i="2"/>
  <c r="R751" i="2"/>
  <c r="T751" i="2"/>
  <c r="P752" i="2"/>
  <c r="Q752" i="2"/>
  <c r="R752" i="2"/>
  <c r="T752" i="2"/>
  <c r="P753" i="2"/>
  <c r="Q753" i="2"/>
  <c r="R753" i="2"/>
  <c r="T753" i="2"/>
  <c r="P754" i="2"/>
  <c r="Q754" i="2"/>
  <c r="R754" i="2"/>
  <c r="T754" i="2"/>
  <c r="P755" i="2"/>
  <c r="Q755" i="2"/>
  <c r="R755" i="2"/>
  <c r="T755" i="2"/>
  <c r="P756" i="2"/>
  <c r="Q756" i="2"/>
  <c r="R756" i="2"/>
  <c r="T756" i="2"/>
  <c r="P757" i="2"/>
  <c r="Q757" i="2"/>
  <c r="R757" i="2"/>
  <c r="T757" i="2"/>
  <c r="P758" i="2"/>
  <c r="Q758" i="2"/>
  <c r="R758" i="2"/>
  <c r="T758" i="2"/>
  <c r="P759" i="2"/>
  <c r="Q759" i="2"/>
  <c r="R759" i="2"/>
  <c r="T759" i="2"/>
  <c r="P760" i="2"/>
  <c r="Q760" i="2"/>
  <c r="R760" i="2"/>
  <c r="T760" i="2"/>
  <c r="P761" i="2"/>
  <c r="Q761" i="2"/>
  <c r="R761" i="2"/>
  <c r="T761" i="2"/>
  <c r="P762" i="2"/>
  <c r="Q762" i="2"/>
  <c r="R762" i="2"/>
  <c r="T762" i="2"/>
  <c r="P763" i="2"/>
  <c r="Q763" i="2"/>
  <c r="R763" i="2"/>
  <c r="T763" i="2"/>
  <c r="P764" i="2"/>
  <c r="Q764" i="2"/>
  <c r="R764" i="2"/>
  <c r="T764" i="2"/>
  <c r="P765" i="2"/>
  <c r="Q765" i="2"/>
  <c r="R765" i="2"/>
  <c r="T765" i="2"/>
  <c r="P766" i="2"/>
  <c r="Q766" i="2"/>
  <c r="R766" i="2"/>
  <c r="T766" i="2"/>
  <c r="P767" i="2"/>
  <c r="Q767" i="2"/>
  <c r="R767" i="2"/>
  <c r="T767" i="2"/>
  <c r="P768" i="2"/>
  <c r="Q768" i="2"/>
  <c r="R768" i="2"/>
  <c r="T768" i="2"/>
  <c r="P769" i="2"/>
  <c r="Q769" i="2"/>
  <c r="R769" i="2"/>
  <c r="T769" i="2"/>
  <c r="P770" i="2"/>
  <c r="Q770" i="2"/>
  <c r="R770" i="2"/>
  <c r="T770" i="2"/>
  <c r="P771" i="2"/>
  <c r="Q771" i="2"/>
  <c r="R771" i="2"/>
  <c r="T771" i="2"/>
  <c r="P772" i="2"/>
  <c r="Q772" i="2"/>
  <c r="R772" i="2"/>
  <c r="T772" i="2"/>
  <c r="P773" i="2"/>
  <c r="Q773" i="2"/>
  <c r="R773" i="2"/>
  <c r="T773" i="2"/>
  <c r="P774" i="2"/>
  <c r="Q774" i="2"/>
  <c r="R774" i="2"/>
  <c r="T774" i="2"/>
  <c r="P775" i="2"/>
  <c r="Q775" i="2"/>
  <c r="R775" i="2"/>
  <c r="T775" i="2"/>
  <c r="P776" i="2"/>
  <c r="Q776" i="2"/>
  <c r="R776" i="2"/>
  <c r="T776" i="2"/>
  <c r="P777" i="2"/>
  <c r="Q777" i="2"/>
  <c r="R777" i="2"/>
  <c r="T777" i="2"/>
  <c r="P778" i="2"/>
  <c r="Q778" i="2"/>
  <c r="R778" i="2"/>
  <c r="T778" i="2"/>
  <c r="P779" i="2"/>
  <c r="Q779" i="2"/>
  <c r="R779" i="2"/>
  <c r="T779" i="2"/>
  <c r="P780" i="2"/>
  <c r="Q780" i="2"/>
  <c r="R780" i="2"/>
  <c r="T780" i="2"/>
  <c r="P781" i="2"/>
  <c r="Q781" i="2"/>
  <c r="R781" i="2"/>
  <c r="T781" i="2"/>
  <c r="P782" i="2"/>
  <c r="Q782" i="2"/>
  <c r="R782" i="2"/>
  <c r="T782" i="2"/>
  <c r="P783" i="2"/>
  <c r="Q783" i="2"/>
  <c r="R783" i="2"/>
  <c r="T783" i="2"/>
  <c r="P784" i="2"/>
  <c r="Q784" i="2"/>
  <c r="R784" i="2"/>
  <c r="T784" i="2"/>
  <c r="P785" i="2"/>
  <c r="Q785" i="2"/>
  <c r="R785" i="2"/>
  <c r="T785" i="2"/>
  <c r="P786" i="2"/>
  <c r="Q786" i="2"/>
  <c r="R786" i="2"/>
  <c r="T786" i="2"/>
  <c r="P787" i="2"/>
  <c r="Q787" i="2"/>
  <c r="R787" i="2"/>
  <c r="T787" i="2"/>
  <c r="P788" i="2"/>
  <c r="Q788" i="2"/>
  <c r="R788" i="2"/>
  <c r="T788" i="2"/>
  <c r="P789" i="2"/>
  <c r="Q789" i="2"/>
  <c r="R789" i="2"/>
  <c r="T789" i="2"/>
  <c r="P790" i="2"/>
  <c r="Q790" i="2"/>
  <c r="R790" i="2"/>
  <c r="T790" i="2"/>
  <c r="P791" i="2"/>
  <c r="Q791" i="2"/>
  <c r="R791" i="2"/>
  <c r="T791" i="2"/>
  <c r="P792" i="2"/>
  <c r="Q792" i="2"/>
  <c r="R792" i="2"/>
  <c r="T792" i="2"/>
  <c r="P793" i="2"/>
  <c r="Q793" i="2"/>
  <c r="R793" i="2"/>
  <c r="T793" i="2"/>
  <c r="P794" i="2"/>
  <c r="Q794" i="2"/>
  <c r="R794" i="2"/>
  <c r="T794" i="2"/>
  <c r="P795" i="2"/>
  <c r="Q795" i="2"/>
  <c r="R795" i="2"/>
  <c r="T795" i="2"/>
  <c r="P796" i="2"/>
  <c r="Q796" i="2"/>
  <c r="R796" i="2"/>
  <c r="T796" i="2"/>
  <c r="P797" i="2"/>
  <c r="Q797" i="2"/>
  <c r="R797" i="2"/>
  <c r="T797" i="2"/>
  <c r="P798" i="2"/>
  <c r="Q798" i="2"/>
  <c r="R798" i="2"/>
  <c r="T798" i="2"/>
  <c r="P799" i="2"/>
  <c r="Q799" i="2"/>
  <c r="R799" i="2"/>
  <c r="T799" i="2"/>
  <c r="P800" i="2"/>
  <c r="Q800" i="2"/>
  <c r="R800" i="2"/>
  <c r="T800" i="2"/>
  <c r="P801" i="2"/>
  <c r="Q801" i="2"/>
  <c r="R801" i="2"/>
  <c r="T801" i="2"/>
  <c r="P802" i="2"/>
  <c r="Q802" i="2"/>
  <c r="R802" i="2"/>
  <c r="T802" i="2"/>
  <c r="P803" i="2"/>
  <c r="Q803" i="2"/>
  <c r="R803" i="2"/>
  <c r="T803" i="2"/>
  <c r="P804" i="2"/>
  <c r="Q804" i="2"/>
  <c r="R804" i="2"/>
  <c r="T804" i="2"/>
  <c r="P805" i="2"/>
  <c r="Q805" i="2"/>
  <c r="R805" i="2" s="1"/>
  <c r="T805" i="2"/>
  <c r="P806" i="2"/>
  <c r="Q806" i="2"/>
  <c r="R806" i="2"/>
  <c r="T806" i="2"/>
  <c r="P807" i="2"/>
  <c r="Q807" i="2"/>
  <c r="R807" i="2" s="1"/>
  <c r="T807" i="2"/>
  <c r="P808" i="2"/>
  <c r="Q808" i="2"/>
  <c r="R808" i="2"/>
  <c r="T808" i="2"/>
  <c r="P809" i="2"/>
  <c r="Q809" i="2"/>
  <c r="R809" i="2" s="1"/>
  <c r="T809" i="2"/>
  <c r="P810" i="2"/>
  <c r="Q810" i="2"/>
  <c r="R810" i="2"/>
  <c r="T810" i="2"/>
  <c r="P811" i="2"/>
  <c r="Q811" i="2"/>
  <c r="R811" i="2" s="1"/>
  <c r="T811" i="2"/>
  <c r="P812" i="2"/>
  <c r="Q812" i="2"/>
  <c r="R812" i="2"/>
  <c r="T812" i="2"/>
  <c r="P813" i="2"/>
  <c r="Q813" i="2"/>
  <c r="R813" i="2" s="1"/>
  <c r="T813" i="2"/>
  <c r="P814" i="2"/>
  <c r="Q814" i="2"/>
  <c r="R814" i="2"/>
  <c r="T814" i="2"/>
  <c r="P815" i="2"/>
  <c r="Q815" i="2"/>
  <c r="R815" i="2" s="1"/>
  <c r="T815" i="2"/>
  <c r="P816" i="2"/>
  <c r="Q816" i="2"/>
  <c r="R816" i="2"/>
  <c r="T816" i="2"/>
  <c r="P817" i="2"/>
  <c r="Q817" i="2"/>
  <c r="R817" i="2" s="1"/>
  <c r="T817" i="2"/>
  <c r="P818" i="2"/>
  <c r="Q818" i="2"/>
  <c r="R818" i="2"/>
  <c r="T818" i="2"/>
  <c r="P819" i="2"/>
  <c r="Q819" i="2"/>
  <c r="R819" i="2" s="1"/>
  <c r="T819" i="2"/>
  <c r="P820" i="2"/>
  <c r="Q820" i="2"/>
  <c r="R820" i="2"/>
  <c r="T820" i="2"/>
  <c r="P821" i="2"/>
  <c r="Q821" i="2"/>
  <c r="R821" i="2" s="1"/>
  <c r="T821" i="2"/>
  <c r="P822" i="2"/>
  <c r="Q822" i="2"/>
  <c r="R822" i="2"/>
  <c r="T822" i="2"/>
  <c r="P823" i="2"/>
  <c r="Q823" i="2"/>
  <c r="R823" i="2" s="1"/>
  <c r="T823" i="2"/>
  <c r="P824" i="2"/>
  <c r="Q824" i="2"/>
  <c r="R824" i="2"/>
  <c r="T824" i="2"/>
  <c r="P825" i="2"/>
  <c r="Q825" i="2"/>
  <c r="R825" i="2" s="1"/>
  <c r="T825" i="2"/>
  <c r="P826" i="2"/>
  <c r="Q826" i="2"/>
  <c r="R826" i="2"/>
  <c r="T826" i="2"/>
  <c r="P827" i="2"/>
  <c r="Q827" i="2"/>
  <c r="R827" i="2" s="1"/>
  <c r="T827" i="2"/>
  <c r="P828" i="2"/>
  <c r="Q828" i="2"/>
  <c r="R828" i="2"/>
  <c r="T828" i="2"/>
  <c r="P829" i="2"/>
  <c r="Q829" i="2"/>
  <c r="R829" i="2" s="1"/>
  <c r="T829" i="2"/>
  <c r="P830" i="2"/>
  <c r="Q830" i="2"/>
  <c r="R830" i="2"/>
  <c r="T830" i="2"/>
  <c r="P831" i="2"/>
  <c r="Q831" i="2"/>
  <c r="R831" i="2" s="1"/>
  <c r="T831" i="2"/>
  <c r="P832" i="2"/>
  <c r="Q832" i="2"/>
  <c r="R832" i="2"/>
  <c r="T832" i="2"/>
  <c r="P833" i="2"/>
  <c r="Q833" i="2"/>
  <c r="R833" i="2" s="1"/>
  <c r="T833" i="2"/>
  <c r="P834" i="2"/>
  <c r="Q834" i="2"/>
  <c r="R834" i="2"/>
  <c r="T834" i="2"/>
  <c r="P835" i="2"/>
  <c r="Q835" i="2"/>
  <c r="R835" i="2" s="1"/>
  <c r="T835" i="2"/>
  <c r="P836" i="2"/>
  <c r="Q836" i="2"/>
  <c r="R836" i="2"/>
  <c r="T836" i="2"/>
  <c r="P837" i="2"/>
  <c r="Q837" i="2"/>
  <c r="R837" i="2" s="1"/>
  <c r="T837" i="2"/>
  <c r="P838" i="2"/>
  <c r="Q838" i="2"/>
  <c r="R838" i="2"/>
  <c r="T838" i="2"/>
  <c r="P839" i="2"/>
  <c r="Q839" i="2"/>
  <c r="R839" i="2" s="1"/>
  <c r="T839" i="2"/>
  <c r="P840" i="2"/>
  <c r="Q840" i="2"/>
  <c r="R840" i="2"/>
  <c r="T840" i="2"/>
  <c r="P841" i="2"/>
  <c r="Q841" i="2"/>
  <c r="R841" i="2" s="1"/>
  <c r="T841" i="2"/>
  <c r="P842" i="2"/>
  <c r="Q842" i="2"/>
  <c r="R842" i="2"/>
  <c r="T842" i="2"/>
  <c r="P843" i="2"/>
  <c r="Q843" i="2"/>
  <c r="R843" i="2" s="1"/>
  <c r="T843" i="2"/>
  <c r="P844" i="2"/>
  <c r="Q844" i="2"/>
  <c r="R844" i="2"/>
  <c r="T844" i="2"/>
  <c r="P845" i="2"/>
  <c r="Q845" i="2"/>
  <c r="R845" i="2" s="1"/>
  <c r="T845" i="2"/>
  <c r="P846" i="2"/>
  <c r="Q846" i="2"/>
  <c r="R846" i="2"/>
  <c r="T846" i="2"/>
  <c r="P847" i="2"/>
  <c r="Q847" i="2"/>
  <c r="R847" i="2" s="1"/>
  <c r="T847" i="2"/>
  <c r="P848" i="2"/>
  <c r="Q848" i="2"/>
  <c r="R848" i="2"/>
  <c r="T848" i="2"/>
  <c r="P849" i="2"/>
  <c r="Q849" i="2"/>
  <c r="R849" i="2" s="1"/>
  <c r="T849" i="2"/>
  <c r="P850" i="2"/>
  <c r="Q850" i="2"/>
  <c r="R850" i="2"/>
  <c r="T850" i="2"/>
  <c r="P851" i="2"/>
  <c r="Q851" i="2"/>
  <c r="R851" i="2" s="1"/>
  <c r="S851" i="2" s="1"/>
  <c r="T851" i="2"/>
  <c r="P852" i="2"/>
  <c r="Q852" i="2"/>
  <c r="R852" i="2"/>
  <c r="U852" i="2" s="1"/>
  <c r="S852" i="2"/>
  <c r="T852" i="2"/>
  <c r="P853" i="2"/>
  <c r="Q853" i="2"/>
  <c r="R853" i="2" s="1"/>
  <c r="S853" i="2" s="1"/>
  <c r="T853" i="2"/>
  <c r="U853" i="2"/>
  <c r="P854" i="2"/>
  <c r="Q854" i="2"/>
  <c r="R854" i="2"/>
  <c r="U854" i="2" s="1"/>
  <c r="T854" i="2"/>
  <c r="P855" i="2"/>
  <c r="Q855" i="2"/>
  <c r="R855" i="2" s="1"/>
  <c r="S855" i="2" s="1"/>
  <c r="T855" i="2"/>
  <c r="U855" i="2"/>
  <c r="P856" i="2"/>
  <c r="Q856" i="2"/>
  <c r="R856" i="2"/>
  <c r="U856" i="2" s="1"/>
  <c r="S856" i="2"/>
  <c r="T856" i="2"/>
  <c r="P857" i="2"/>
  <c r="Q857" i="2"/>
  <c r="R857" i="2" s="1"/>
  <c r="S857" i="2" s="1"/>
  <c r="T857" i="2"/>
  <c r="P858" i="2"/>
  <c r="Q858" i="2"/>
  <c r="R858" i="2"/>
  <c r="U858" i="2" s="1"/>
  <c r="T858" i="2"/>
  <c r="P859" i="2"/>
  <c r="Q859" i="2"/>
  <c r="R859" i="2" s="1"/>
  <c r="S859" i="2" s="1"/>
  <c r="T859" i="2"/>
  <c r="P860" i="2"/>
  <c r="Q860" i="2"/>
  <c r="R860" i="2"/>
  <c r="U860" i="2" s="1"/>
  <c r="S860" i="2"/>
  <c r="T860" i="2"/>
  <c r="P861" i="2"/>
  <c r="Q861" i="2"/>
  <c r="R861" i="2" s="1"/>
  <c r="S861" i="2" s="1"/>
  <c r="T861" i="2"/>
  <c r="U861" i="2"/>
  <c r="P862" i="2"/>
  <c r="Q862" i="2"/>
  <c r="R862" i="2"/>
  <c r="U862" i="2" s="1"/>
  <c r="T862" i="2"/>
  <c r="P863" i="2"/>
  <c r="Q863" i="2"/>
  <c r="R863" i="2" s="1"/>
  <c r="S863" i="2" s="1"/>
  <c r="T863" i="2"/>
  <c r="U863" i="2"/>
  <c r="P864" i="2"/>
  <c r="Q864" i="2"/>
  <c r="R864" i="2"/>
  <c r="U864" i="2" s="1"/>
  <c r="S864" i="2"/>
  <c r="T864" i="2"/>
  <c r="P865" i="2"/>
  <c r="Q865" i="2"/>
  <c r="R865" i="2" s="1"/>
  <c r="S865" i="2" s="1"/>
  <c r="T865" i="2"/>
  <c r="U865" i="2"/>
  <c r="P866" i="2"/>
  <c r="Q866" i="2"/>
  <c r="R866" i="2"/>
  <c r="U866" i="2" s="1"/>
  <c r="T866" i="2"/>
  <c r="P867" i="2"/>
  <c r="Q867" i="2"/>
  <c r="R867" i="2" s="1"/>
  <c r="S867" i="2" s="1"/>
  <c r="T867" i="2"/>
  <c r="P868" i="2"/>
  <c r="Q868" i="2"/>
  <c r="R868" i="2"/>
  <c r="U868" i="2" s="1"/>
  <c r="S868" i="2"/>
  <c r="T868" i="2"/>
  <c r="P869" i="2"/>
  <c r="Q869" i="2"/>
  <c r="R869" i="2" s="1"/>
  <c r="S869" i="2" s="1"/>
  <c r="T869" i="2"/>
  <c r="U869" i="2"/>
  <c r="P870" i="2"/>
  <c r="Q870" i="2"/>
  <c r="R870" i="2"/>
  <c r="U870" i="2" s="1"/>
  <c r="T870" i="2"/>
  <c r="P871" i="2"/>
  <c r="Q871" i="2"/>
  <c r="R871" i="2" s="1"/>
  <c r="S871" i="2" s="1"/>
  <c r="T871" i="2"/>
  <c r="U871" i="2"/>
  <c r="P872" i="2"/>
  <c r="Q872" i="2"/>
  <c r="R872" i="2"/>
  <c r="U872" i="2" s="1"/>
  <c r="S872" i="2"/>
  <c r="T872" i="2"/>
  <c r="P873" i="2"/>
  <c r="Q873" i="2"/>
  <c r="R873" i="2" s="1"/>
  <c r="S873" i="2" s="1"/>
  <c r="T873" i="2"/>
  <c r="P874" i="2"/>
  <c r="Q874" i="2"/>
  <c r="R874" i="2"/>
  <c r="U874" i="2" s="1"/>
  <c r="T874" i="2"/>
  <c r="P875" i="2"/>
  <c r="Q875" i="2"/>
  <c r="R875" i="2" s="1"/>
  <c r="S875" i="2" s="1"/>
  <c r="T875" i="2"/>
  <c r="P876" i="2"/>
  <c r="Q876" i="2"/>
  <c r="R876" i="2"/>
  <c r="U876" i="2" s="1"/>
  <c r="S876" i="2"/>
  <c r="T876" i="2"/>
  <c r="P877" i="2"/>
  <c r="Q877" i="2"/>
  <c r="R877" i="2" s="1"/>
  <c r="S877" i="2" s="1"/>
  <c r="T877" i="2"/>
  <c r="U877" i="2"/>
  <c r="P878" i="2"/>
  <c r="Q878" i="2"/>
  <c r="R878" i="2"/>
  <c r="U878" i="2" s="1"/>
  <c r="T878" i="2"/>
  <c r="P879" i="2"/>
  <c r="Q879" i="2"/>
  <c r="R879" i="2" s="1"/>
  <c r="S879" i="2" s="1"/>
  <c r="T879" i="2"/>
  <c r="U879" i="2"/>
  <c r="P880" i="2"/>
  <c r="Q880" i="2"/>
  <c r="R880" i="2"/>
  <c r="U880" i="2" s="1"/>
  <c r="S880" i="2"/>
  <c r="T880" i="2"/>
  <c r="P881" i="2"/>
  <c r="Q881" i="2"/>
  <c r="R881" i="2" s="1"/>
  <c r="S881" i="2" s="1"/>
  <c r="T881" i="2"/>
  <c r="P882" i="2"/>
  <c r="Q882" i="2"/>
  <c r="R882" i="2"/>
  <c r="U882" i="2" s="1"/>
  <c r="T882" i="2"/>
  <c r="P883" i="2"/>
  <c r="Q883" i="2"/>
  <c r="R883" i="2" s="1"/>
  <c r="S883" i="2" s="1"/>
  <c r="T883" i="2"/>
  <c r="P884" i="2"/>
  <c r="Q884" i="2"/>
  <c r="R884" i="2"/>
  <c r="U884" i="2" s="1"/>
  <c r="S884" i="2"/>
  <c r="T884" i="2"/>
  <c r="P885" i="2"/>
  <c r="Q885" i="2"/>
  <c r="R885" i="2" s="1"/>
  <c r="S885" i="2" s="1"/>
  <c r="T885" i="2"/>
  <c r="U885" i="2"/>
  <c r="P886" i="2"/>
  <c r="Q886" i="2"/>
  <c r="R886" i="2"/>
  <c r="U886" i="2" s="1"/>
  <c r="T886" i="2"/>
  <c r="P887" i="2"/>
  <c r="Q887" i="2"/>
  <c r="R887" i="2" s="1"/>
  <c r="S887" i="2" s="1"/>
  <c r="T887" i="2"/>
  <c r="U887" i="2"/>
  <c r="P888" i="2"/>
  <c r="Q888" i="2"/>
  <c r="R888" i="2"/>
  <c r="U888" i="2" s="1"/>
  <c r="S888" i="2"/>
  <c r="T888" i="2"/>
  <c r="P889" i="2"/>
  <c r="Q889" i="2"/>
  <c r="R889" i="2" s="1"/>
  <c r="S889" i="2" s="1"/>
  <c r="T889" i="2"/>
  <c r="P890" i="2"/>
  <c r="Q890" i="2"/>
  <c r="R890" i="2"/>
  <c r="U890" i="2" s="1"/>
  <c r="T890" i="2"/>
  <c r="P891" i="2"/>
  <c r="Q891" i="2"/>
  <c r="R891" i="2" s="1"/>
  <c r="S891" i="2" s="1"/>
  <c r="T891" i="2"/>
  <c r="P892" i="2"/>
  <c r="Q892" i="2"/>
  <c r="R892" i="2"/>
  <c r="U892" i="2" s="1"/>
  <c r="S892" i="2"/>
  <c r="T892" i="2"/>
  <c r="P893" i="2"/>
  <c r="Q893" i="2"/>
  <c r="R893" i="2" s="1"/>
  <c r="S893" i="2" s="1"/>
  <c r="T893" i="2"/>
  <c r="U893" i="2"/>
  <c r="P894" i="2"/>
  <c r="Q894" i="2"/>
  <c r="R894" i="2"/>
  <c r="U894" i="2" s="1"/>
  <c r="T894" i="2"/>
  <c r="P895" i="2"/>
  <c r="Q895" i="2"/>
  <c r="R895" i="2" s="1"/>
  <c r="S895" i="2" s="1"/>
  <c r="T895" i="2"/>
  <c r="U895" i="2"/>
  <c r="P896" i="2"/>
  <c r="Q896" i="2"/>
  <c r="R896" i="2"/>
  <c r="U896" i="2" s="1"/>
  <c r="S896" i="2"/>
  <c r="T896" i="2"/>
  <c r="P897" i="2"/>
  <c r="Q897" i="2"/>
  <c r="R897" i="2" s="1"/>
  <c r="S897" i="2" s="1"/>
  <c r="T897" i="2"/>
  <c r="P898" i="2"/>
  <c r="Q898" i="2"/>
  <c r="R898" i="2"/>
  <c r="U898" i="2" s="1"/>
  <c r="T898" i="2"/>
  <c r="P899" i="2"/>
  <c r="Q899" i="2"/>
  <c r="R899" i="2" s="1"/>
  <c r="T899" i="2"/>
  <c r="P900" i="2"/>
  <c r="Q900" i="2"/>
  <c r="R900" i="2"/>
  <c r="U900" i="2" s="1"/>
  <c r="T900" i="2"/>
  <c r="P901" i="2"/>
  <c r="Q901" i="2"/>
  <c r="R901" i="2" s="1"/>
  <c r="T901" i="2"/>
  <c r="P902" i="2"/>
  <c r="Q902" i="2"/>
  <c r="R902" i="2"/>
  <c r="U902" i="2" s="1"/>
  <c r="T902" i="2"/>
  <c r="P903" i="2"/>
  <c r="Q903" i="2"/>
  <c r="R903" i="2" s="1"/>
  <c r="T903" i="2"/>
  <c r="P904" i="2"/>
  <c r="Q904" i="2"/>
  <c r="R904" i="2"/>
  <c r="U904" i="2" s="1"/>
  <c r="T904" i="2"/>
  <c r="P905" i="2"/>
  <c r="Q905" i="2"/>
  <c r="R905" i="2" s="1"/>
  <c r="T905" i="2"/>
  <c r="P906" i="2"/>
  <c r="Q906" i="2"/>
  <c r="R906" i="2"/>
  <c r="U906" i="2" s="1"/>
  <c r="T906" i="2"/>
  <c r="P907" i="2"/>
  <c r="Q907" i="2"/>
  <c r="R907" i="2" s="1"/>
  <c r="T907" i="2"/>
  <c r="P908" i="2"/>
  <c r="Q908" i="2"/>
  <c r="R908" i="2"/>
  <c r="U908" i="2" s="1"/>
  <c r="T908" i="2"/>
  <c r="P909" i="2"/>
  <c r="Q909" i="2"/>
  <c r="R909" i="2" s="1"/>
  <c r="T909" i="2"/>
  <c r="P910" i="2"/>
  <c r="Q910" i="2"/>
  <c r="R910" i="2"/>
  <c r="U910" i="2" s="1"/>
  <c r="T910" i="2"/>
  <c r="P911" i="2"/>
  <c r="Q911" i="2"/>
  <c r="R911" i="2" s="1"/>
  <c r="T911" i="2"/>
  <c r="P912" i="2"/>
  <c r="Q912" i="2"/>
  <c r="R912" i="2"/>
  <c r="U912" i="2" s="1"/>
  <c r="T912" i="2"/>
  <c r="P913" i="2"/>
  <c r="Q913" i="2"/>
  <c r="R913" i="2" s="1"/>
  <c r="T913" i="2"/>
  <c r="P914" i="2"/>
  <c r="Q914" i="2"/>
  <c r="R914" i="2"/>
  <c r="U914" i="2" s="1"/>
  <c r="T914" i="2"/>
  <c r="P915" i="2"/>
  <c r="Q915" i="2"/>
  <c r="R915" i="2" s="1"/>
  <c r="T915" i="2"/>
  <c r="P916" i="2"/>
  <c r="Q916" i="2"/>
  <c r="R916" i="2"/>
  <c r="U916" i="2" s="1"/>
  <c r="T916" i="2"/>
  <c r="P917" i="2"/>
  <c r="Q917" i="2"/>
  <c r="R917" i="2" s="1"/>
  <c r="T917" i="2"/>
  <c r="P918" i="2"/>
  <c r="Q918" i="2"/>
  <c r="R918" i="2"/>
  <c r="U918" i="2" s="1"/>
  <c r="T918" i="2"/>
  <c r="P919" i="2"/>
  <c r="Q919" i="2"/>
  <c r="R919" i="2" s="1"/>
  <c r="T919" i="2"/>
  <c r="P920" i="2"/>
  <c r="Q920" i="2"/>
  <c r="R920" i="2"/>
  <c r="U920" i="2" s="1"/>
  <c r="T920" i="2"/>
  <c r="P921" i="2"/>
  <c r="Q921" i="2"/>
  <c r="R921" i="2" s="1"/>
  <c r="T921" i="2"/>
  <c r="P922" i="2"/>
  <c r="Q922" i="2"/>
  <c r="R922" i="2"/>
  <c r="U922" i="2" s="1"/>
  <c r="T922" i="2"/>
  <c r="P923" i="2"/>
  <c r="Q923" i="2"/>
  <c r="R923" i="2" s="1"/>
  <c r="T923" i="2"/>
  <c r="P924" i="2"/>
  <c r="Q924" i="2"/>
  <c r="R924" i="2"/>
  <c r="U924" i="2" s="1"/>
  <c r="T924" i="2"/>
  <c r="P925" i="2"/>
  <c r="Q925" i="2"/>
  <c r="R925" i="2" s="1"/>
  <c r="T925" i="2"/>
  <c r="P926" i="2"/>
  <c r="Q926" i="2"/>
  <c r="R926" i="2"/>
  <c r="U926" i="2" s="1"/>
  <c r="T926" i="2"/>
  <c r="P927" i="2"/>
  <c r="Q927" i="2"/>
  <c r="R927" i="2" s="1"/>
  <c r="T927" i="2"/>
  <c r="P928" i="2"/>
  <c r="Q928" i="2"/>
  <c r="R928" i="2"/>
  <c r="U928" i="2" s="1"/>
  <c r="T928" i="2"/>
  <c r="P929" i="2"/>
  <c r="Q929" i="2"/>
  <c r="R929" i="2" s="1"/>
  <c r="T929" i="2"/>
  <c r="P930" i="2"/>
  <c r="Q930" i="2"/>
  <c r="R930" i="2"/>
  <c r="U930" i="2" s="1"/>
  <c r="T930" i="2"/>
  <c r="P931" i="2"/>
  <c r="Q931" i="2"/>
  <c r="R931" i="2" s="1"/>
  <c r="T931" i="2"/>
  <c r="P932" i="2"/>
  <c r="Q932" i="2"/>
  <c r="R932" i="2"/>
  <c r="U932" i="2" s="1"/>
  <c r="T932" i="2"/>
  <c r="P933" i="2"/>
  <c r="Q933" i="2"/>
  <c r="R933" i="2" s="1"/>
  <c r="T933" i="2"/>
  <c r="P934" i="2"/>
  <c r="Q934" i="2"/>
  <c r="R934" i="2"/>
  <c r="U934" i="2" s="1"/>
  <c r="T934" i="2"/>
  <c r="P935" i="2"/>
  <c r="Q935" i="2"/>
  <c r="R935" i="2" s="1"/>
  <c r="T935" i="2"/>
  <c r="P936" i="2"/>
  <c r="Q936" i="2"/>
  <c r="R936" i="2"/>
  <c r="U936" i="2" s="1"/>
  <c r="T936" i="2"/>
  <c r="P937" i="2"/>
  <c r="Q937" i="2"/>
  <c r="R937" i="2" s="1"/>
  <c r="T937" i="2"/>
  <c r="P938" i="2"/>
  <c r="Q938" i="2"/>
  <c r="R938" i="2"/>
  <c r="U938" i="2" s="1"/>
  <c r="T938" i="2"/>
  <c r="P939" i="2"/>
  <c r="Q939" i="2"/>
  <c r="R939" i="2" s="1"/>
  <c r="T939" i="2"/>
  <c r="P940" i="2"/>
  <c r="Q940" i="2"/>
  <c r="R940" i="2"/>
  <c r="U940" i="2" s="1"/>
  <c r="T940" i="2"/>
  <c r="P941" i="2"/>
  <c r="Q941" i="2"/>
  <c r="R941" i="2" s="1"/>
  <c r="T941" i="2"/>
  <c r="P942" i="2"/>
  <c r="Q942" i="2"/>
  <c r="R942" i="2"/>
  <c r="U942" i="2" s="1"/>
  <c r="T942" i="2"/>
  <c r="P943" i="2"/>
  <c r="Q943" i="2"/>
  <c r="R943" i="2" s="1"/>
  <c r="T943" i="2"/>
  <c r="P944" i="2"/>
  <c r="Q944" i="2"/>
  <c r="R944" i="2"/>
  <c r="U944" i="2" s="1"/>
  <c r="T944" i="2"/>
  <c r="P945" i="2"/>
  <c r="Q945" i="2"/>
  <c r="R945" i="2" s="1"/>
  <c r="T945" i="2"/>
  <c r="P946" i="2"/>
  <c r="Q946" i="2"/>
  <c r="R946" i="2"/>
  <c r="U946" i="2" s="1"/>
  <c r="T946" i="2"/>
  <c r="P947" i="2"/>
  <c r="Q947" i="2"/>
  <c r="R947" i="2" s="1"/>
  <c r="T947" i="2"/>
  <c r="P948" i="2"/>
  <c r="Q948" i="2"/>
  <c r="R948" i="2"/>
  <c r="U948" i="2" s="1"/>
  <c r="T948" i="2"/>
  <c r="P949" i="2"/>
  <c r="Q949" i="2"/>
  <c r="R949" i="2" s="1"/>
  <c r="T949" i="2"/>
  <c r="P950" i="2"/>
  <c r="Q950" i="2"/>
  <c r="R950" i="2"/>
  <c r="U950" i="2" s="1"/>
  <c r="T950" i="2"/>
  <c r="P951" i="2"/>
  <c r="Q951" i="2"/>
  <c r="R951" i="2" s="1"/>
  <c r="T951" i="2"/>
  <c r="P952" i="2"/>
  <c r="Q952" i="2"/>
  <c r="R952" i="2"/>
  <c r="U952" i="2" s="1"/>
  <c r="T952" i="2"/>
  <c r="P953" i="2"/>
  <c r="Q953" i="2"/>
  <c r="R953" i="2" s="1"/>
  <c r="T953" i="2"/>
  <c r="P954" i="2"/>
  <c r="Q954" i="2"/>
  <c r="R954" i="2"/>
  <c r="U954" i="2" s="1"/>
  <c r="T954" i="2"/>
  <c r="P955" i="2"/>
  <c r="Q955" i="2"/>
  <c r="R955" i="2" s="1"/>
  <c r="T955" i="2"/>
  <c r="P956" i="2"/>
  <c r="Q956" i="2"/>
  <c r="R956" i="2"/>
  <c r="U956" i="2" s="1"/>
  <c r="T956" i="2"/>
  <c r="P957" i="2"/>
  <c r="Q957" i="2"/>
  <c r="R957" i="2" s="1"/>
  <c r="T957" i="2"/>
  <c r="P958" i="2"/>
  <c r="Q958" i="2"/>
  <c r="R958" i="2"/>
  <c r="U958" i="2" s="1"/>
  <c r="T958" i="2"/>
  <c r="P959" i="2"/>
  <c r="Q959" i="2"/>
  <c r="R959" i="2" s="1"/>
  <c r="T959" i="2"/>
  <c r="P960" i="2"/>
  <c r="Q960" i="2"/>
  <c r="R960" i="2"/>
  <c r="U960" i="2" s="1"/>
  <c r="T960" i="2"/>
  <c r="P961" i="2"/>
  <c r="Q961" i="2"/>
  <c r="R961" i="2" s="1"/>
  <c r="T961" i="2"/>
  <c r="P962" i="2"/>
  <c r="Q962" i="2"/>
  <c r="R962" i="2"/>
  <c r="U962" i="2" s="1"/>
  <c r="T962" i="2"/>
  <c r="P963" i="2"/>
  <c r="Q963" i="2"/>
  <c r="R963" i="2" s="1"/>
  <c r="T963" i="2"/>
  <c r="P964" i="2"/>
  <c r="Q964" i="2"/>
  <c r="R964" i="2"/>
  <c r="U964" i="2" s="1"/>
  <c r="T964" i="2"/>
  <c r="P965" i="2"/>
  <c r="Q965" i="2"/>
  <c r="R965" i="2" s="1"/>
  <c r="T965" i="2"/>
  <c r="P966" i="2"/>
  <c r="Q966" i="2"/>
  <c r="R966" i="2"/>
  <c r="U966" i="2" s="1"/>
  <c r="T966" i="2"/>
  <c r="P967" i="2"/>
  <c r="Q967" i="2"/>
  <c r="R967" i="2" s="1"/>
  <c r="T967" i="2"/>
  <c r="P968" i="2"/>
  <c r="Q968" i="2"/>
  <c r="R968" i="2"/>
  <c r="U968" i="2" s="1"/>
  <c r="T968" i="2"/>
  <c r="P969" i="2"/>
  <c r="Q969" i="2"/>
  <c r="R969" i="2" s="1"/>
  <c r="T969" i="2"/>
  <c r="P970" i="2"/>
  <c r="Q970" i="2"/>
  <c r="R970" i="2"/>
  <c r="U970" i="2" s="1"/>
  <c r="T970" i="2"/>
  <c r="P971" i="2"/>
  <c r="Q971" i="2"/>
  <c r="R971" i="2" s="1"/>
  <c r="T971" i="2"/>
  <c r="P972" i="2"/>
  <c r="Q972" i="2"/>
  <c r="R972" i="2"/>
  <c r="U972" i="2" s="1"/>
  <c r="T972" i="2"/>
  <c r="P973" i="2"/>
  <c r="Q973" i="2"/>
  <c r="R973" i="2" s="1"/>
  <c r="T973" i="2"/>
  <c r="P974" i="2"/>
  <c r="Q974" i="2"/>
  <c r="R974" i="2"/>
  <c r="S974" i="2" s="1"/>
  <c r="T974" i="2"/>
  <c r="P975" i="2"/>
  <c r="Q975" i="2"/>
  <c r="R975" i="2"/>
  <c r="U975" i="2" s="1"/>
  <c r="T975" i="2"/>
  <c r="P976" i="2"/>
  <c r="Q976" i="2"/>
  <c r="R976" i="2"/>
  <c r="S976" i="2" s="1"/>
  <c r="T976" i="2"/>
  <c r="P977" i="2"/>
  <c r="Q977" i="2"/>
  <c r="R977" i="2"/>
  <c r="U977" i="2" s="1"/>
  <c r="T977" i="2"/>
  <c r="P978" i="2"/>
  <c r="Q978" i="2"/>
  <c r="R978" i="2"/>
  <c r="S978" i="2" s="1"/>
  <c r="T978" i="2"/>
  <c r="P979" i="2"/>
  <c r="Q979" i="2"/>
  <c r="R979" i="2"/>
  <c r="U979" i="2" s="1"/>
  <c r="T979" i="2"/>
  <c r="P980" i="2"/>
  <c r="Q980" i="2"/>
  <c r="R980" i="2"/>
  <c r="S980" i="2" s="1"/>
  <c r="T980" i="2"/>
  <c r="P981" i="2"/>
  <c r="Q981" i="2"/>
  <c r="R981" i="2"/>
  <c r="U981" i="2" s="1"/>
  <c r="T981" i="2"/>
  <c r="P982" i="2"/>
  <c r="Q982" i="2"/>
  <c r="R982" i="2"/>
  <c r="S982" i="2" s="1"/>
  <c r="T982" i="2"/>
  <c r="P983" i="2"/>
  <c r="Q983" i="2"/>
  <c r="R983" i="2"/>
  <c r="U983" i="2" s="1"/>
  <c r="T983" i="2"/>
  <c r="P984" i="2"/>
  <c r="Q984" i="2"/>
  <c r="R984" i="2"/>
  <c r="S984" i="2" s="1"/>
  <c r="T984" i="2"/>
  <c r="P985" i="2"/>
  <c r="Q985" i="2"/>
  <c r="R985" i="2"/>
  <c r="U985" i="2" s="1"/>
  <c r="T985" i="2"/>
  <c r="P986" i="2"/>
  <c r="Q986" i="2"/>
  <c r="R986" i="2"/>
  <c r="S986" i="2" s="1"/>
  <c r="T986" i="2"/>
  <c r="P987" i="2"/>
  <c r="Q987" i="2"/>
  <c r="R987" i="2"/>
  <c r="U987" i="2" s="1"/>
  <c r="T987" i="2"/>
  <c r="P988" i="2"/>
  <c r="Q988" i="2"/>
  <c r="R988" i="2"/>
  <c r="S988" i="2" s="1"/>
  <c r="T988" i="2"/>
  <c r="P989" i="2"/>
  <c r="Q989" i="2"/>
  <c r="R989" i="2"/>
  <c r="U989" i="2" s="1"/>
  <c r="T989" i="2"/>
  <c r="P990" i="2"/>
  <c r="Q990" i="2"/>
  <c r="R990" i="2"/>
  <c r="S990" i="2" s="1"/>
  <c r="T990" i="2"/>
  <c r="P991" i="2"/>
  <c r="Q991" i="2"/>
  <c r="R991" i="2"/>
  <c r="U991" i="2" s="1"/>
  <c r="T991" i="2"/>
  <c r="P992" i="2"/>
  <c r="Q992" i="2"/>
  <c r="R992" i="2"/>
  <c r="S992" i="2" s="1"/>
  <c r="T992" i="2"/>
  <c r="P993" i="2"/>
  <c r="Q993" i="2"/>
  <c r="R993" i="2"/>
  <c r="U993" i="2" s="1"/>
  <c r="T993" i="2"/>
  <c r="P994" i="2"/>
  <c r="Q994" i="2"/>
  <c r="R994" i="2"/>
  <c r="S994" i="2" s="1"/>
  <c r="T994" i="2"/>
  <c r="P995" i="2"/>
  <c r="Q995" i="2"/>
  <c r="R995" i="2"/>
  <c r="U995" i="2" s="1"/>
  <c r="T995" i="2"/>
  <c r="P996" i="2"/>
  <c r="Q996" i="2"/>
  <c r="R996" i="2"/>
  <c r="S996" i="2" s="1"/>
  <c r="T996" i="2"/>
  <c r="P997" i="2"/>
  <c r="Q997" i="2"/>
  <c r="R997" i="2"/>
  <c r="U997" i="2" s="1"/>
  <c r="T997" i="2"/>
  <c r="P998" i="2"/>
  <c r="Q998" i="2"/>
  <c r="R998" i="2"/>
  <c r="S998" i="2" s="1"/>
  <c r="T998" i="2"/>
  <c r="P999" i="2"/>
  <c r="Q999" i="2"/>
  <c r="R999" i="2"/>
  <c r="U999" i="2" s="1"/>
  <c r="T999" i="2"/>
  <c r="P1000" i="2"/>
  <c r="Q1000" i="2"/>
  <c r="R1000" i="2"/>
  <c r="S1000" i="2" s="1"/>
  <c r="T1000" i="2"/>
  <c r="P1001" i="2"/>
  <c r="Q1001" i="2"/>
  <c r="R1001" i="2"/>
  <c r="U1001" i="2" s="1"/>
  <c r="T1001" i="2"/>
  <c r="P1002" i="2"/>
  <c r="Q1002" i="2"/>
  <c r="R1002" i="2"/>
  <c r="S1002" i="2" s="1"/>
  <c r="T1002" i="2"/>
  <c r="P1003" i="2"/>
  <c r="Q1003" i="2"/>
  <c r="R1003" i="2"/>
  <c r="U1003" i="2" s="1"/>
  <c r="T1003" i="2"/>
  <c r="P1004" i="2"/>
  <c r="Q1004" i="2"/>
  <c r="R1004" i="2"/>
  <c r="S1004" i="2" s="1"/>
  <c r="T1004" i="2"/>
  <c r="P1005" i="2"/>
  <c r="Q1005" i="2"/>
  <c r="R1005" i="2"/>
  <c r="U1005" i="2" s="1"/>
  <c r="T1005" i="2"/>
  <c r="P1006" i="2"/>
  <c r="Q1006" i="2"/>
  <c r="R1006" i="2"/>
  <c r="S1006" i="2" s="1"/>
  <c r="T1006" i="2"/>
  <c r="P1007" i="2"/>
  <c r="Q1007" i="2"/>
  <c r="R1007" i="2"/>
  <c r="U1007" i="2" s="1"/>
  <c r="T1007" i="2"/>
  <c r="P1008" i="2"/>
  <c r="Q1008" i="2"/>
  <c r="R1008" i="2"/>
  <c r="S1008" i="2" s="1"/>
  <c r="T1008" i="2"/>
  <c r="P1009" i="2"/>
  <c r="Q1009" i="2"/>
  <c r="R1009" i="2"/>
  <c r="U1009" i="2" s="1"/>
  <c r="T1009" i="2"/>
  <c r="P1010" i="2"/>
  <c r="Q1010" i="2"/>
  <c r="R1010" i="2"/>
  <c r="S1010" i="2" s="1"/>
  <c r="T1010" i="2"/>
  <c r="P1011" i="2"/>
  <c r="Q1011" i="2"/>
  <c r="R1011" i="2"/>
  <c r="U1011" i="2" s="1"/>
  <c r="T1011" i="2"/>
  <c r="P1012" i="2"/>
  <c r="Q1012" i="2"/>
  <c r="R1012" i="2"/>
  <c r="S1012" i="2" s="1"/>
  <c r="T1012" i="2"/>
  <c r="P1013" i="2"/>
  <c r="Q1013" i="2"/>
  <c r="R1013" i="2"/>
  <c r="U1013" i="2" s="1"/>
  <c r="T1013" i="2"/>
  <c r="P1014" i="2"/>
  <c r="Q1014" i="2"/>
  <c r="R1014" i="2"/>
  <c r="S1014" i="2" s="1"/>
  <c r="T1014" i="2"/>
  <c r="P1015" i="2"/>
  <c r="Q1015" i="2"/>
  <c r="R1015" i="2"/>
  <c r="U1015" i="2" s="1"/>
  <c r="T1015" i="2"/>
  <c r="P1016" i="2"/>
  <c r="Q1016" i="2"/>
  <c r="R1016" i="2"/>
  <c r="S1016" i="2" s="1"/>
  <c r="T1016" i="2"/>
  <c r="P1017" i="2"/>
  <c r="Q1017" i="2"/>
  <c r="R1017" i="2"/>
  <c r="U1017" i="2" s="1"/>
  <c r="T1017" i="2"/>
  <c r="P1018" i="2"/>
  <c r="Q1018" i="2"/>
  <c r="R1018" i="2"/>
  <c r="S1018" i="2" s="1"/>
  <c r="T1018" i="2"/>
  <c r="P1019" i="2"/>
  <c r="Q1019" i="2"/>
  <c r="R1019" i="2"/>
  <c r="U1019" i="2" s="1"/>
  <c r="T1019" i="2"/>
  <c r="P1020" i="2"/>
  <c r="Q1020" i="2"/>
  <c r="R1020" i="2"/>
  <c r="S1020" i="2" s="1"/>
  <c r="T1020" i="2"/>
  <c r="P1021" i="2"/>
  <c r="Q1021" i="2"/>
  <c r="R1021" i="2"/>
  <c r="U1021" i="2" s="1"/>
  <c r="T1021" i="2"/>
  <c r="P1022" i="2"/>
  <c r="Q1022" i="2"/>
  <c r="R1022" i="2"/>
  <c r="S1022" i="2" s="1"/>
  <c r="T1022" i="2"/>
  <c r="P1023" i="2"/>
  <c r="Q1023" i="2"/>
  <c r="R1023" i="2"/>
  <c r="U1023" i="2" s="1"/>
  <c r="T1023" i="2"/>
  <c r="P1024" i="2"/>
  <c r="Q1024" i="2"/>
  <c r="R1024" i="2"/>
  <c r="S1024" i="2" s="1"/>
  <c r="T1024" i="2"/>
  <c r="P1025" i="2"/>
  <c r="Q1025" i="2"/>
  <c r="R1025" i="2"/>
  <c r="U1025" i="2" s="1"/>
  <c r="T1025" i="2"/>
  <c r="P1026" i="2"/>
  <c r="Q1026" i="2"/>
  <c r="R1026" i="2"/>
  <c r="S1026" i="2" s="1"/>
  <c r="T1026" i="2"/>
  <c r="P1027" i="2"/>
  <c r="Q1027" i="2"/>
  <c r="R1027" i="2"/>
  <c r="U1027" i="2" s="1"/>
  <c r="T1027" i="2"/>
  <c r="P1028" i="2"/>
  <c r="Q1028" i="2"/>
  <c r="R1028" i="2"/>
  <c r="S1028" i="2" s="1"/>
  <c r="T1028" i="2"/>
  <c r="P1029" i="2"/>
  <c r="Q1029" i="2"/>
  <c r="R1029" i="2"/>
  <c r="U1029" i="2" s="1"/>
  <c r="T1029" i="2"/>
  <c r="P1030" i="2"/>
  <c r="Q1030" i="2"/>
  <c r="R1030" i="2"/>
  <c r="S1030" i="2" s="1"/>
  <c r="T1030" i="2"/>
  <c r="P1031" i="2"/>
  <c r="Q1031" i="2"/>
  <c r="R1031" i="2"/>
  <c r="U1031" i="2" s="1"/>
  <c r="T1031" i="2"/>
  <c r="P1032" i="2"/>
  <c r="Q1032" i="2"/>
  <c r="R1032" i="2"/>
  <c r="S1032" i="2" s="1"/>
  <c r="T1032" i="2"/>
  <c r="P1033" i="2"/>
  <c r="Q1033" i="2"/>
  <c r="R1033" i="2"/>
  <c r="U1033" i="2" s="1"/>
  <c r="T1033" i="2"/>
  <c r="P1034" i="2"/>
  <c r="Q1034" i="2"/>
  <c r="R1034" i="2"/>
  <c r="S1034" i="2" s="1"/>
  <c r="T1034" i="2"/>
  <c r="P1035" i="2"/>
  <c r="Q1035" i="2"/>
  <c r="R1035" i="2"/>
  <c r="U1035" i="2" s="1"/>
  <c r="T1035" i="2"/>
  <c r="P1036" i="2"/>
  <c r="Q1036" i="2"/>
  <c r="R1036" i="2"/>
  <c r="S1036" i="2" s="1"/>
  <c r="T1036" i="2"/>
  <c r="P1037" i="2"/>
  <c r="Q1037" i="2"/>
  <c r="R1037" i="2"/>
  <c r="U1037" i="2" s="1"/>
  <c r="T1037" i="2"/>
  <c r="P1038" i="2"/>
  <c r="Q1038" i="2"/>
  <c r="R1038" i="2"/>
  <c r="S1038" i="2" s="1"/>
  <c r="T1038" i="2"/>
  <c r="P1039" i="2"/>
  <c r="Q1039" i="2"/>
  <c r="R1039" i="2"/>
  <c r="U1039" i="2" s="1"/>
  <c r="T1039" i="2"/>
  <c r="P1040" i="2"/>
  <c r="Q1040" i="2"/>
  <c r="R1040" i="2"/>
  <c r="S1040" i="2" s="1"/>
  <c r="T1040" i="2"/>
  <c r="P1041" i="2"/>
  <c r="Q1041" i="2"/>
  <c r="R1041" i="2"/>
  <c r="U1041" i="2" s="1"/>
  <c r="T1041" i="2"/>
  <c r="P1042" i="2"/>
  <c r="Q1042" i="2"/>
  <c r="R1042" i="2"/>
  <c r="S1042" i="2" s="1"/>
  <c r="T1042" i="2"/>
  <c r="P1043" i="2"/>
  <c r="Q1043" i="2"/>
  <c r="R1043" i="2"/>
  <c r="U1043" i="2" s="1"/>
  <c r="T1043" i="2"/>
  <c r="P1044" i="2"/>
  <c r="Q1044" i="2"/>
  <c r="R1044" i="2"/>
  <c r="S1044" i="2" s="1"/>
  <c r="T1044" i="2"/>
  <c r="P1045" i="2"/>
  <c r="Q1045" i="2"/>
  <c r="R1045" i="2"/>
  <c r="U1045" i="2" s="1"/>
  <c r="T1045" i="2"/>
  <c r="P1046" i="2"/>
  <c r="Q1046" i="2"/>
  <c r="R1046" i="2"/>
  <c r="S1046" i="2" s="1"/>
  <c r="T1046" i="2"/>
  <c r="P1047" i="2"/>
  <c r="Q1047" i="2"/>
  <c r="R1047" i="2"/>
  <c r="U1047" i="2" s="1"/>
  <c r="T1047" i="2"/>
  <c r="P1048" i="2"/>
  <c r="Q1048" i="2"/>
  <c r="R1048" i="2"/>
  <c r="S1048" i="2" s="1"/>
  <c r="T1048" i="2"/>
  <c r="P1049" i="2"/>
  <c r="Q1049" i="2"/>
  <c r="R1049" i="2"/>
  <c r="U1049" i="2" s="1"/>
  <c r="T1049" i="2"/>
  <c r="P1050" i="2"/>
  <c r="Q1050" i="2"/>
  <c r="R1050" i="2"/>
  <c r="S1050" i="2" s="1"/>
  <c r="T1050" i="2"/>
  <c r="P1051" i="2"/>
  <c r="Q1051" i="2"/>
  <c r="R1051" i="2"/>
  <c r="U1051" i="2" s="1"/>
  <c r="T1051" i="2"/>
  <c r="P1052" i="2"/>
  <c r="Q1052" i="2"/>
  <c r="R1052" i="2"/>
  <c r="S1052" i="2" s="1"/>
  <c r="T1052" i="2"/>
  <c r="P1053" i="2"/>
  <c r="Q1053" i="2"/>
  <c r="R1053" i="2"/>
  <c r="U1053" i="2" s="1"/>
  <c r="T1053" i="2"/>
  <c r="P1054" i="2"/>
  <c r="Q1054" i="2"/>
  <c r="R1054" i="2"/>
  <c r="S1054" i="2" s="1"/>
  <c r="T1054" i="2"/>
  <c r="P1055" i="2"/>
  <c r="Q1055" i="2"/>
  <c r="R1055" i="2"/>
  <c r="U1055" i="2" s="1"/>
  <c r="T1055" i="2"/>
  <c r="P1056" i="2"/>
  <c r="Q1056" i="2"/>
  <c r="R1056" i="2"/>
  <c r="S1056" i="2" s="1"/>
  <c r="T1056" i="2"/>
  <c r="P1057" i="2"/>
  <c r="Q1057" i="2"/>
  <c r="R1057" i="2"/>
  <c r="U1057" i="2" s="1"/>
  <c r="T1057" i="2"/>
  <c r="P1058" i="2"/>
  <c r="Q1058" i="2"/>
  <c r="R1058" i="2"/>
  <c r="S1058" i="2" s="1"/>
  <c r="T1058" i="2"/>
  <c r="P1059" i="2"/>
  <c r="Q1059" i="2"/>
  <c r="R1059" i="2"/>
  <c r="U1059" i="2" s="1"/>
  <c r="T1059" i="2"/>
  <c r="P1060" i="2"/>
  <c r="Q1060" i="2"/>
  <c r="R1060" i="2"/>
  <c r="S1060" i="2" s="1"/>
  <c r="T1060" i="2"/>
  <c r="P1061" i="2"/>
  <c r="Q1061" i="2"/>
  <c r="R1061" i="2"/>
  <c r="U1061" i="2" s="1"/>
  <c r="T1061" i="2"/>
  <c r="P1062" i="2"/>
  <c r="Q1062" i="2"/>
  <c r="R1062" i="2"/>
  <c r="S1062" i="2" s="1"/>
  <c r="T1062" i="2"/>
  <c r="P1063" i="2"/>
  <c r="Q1063" i="2"/>
  <c r="R1063" i="2"/>
  <c r="U1063" i="2" s="1"/>
  <c r="T1063" i="2"/>
  <c r="P1064" i="2"/>
  <c r="Q1064" i="2"/>
  <c r="R1064" i="2"/>
  <c r="S1064" i="2" s="1"/>
  <c r="T1064" i="2"/>
  <c r="P1065" i="2"/>
  <c r="Q1065" i="2"/>
  <c r="R1065" i="2"/>
  <c r="U1065" i="2" s="1"/>
  <c r="T1065" i="2"/>
  <c r="P1066" i="2"/>
  <c r="Q1066" i="2"/>
  <c r="R1066" i="2"/>
  <c r="S1066" i="2" s="1"/>
  <c r="T1066" i="2"/>
  <c r="P1067" i="2"/>
  <c r="Q1067" i="2"/>
  <c r="R1067" i="2"/>
  <c r="U1067" i="2" s="1"/>
  <c r="T1067" i="2"/>
  <c r="P1068" i="2"/>
  <c r="Q1068" i="2"/>
  <c r="R1068" i="2"/>
  <c r="S1068" i="2" s="1"/>
  <c r="T1068" i="2"/>
  <c r="P1069" i="2"/>
  <c r="Q1069" i="2"/>
  <c r="R1069" i="2"/>
  <c r="U1069" i="2" s="1"/>
  <c r="T1069" i="2"/>
  <c r="P1070" i="2"/>
  <c r="Q1070" i="2"/>
  <c r="R1070" i="2"/>
  <c r="S1070" i="2" s="1"/>
  <c r="T1070" i="2"/>
  <c r="P1071" i="2"/>
  <c r="Q1071" i="2"/>
  <c r="R1071" i="2"/>
  <c r="U1071" i="2" s="1"/>
  <c r="T1071" i="2"/>
  <c r="P1072" i="2"/>
  <c r="Q1072" i="2"/>
  <c r="R1072" i="2"/>
  <c r="S1072" i="2" s="1"/>
  <c r="T1072" i="2"/>
  <c r="P1073" i="2"/>
  <c r="Q1073" i="2"/>
  <c r="R1073" i="2"/>
  <c r="U1073" i="2" s="1"/>
  <c r="T1073" i="2"/>
  <c r="P1074" i="2"/>
  <c r="Q1074" i="2"/>
  <c r="R1074" i="2"/>
  <c r="S1074" i="2" s="1"/>
  <c r="T1074" i="2"/>
  <c r="P1075" i="2"/>
  <c r="Q1075" i="2"/>
  <c r="R1075" i="2"/>
  <c r="U1075" i="2" s="1"/>
  <c r="T1075" i="2"/>
  <c r="P1076" i="2"/>
  <c r="Q1076" i="2"/>
  <c r="R1076" i="2"/>
  <c r="S1076" i="2" s="1"/>
  <c r="T1076" i="2"/>
  <c r="P1077" i="2"/>
  <c r="Q1077" i="2"/>
  <c r="R1077" i="2"/>
  <c r="U1077" i="2" s="1"/>
  <c r="T1077" i="2"/>
  <c r="P1078" i="2"/>
  <c r="Q1078" i="2"/>
  <c r="R1078" i="2"/>
  <c r="S1078" i="2" s="1"/>
  <c r="T1078" i="2"/>
  <c r="P1079" i="2"/>
  <c r="Q1079" i="2"/>
  <c r="R1079" i="2"/>
  <c r="U1079" i="2" s="1"/>
  <c r="T1079" i="2"/>
  <c r="P1080" i="2"/>
  <c r="Q1080" i="2"/>
  <c r="R1080" i="2"/>
  <c r="S1080" i="2" s="1"/>
  <c r="T1080" i="2"/>
  <c r="P1081" i="2"/>
  <c r="Q1081" i="2"/>
  <c r="R1081" i="2"/>
  <c r="U1081" i="2" s="1"/>
  <c r="T1081" i="2"/>
  <c r="P1082" i="2"/>
  <c r="Q1082" i="2"/>
  <c r="R1082" i="2"/>
  <c r="S1082" i="2" s="1"/>
  <c r="T1082" i="2"/>
  <c r="P1083" i="2"/>
  <c r="Q1083" i="2"/>
  <c r="R1083" i="2"/>
  <c r="U1083" i="2" s="1"/>
  <c r="T1083" i="2"/>
  <c r="P1084" i="2"/>
  <c r="Q1084" i="2"/>
  <c r="R1084" i="2"/>
  <c r="S1084" i="2" s="1"/>
  <c r="T1084" i="2"/>
  <c r="P1085" i="2"/>
  <c r="Q1085" i="2"/>
  <c r="R1085" i="2"/>
  <c r="U1085" i="2" s="1"/>
  <c r="T1085" i="2"/>
  <c r="P1086" i="2"/>
  <c r="Q1086" i="2"/>
  <c r="R1086" i="2"/>
  <c r="S1086" i="2" s="1"/>
  <c r="T1086" i="2"/>
  <c r="P1087" i="2"/>
  <c r="Q1087" i="2"/>
  <c r="R1087" i="2"/>
  <c r="U1087" i="2" s="1"/>
  <c r="T1087" i="2"/>
  <c r="P1088" i="2"/>
  <c r="Q1088" i="2"/>
  <c r="R1088" i="2"/>
  <c r="S1088" i="2" s="1"/>
  <c r="T1088" i="2"/>
  <c r="P1089" i="2"/>
  <c r="Q1089" i="2"/>
  <c r="R1089" i="2"/>
  <c r="U1089" i="2" s="1"/>
  <c r="T1089" i="2"/>
  <c r="P1090" i="2"/>
  <c r="Q1090" i="2"/>
  <c r="R1090" i="2"/>
  <c r="S1090" i="2" s="1"/>
  <c r="T1090" i="2"/>
  <c r="P1091" i="2"/>
  <c r="Q1091" i="2"/>
  <c r="R1091" i="2"/>
  <c r="U1091" i="2" s="1"/>
  <c r="T1091" i="2"/>
  <c r="P1092" i="2"/>
  <c r="Q1092" i="2"/>
  <c r="R1092" i="2"/>
  <c r="S1092" i="2" s="1"/>
  <c r="T1092" i="2"/>
  <c r="P1093" i="2"/>
  <c r="Q1093" i="2"/>
  <c r="R1093" i="2"/>
  <c r="U1093" i="2" s="1"/>
  <c r="T1093" i="2"/>
  <c r="P1094" i="2"/>
  <c r="Q1094" i="2"/>
  <c r="R1094" i="2"/>
  <c r="S1094" i="2" s="1"/>
  <c r="T1094" i="2"/>
  <c r="P1095" i="2"/>
  <c r="Q1095" i="2"/>
  <c r="R1095" i="2"/>
  <c r="U1095" i="2" s="1"/>
  <c r="T1095" i="2"/>
  <c r="P1096" i="2"/>
  <c r="Q1096" i="2"/>
  <c r="R1096" i="2"/>
  <c r="S1096" i="2" s="1"/>
  <c r="T1096" i="2"/>
  <c r="P1097" i="2"/>
  <c r="Q1097" i="2"/>
  <c r="R1097" i="2"/>
  <c r="U1097" i="2" s="1"/>
  <c r="T1097" i="2"/>
  <c r="P1098" i="2"/>
  <c r="Q1098" i="2"/>
  <c r="R1098" i="2"/>
  <c r="S1098" i="2" s="1"/>
  <c r="T1098" i="2"/>
  <c r="P1099" i="2"/>
  <c r="Q1099" i="2"/>
  <c r="R1099" i="2"/>
  <c r="U1099" i="2" s="1"/>
  <c r="T1099" i="2"/>
  <c r="P1100" i="2"/>
  <c r="Q1100" i="2"/>
  <c r="R1100" i="2"/>
  <c r="S1100" i="2" s="1"/>
  <c r="T1100" i="2"/>
  <c r="P1101" i="2"/>
  <c r="Q1101" i="2"/>
  <c r="R1101" i="2"/>
  <c r="U1101" i="2" s="1"/>
  <c r="T1101" i="2"/>
  <c r="P1102" i="2"/>
  <c r="Q1102" i="2"/>
  <c r="R1102" i="2"/>
  <c r="S1102" i="2" s="1"/>
  <c r="T1102" i="2"/>
  <c r="P1103" i="2"/>
  <c r="Q1103" i="2"/>
  <c r="R1103" i="2"/>
  <c r="U1103" i="2" s="1"/>
  <c r="T1103" i="2"/>
  <c r="P1104" i="2"/>
  <c r="Q1104" i="2"/>
  <c r="R1104" i="2"/>
  <c r="T1104" i="2"/>
  <c r="P1105" i="2"/>
  <c r="Q1105" i="2"/>
  <c r="R1105" i="2"/>
  <c r="U1105" i="2" s="1"/>
  <c r="T1105" i="2"/>
  <c r="P1106" i="2"/>
  <c r="Q1106" i="2"/>
  <c r="R1106" i="2"/>
  <c r="T1106" i="2"/>
  <c r="P1107" i="2"/>
  <c r="Q1107" i="2"/>
  <c r="R1107" i="2"/>
  <c r="U1107" i="2" s="1"/>
  <c r="T1107" i="2"/>
  <c r="P1108" i="2"/>
  <c r="Q1108" i="2"/>
  <c r="R1108" i="2"/>
  <c r="T1108" i="2"/>
  <c r="P1109" i="2"/>
  <c r="Q1109" i="2"/>
  <c r="R1109" i="2"/>
  <c r="U1109" i="2" s="1"/>
  <c r="T1109" i="2"/>
  <c r="P1110" i="2"/>
  <c r="Q1110" i="2"/>
  <c r="R1110" i="2"/>
  <c r="T1110" i="2"/>
  <c r="P1111" i="2"/>
  <c r="Q1111" i="2"/>
  <c r="R1111" i="2"/>
  <c r="U1111" i="2" s="1"/>
  <c r="T1111" i="2"/>
  <c r="P1112" i="2"/>
  <c r="Q1112" i="2"/>
  <c r="R1112" i="2"/>
  <c r="T1112" i="2"/>
  <c r="P1113" i="2"/>
  <c r="Q1113" i="2"/>
  <c r="R1113" i="2"/>
  <c r="U1113" i="2" s="1"/>
  <c r="T1113" i="2"/>
  <c r="P1114" i="2"/>
  <c r="Q1114" i="2"/>
  <c r="R1114" i="2"/>
  <c r="T1114" i="2"/>
  <c r="P1115" i="2"/>
  <c r="Q1115" i="2"/>
  <c r="R1115" i="2"/>
  <c r="U1115" i="2" s="1"/>
  <c r="T1115" i="2"/>
  <c r="P1116" i="2"/>
  <c r="Q1116" i="2"/>
  <c r="R1116" i="2"/>
  <c r="T1116" i="2"/>
  <c r="P1117" i="2"/>
  <c r="Q1117" i="2"/>
  <c r="R1117" i="2"/>
  <c r="U1117" i="2" s="1"/>
  <c r="T1117" i="2"/>
  <c r="P1118" i="2"/>
  <c r="Q1118" i="2"/>
  <c r="R1118" i="2"/>
  <c r="T1118" i="2"/>
  <c r="P1119" i="2"/>
  <c r="Q1119" i="2"/>
  <c r="R1119" i="2"/>
  <c r="U1119" i="2" s="1"/>
  <c r="T1119" i="2"/>
  <c r="P1120" i="2"/>
  <c r="Q1120" i="2"/>
  <c r="R1120" i="2"/>
  <c r="T1120" i="2"/>
  <c r="P1121" i="2"/>
  <c r="Q1121" i="2"/>
  <c r="R1121" i="2"/>
  <c r="U1121" i="2" s="1"/>
  <c r="T1121" i="2"/>
  <c r="P1122" i="2"/>
  <c r="Q1122" i="2"/>
  <c r="R1122" i="2"/>
  <c r="T1122" i="2"/>
  <c r="P1123" i="2"/>
  <c r="Q1123" i="2"/>
  <c r="R1123" i="2"/>
  <c r="T1123" i="2"/>
  <c r="P1124" i="2"/>
  <c r="Q1124" i="2"/>
  <c r="R1124" i="2"/>
  <c r="T1124" i="2"/>
  <c r="P1125" i="2"/>
  <c r="Q1125" i="2"/>
  <c r="R1125" i="2"/>
  <c r="T1125" i="2"/>
  <c r="P1126" i="2"/>
  <c r="Q1126" i="2"/>
  <c r="R1126" i="2"/>
  <c r="T1126" i="2"/>
  <c r="P1127" i="2"/>
  <c r="Q1127" i="2"/>
  <c r="R1127" i="2"/>
  <c r="T1127" i="2"/>
  <c r="P1128" i="2"/>
  <c r="Q1128" i="2"/>
  <c r="R1128" i="2"/>
  <c r="T1128" i="2"/>
  <c r="P1129" i="2"/>
  <c r="Q1129" i="2"/>
  <c r="R1129" i="2"/>
  <c r="T1129" i="2"/>
  <c r="P1130" i="2"/>
  <c r="Q1130" i="2"/>
  <c r="R1130" i="2"/>
  <c r="T1130" i="2"/>
  <c r="P1131" i="2"/>
  <c r="Q1131" i="2"/>
  <c r="R1131" i="2"/>
  <c r="T1131" i="2"/>
  <c r="P1132" i="2"/>
  <c r="Q1132" i="2"/>
  <c r="R1132" i="2"/>
  <c r="T1132" i="2"/>
  <c r="P1133" i="2"/>
  <c r="Q1133" i="2"/>
  <c r="R1133" i="2"/>
  <c r="T1133" i="2"/>
  <c r="P1134" i="2"/>
  <c r="Q1134" i="2"/>
  <c r="R1134" i="2"/>
  <c r="T1134" i="2"/>
  <c r="P1135" i="2"/>
  <c r="Q1135" i="2"/>
  <c r="R1135" i="2"/>
  <c r="T1135" i="2"/>
  <c r="P1136" i="2"/>
  <c r="Q1136" i="2"/>
  <c r="R1136" i="2"/>
  <c r="T1136" i="2"/>
  <c r="P1137" i="2"/>
  <c r="Q1137" i="2"/>
  <c r="R1137" i="2"/>
  <c r="T1137" i="2"/>
  <c r="P1138" i="2"/>
  <c r="Q1138" i="2"/>
  <c r="R1138" i="2"/>
  <c r="T1138" i="2"/>
  <c r="P1139" i="2"/>
  <c r="Q1139" i="2"/>
  <c r="R1139" i="2"/>
  <c r="T1139" i="2"/>
  <c r="P1140" i="2"/>
  <c r="Q1140" i="2"/>
  <c r="R1140" i="2"/>
  <c r="T1140" i="2"/>
  <c r="P1141" i="2"/>
  <c r="Q1141" i="2"/>
  <c r="R1141" i="2"/>
  <c r="T1141" i="2"/>
  <c r="P1142" i="2"/>
  <c r="Q1142" i="2"/>
  <c r="R1142" i="2"/>
  <c r="T1142" i="2"/>
  <c r="P1143" i="2"/>
  <c r="Q1143" i="2"/>
  <c r="R1143" i="2"/>
  <c r="T1143" i="2"/>
  <c r="P1144" i="2"/>
  <c r="Q1144" i="2"/>
  <c r="R1144" i="2"/>
  <c r="T1144" i="2"/>
  <c r="P1145" i="2"/>
  <c r="Q1145" i="2"/>
  <c r="R1145" i="2"/>
  <c r="T1145" i="2"/>
  <c r="P1146" i="2"/>
  <c r="Q1146" i="2"/>
  <c r="R1146" i="2"/>
  <c r="T1146" i="2"/>
  <c r="P1147" i="2"/>
  <c r="Q1147" i="2"/>
  <c r="R1147" i="2"/>
  <c r="T1147" i="2"/>
  <c r="P1148" i="2"/>
  <c r="Q1148" i="2"/>
  <c r="R1148" i="2"/>
  <c r="T1148" i="2"/>
  <c r="P1149" i="2"/>
  <c r="Q1149" i="2"/>
  <c r="R1149" i="2"/>
  <c r="T1149" i="2"/>
  <c r="P1150" i="2"/>
  <c r="Q1150" i="2"/>
  <c r="R1150" i="2"/>
  <c r="T1150" i="2"/>
  <c r="P1151" i="2"/>
  <c r="Q1151" i="2"/>
  <c r="R1151" i="2"/>
  <c r="T1151" i="2"/>
  <c r="P1152" i="2"/>
  <c r="Q1152" i="2"/>
  <c r="R1152" i="2"/>
  <c r="T1152" i="2"/>
  <c r="P1153" i="2"/>
  <c r="Q1153" i="2"/>
  <c r="R1153" i="2"/>
  <c r="T1153" i="2"/>
  <c r="P1154" i="2"/>
  <c r="Q1154" i="2"/>
  <c r="R1154" i="2"/>
  <c r="T1154" i="2"/>
  <c r="P1155" i="2"/>
  <c r="Q1155" i="2"/>
  <c r="R1155" i="2"/>
  <c r="T1155" i="2"/>
  <c r="P1156" i="2"/>
  <c r="Q1156" i="2"/>
  <c r="R1156" i="2"/>
  <c r="T1156" i="2"/>
  <c r="P1157" i="2"/>
  <c r="Q1157" i="2"/>
  <c r="R1157" i="2"/>
  <c r="T1157" i="2"/>
  <c r="P1158" i="2"/>
  <c r="Q1158" i="2"/>
  <c r="R1158" i="2"/>
  <c r="T1158" i="2"/>
  <c r="P1159" i="2"/>
  <c r="Q1159" i="2"/>
  <c r="R1159" i="2"/>
  <c r="T1159" i="2"/>
  <c r="P1160" i="2"/>
  <c r="Q1160" i="2"/>
  <c r="R1160" i="2"/>
  <c r="T1160" i="2"/>
  <c r="P1161" i="2"/>
  <c r="Q1161" i="2"/>
  <c r="R1161" i="2"/>
  <c r="T1161" i="2"/>
  <c r="P1162" i="2"/>
  <c r="Q1162" i="2"/>
  <c r="R1162" i="2"/>
  <c r="T1162" i="2"/>
  <c r="P1163" i="2"/>
  <c r="Q1163" i="2"/>
  <c r="R1163" i="2"/>
  <c r="T1163" i="2"/>
  <c r="P1164" i="2"/>
  <c r="Q1164" i="2"/>
  <c r="R1164" i="2"/>
  <c r="T1164" i="2"/>
  <c r="P1165" i="2"/>
  <c r="Q1165" i="2"/>
  <c r="R1165" i="2"/>
  <c r="T1165" i="2"/>
  <c r="P1166" i="2"/>
  <c r="Q1166" i="2"/>
  <c r="R1166" i="2"/>
  <c r="T1166" i="2"/>
  <c r="P1167" i="2"/>
  <c r="Q1167" i="2"/>
  <c r="R1167" i="2"/>
  <c r="T1167" i="2"/>
  <c r="P1168" i="2"/>
  <c r="Q1168" i="2"/>
  <c r="R1168" i="2"/>
  <c r="T1168" i="2"/>
  <c r="P1169" i="2"/>
  <c r="Q1169" i="2"/>
  <c r="R1169" i="2"/>
  <c r="T1169" i="2"/>
  <c r="P1170" i="2"/>
  <c r="Q1170" i="2"/>
  <c r="R1170" i="2"/>
  <c r="T1170" i="2"/>
  <c r="P1171" i="2"/>
  <c r="Q1171" i="2"/>
  <c r="R1171" i="2"/>
  <c r="T1171" i="2"/>
  <c r="P1172" i="2"/>
  <c r="Q1172" i="2"/>
  <c r="R1172" i="2"/>
  <c r="T1172" i="2"/>
  <c r="P1173" i="2"/>
  <c r="Q1173" i="2"/>
  <c r="R1173" i="2"/>
  <c r="T1173" i="2"/>
  <c r="P1174" i="2"/>
  <c r="Q1174" i="2"/>
  <c r="R1174" i="2"/>
  <c r="T1174" i="2"/>
  <c r="P1175" i="2"/>
  <c r="Q1175" i="2"/>
  <c r="R1175" i="2"/>
  <c r="T1175" i="2"/>
  <c r="P1176" i="2"/>
  <c r="Q1176" i="2"/>
  <c r="R1176" i="2"/>
  <c r="T1176" i="2"/>
  <c r="P1177" i="2"/>
  <c r="Q1177" i="2"/>
  <c r="R1177" i="2"/>
  <c r="T1177" i="2"/>
  <c r="P1178" i="2"/>
  <c r="Q1178" i="2"/>
  <c r="R1178" i="2"/>
  <c r="T1178" i="2"/>
  <c r="P1179" i="2"/>
  <c r="Q1179" i="2"/>
  <c r="R1179" i="2"/>
  <c r="T1179" i="2"/>
  <c r="P1180" i="2"/>
  <c r="Q1180" i="2"/>
  <c r="R1180" i="2"/>
  <c r="T1180" i="2"/>
  <c r="P1181" i="2"/>
  <c r="Q1181" i="2"/>
  <c r="R1181" i="2"/>
  <c r="T1181" i="2"/>
  <c r="P1182" i="2"/>
  <c r="Q1182" i="2"/>
  <c r="R1182" i="2"/>
  <c r="T1182" i="2"/>
  <c r="P1183" i="2"/>
  <c r="Q1183" i="2"/>
  <c r="R1183" i="2"/>
  <c r="T1183" i="2"/>
  <c r="P1184" i="2"/>
  <c r="Q1184" i="2"/>
  <c r="R1184" i="2"/>
  <c r="T1184" i="2"/>
  <c r="P1185" i="2"/>
  <c r="Q1185" i="2"/>
  <c r="R1185" i="2"/>
  <c r="T1185" i="2"/>
  <c r="P1186" i="2"/>
  <c r="Q1186" i="2"/>
  <c r="R1186" i="2"/>
  <c r="T1186" i="2"/>
  <c r="P1187" i="2"/>
  <c r="Q1187" i="2"/>
  <c r="R1187" i="2"/>
  <c r="T1187" i="2"/>
  <c r="P1188" i="2"/>
  <c r="Q1188" i="2"/>
  <c r="R1188" i="2"/>
  <c r="T1188" i="2"/>
  <c r="P1189" i="2"/>
  <c r="Q1189" i="2"/>
  <c r="R1189" i="2"/>
  <c r="T1189" i="2"/>
  <c r="P1190" i="2"/>
  <c r="Q1190" i="2"/>
  <c r="R1190" i="2"/>
  <c r="T1190" i="2"/>
  <c r="P1191" i="2"/>
  <c r="Q1191" i="2"/>
  <c r="R1191" i="2"/>
  <c r="T1191" i="2"/>
  <c r="P1192" i="2"/>
  <c r="Q1192" i="2"/>
  <c r="R1192" i="2"/>
  <c r="T1192" i="2"/>
  <c r="P1193" i="2"/>
  <c r="Q1193" i="2"/>
  <c r="R1193" i="2"/>
  <c r="T1193" i="2"/>
  <c r="P1194" i="2"/>
  <c r="Q1194" i="2"/>
  <c r="R1194" i="2"/>
  <c r="T1194" i="2"/>
  <c r="P1195" i="2"/>
  <c r="Q1195" i="2"/>
  <c r="R1195" i="2"/>
  <c r="T1195" i="2"/>
  <c r="P1196" i="2"/>
  <c r="Q1196" i="2"/>
  <c r="R1196" i="2"/>
  <c r="T1196" i="2"/>
  <c r="P1197" i="2"/>
  <c r="Q1197" i="2"/>
  <c r="R1197" i="2"/>
  <c r="T1197" i="2"/>
  <c r="P1198" i="2"/>
  <c r="Q1198" i="2"/>
  <c r="R1198" i="2"/>
  <c r="T1198" i="2"/>
  <c r="P1199" i="2"/>
  <c r="Q1199" i="2"/>
  <c r="R1199" i="2"/>
  <c r="T1199" i="2"/>
  <c r="P1200" i="2"/>
  <c r="Q1200" i="2"/>
  <c r="R1200" i="2"/>
  <c r="T1200" i="2"/>
  <c r="P1201" i="2"/>
  <c r="Q1201" i="2"/>
  <c r="R1201" i="2"/>
  <c r="T1201" i="2"/>
  <c r="P1202" i="2"/>
  <c r="Q1202" i="2"/>
  <c r="R1202" i="2"/>
  <c r="T1202" i="2"/>
  <c r="P1203" i="2"/>
  <c r="Q1203" i="2"/>
  <c r="R1203" i="2"/>
  <c r="T1203" i="2"/>
  <c r="P1204" i="2"/>
  <c r="Q1204" i="2"/>
  <c r="R1204" i="2"/>
  <c r="T1204" i="2"/>
  <c r="P1205" i="2"/>
  <c r="Q1205" i="2"/>
  <c r="R1205" i="2"/>
  <c r="T1205" i="2"/>
  <c r="P1206" i="2"/>
  <c r="Q1206" i="2"/>
  <c r="R1206" i="2"/>
  <c r="T1206" i="2"/>
  <c r="P1207" i="2"/>
  <c r="Q1207" i="2"/>
  <c r="R1207" i="2"/>
  <c r="T1207" i="2"/>
  <c r="P1208" i="2"/>
  <c r="Q1208" i="2"/>
  <c r="R1208" i="2"/>
  <c r="T1208" i="2"/>
  <c r="P1209" i="2"/>
  <c r="Q1209" i="2"/>
  <c r="R1209" i="2"/>
  <c r="T1209" i="2"/>
  <c r="P1210" i="2"/>
  <c r="Q1210" i="2"/>
  <c r="R1210" i="2"/>
  <c r="T1210" i="2"/>
  <c r="P1211" i="2"/>
  <c r="Q1211" i="2"/>
  <c r="R1211" i="2"/>
  <c r="T1211" i="2"/>
  <c r="P1212" i="2"/>
  <c r="Q1212" i="2"/>
  <c r="R1212" i="2"/>
  <c r="T1212" i="2"/>
  <c r="P1213" i="2"/>
  <c r="Q1213" i="2"/>
  <c r="R1213" i="2"/>
  <c r="T1213" i="2"/>
  <c r="P1214" i="2"/>
  <c r="Q1214" i="2"/>
  <c r="R1214" i="2"/>
  <c r="T1214" i="2"/>
  <c r="P1215" i="2"/>
  <c r="Q1215" i="2"/>
  <c r="R1215" i="2"/>
  <c r="T1215" i="2"/>
  <c r="P1216" i="2"/>
  <c r="Q1216" i="2"/>
  <c r="R1216" i="2"/>
  <c r="T1216" i="2"/>
  <c r="P1217" i="2"/>
  <c r="Q1217" i="2"/>
  <c r="R1217" i="2"/>
  <c r="T1217" i="2"/>
  <c r="P1218" i="2"/>
  <c r="Q1218" i="2"/>
  <c r="R1218" i="2"/>
  <c r="T1218" i="2"/>
  <c r="P1219" i="2"/>
  <c r="Q1219" i="2"/>
  <c r="R1219" i="2"/>
  <c r="T1219" i="2"/>
  <c r="P1220" i="2"/>
  <c r="Q1220" i="2"/>
  <c r="R1220" i="2"/>
  <c r="T1220" i="2"/>
  <c r="P1221" i="2"/>
  <c r="Q1221" i="2"/>
  <c r="R1221" i="2"/>
  <c r="T1221" i="2"/>
  <c r="P1222" i="2"/>
  <c r="Q1222" i="2"/>
  <c r="R1222" i="2"/>
  <c r="T1222" i="2"/>
  <c r="P1223" i="2"/>
  <c r="Q1223" i="2"/>
  <c r="R1223" i="2"/>
  <c r="T1223" i="2"/>
  <c r="P1224" i="2"/>
  <c r="Q1224" i="2"/>
  <c r="R1224" i="2"/>
  <c r="T1224" i="2"/>
  <c r="P1225" i="2"/>
  <c r="Q1225" i="2"/>
  <c r="R1225" i="2"/>
  <c r="T1225" i="2"/>
  <c r="P1226" i="2"/>
  <c r="Q1226" i="2"/>
  <c r="R1226" i="2"/>
  <c r="T1226" i="2"/>
  <c r="P1227" i="2"/>
  <c r="Q1227" i="2"/>
  <c r="R1227" i="2"/>
  <c r="T1227" i="2"/>
  <c r="P1228" i="2"/>
  <c r="Q1228" i="2"/>
  <c r="R1228" i="2"/>
  <c r="T1228" i="2"/>
  <c r="P1229" i="2"/>
  <c r="Q1229" i="2"/>
  <c r="R1229" i="2"/>
  <c r="T1229" i="2"/>
  <c r="P1230" i="2"/>
  <c r="Q1230" i="2"/>
  <c r="R1230" i="2"/>
  <c r="T1230" i="2"/>
  <c r="P1231" i="2"/>
  <c r="Q1231" i="2"/>
  <c r="R1231" i="2"/>
  <c r="T1231" i="2"/>
  <c r="P1232" i="2"/>
  <c r="Q1232" i="2"/>
  <c r="R1232" i="2"/>
  <c r="T1232" i="2"/>
  <c r="P1233" i="2"/>
  <c r="Q1233" i="2"/>
  <c r="R1233" i="2"/>
  <c r="T1233" i="2"/>
  <c r="P1234" i="2"/>
  <c r="Q1234" i="2"/>
  <c r="R1234" i="2"/>
  <c r="T1234" i="2"/>
  <c r="P1235" i="2"/>
  <c r="Q1235" i="2"/>
  <c r="R1235" i="2"/>
  <c r="T1235" i="2"/>
  <c r="P1236" i="2"/>
  <c r="Q1236" i="2"/>
  <c r="R1236" i="2"/>
  <c r="T1236" i="2"/>
  <c r="P1237" i="2"/>
  <c r="Q1237" i="2"/>
  <c r="R1237" i="2"/>
  <c r="T1237" i="2"/>
  <c r="P1238" i="2"/>
  <c r="Q1238" i="2"/>
  <c r="R1238" i="2"/>
  <c r="T1238" i="2"/>
  <c r="P1239" i="2"/>
  <c r="Q1239" i="2"/>
  <c r="R1239" i="2"/>
  <c r="T1239" i="2"/>
  <c r="P1240" i="2"/>
  <c r="Q1240" i="2"/>
  <c r="R1240" i="2"/>
  <c r="T1240" i="2"/>
  <c r="P1241" i="2"/>
  <c r="Q1241" i="2"/>
  <c r="R1241" i="2"/>
  <c r="S1241" i="2" s="1"/>
  <c r="T1241" i="2"/>
  <c r="P1242" i="2"/>
  <c r="Q1242" i="2"/>
  <c r="R1242" i="2"/>
  <c r="U1242" i="2" s="1"/>
  <c r="T1242" i="2"/>
  <c r="P1243" i="2"/>
  <c r="Q1243" i="2"/>
  <c r="R1243" i="2" s="1"/>
  <c r="T1243" i="2"/>
  <c r="P1244" i="2"/>
  <c r="Q1244" i="2"/>
  <c r="R1244" i="2"/>
  <c r="U1244" i="2" s="1"/>
  <c r="S1244" i="2"/>
  <c r="T1244" i="2"/>
  <c r="P1245" i="2"/>
  <c r="Q1245" i="2"/>
  <c r="R1245" i="2"/>
  <c r="S1245" i="2" s="1"/>
  <c r="T1245" i="2"/>
  <c r="P1246" i="2"/>
  <c r="Q1246" i="2"/>
  <c r="R1246" i="2"/>
  <c r="U1246" i="2" s="1"/>
  <c r="T1246" i="2"/>
  <c r="P1247" i="2"/>
  <c r="Q1247" i="2"/>
  <c r="R1247" i="2" s="1"/>
  <c r="S1247" i="2" s="1"/>
  <c r="T1247" i="2"/>
  <c r="P1248" i="2"/>
  <c r="Q1248" i="2"/>
  <c r="R1248" i="2" s="1"/>
  <c r="U1248" i="2" s="1"/>
  <c r="T1248" i="2"/>
  <c r="P1249" i="2"/>
  <c r="Q1249" i="2"/>
  <c r="R1249" i="2" s="1"/>
  <c r="S1249" i="2" s="1"/>
  <c r="T1249" i="2"/>
  <c r="P1250" i="2"/>
  <c r="Q1250" i="2"/>
  <c r="R1250" i="2" s="1"/>
  <c r="U1250" i="2" s="1"/>
  <c r="T1250" i="2"/>
  <c r="P1251" i="2"/>
  <c r="Q1251" i="2"/>
  <c r="R1251" i="2" s="1"/>
  <c r="S1251" i="2" s="1"/>
  <c r="T1251" i="2"/>
  <c r="P1252" i="2"/>
  <c r="Q1252" i="2"/>
  <c r="R1252" i="2" s="1"/>
  <c r="U1252" i="2" s="1"/>
  <c r="T1252" i="2"/>
  <c r="P1253" i="2"/>
  <c r="Q1253" i="2"/>
  <c r="R1253" i="2" s="1"/>
  <c r="S1253" i="2" s="1"/>
  <c r="T1253" i="2"/>
  <c r="P1254" i="2"/>
  <c r="Q1254" i="2"/>
  <c r="R1254" i="2" s="1"/>
  <c r="U1254" i="2" s="1"/>
  <c r="T1254" i="2"/>
  <c r="P1255" i="2"/>
  <c r="Q1255" i="2"/>
  <c r="R1255" i="2" s="1"/>
  <c r="S1255" i="2" s="1"/>
  <c r="T1255" i="2"/>
  <c r="P1256" i="2"/>
  <c r="Q1256" i="2"/>
  <c r="R1256" i="2" s="1"/>
  <c r="U1256" i="2" s="1"/>
  <c r="T1256" i="2"/>
  <c r="P1257" i="2"/>
  <c r="Q1257" i="2"/>
  <c r="R1257" i="2" s="1"/>
  <c r="S1257" i="2" s="1"/>
  <c r="T1257" i="2"/>
  <c r="P1258" i="2"/>
  <c r="Q1258" i="2"/>
  <c r="R1258" i="2" s="1"/>
  <c r="U1258" i="2" s="1"/>
  <c r="T1258" i="2"/>
  <c r="P1259" i="2"/>
  <c r="Q1259" i="2"/>
  <c r="R1259" i="2" s="1"/>
  <c r="S1259" i="2" s="1"/>
  <c r="T1259" i="2"/>
  <c r="P1260" i="2"/>
  <c r="Q1260" i="2"/>
  <c r="R1260" i="2" s="1"/>
  <c r="U1260" i="2" s="1"/>
  <c r="T1260" i="2"/>
  <c r="P1261" i="2"/>
  <c r="Q1261" i="2"/>
  <c r="R1261" i="2" s="1"/>
  <c r="S1261" i="2" s="1"/>
  <c r="T1261" i="2"/>
  <c r="P1262" i="2"/>
  <c r="Q1262" i="2"/>
  <c r="R1262" i="2" s="1"/>
  <c r="U1262" i="2" s="1"/>
  <c r="T1262" i="2"/>
  <c r="P1263" i="2"/>
  <c r="Q1263" i="2"/>
  <c r="R1263" i="2" s="1"/>
  <c r="S1263" i="2" s="1"/>
  <c r="T1263" i="2"/>
  <c r="P1264" i="2"/>
  <c r="Q1264" i="2"/>
  <c r="R1264" i="2" s="1"/>
  <c r="U1264" i="2" s="1"/>
  <c r="T1264" i="2"/>
  <c r="P1265" i="2"/>
  <c r="Q1265" i="2"/>
  <c r="R1265" i="2" s="1"/>
  <c r="S1265" i="2" s="1"/>
  <c r="T1265" i="2"/>
  <c r="P1266" i="2"/>
  <c r="Q1266" i="2"/>
  <c r="R1266" i="2" s="1"/>
  <c r="U1266" i="2" s="1"/>
  <c r="T1266" i="2"/>
  <c r="P1267" i="2"/>
  <c r="Q1267" i="2"/>
  <c r="R1267" i="2" s="1"/>
  <c r="S1267" i="2" s="1"/>
  <c r="T1267" i="2"/>
  <c r="P1268" i="2"/>
  <c r="Q1268" i="2"/>
  <c r="R1268" i="2" s="1"/>
  <c r="U1268" i="2" s="1"/>
  <c r="T1268" i="2"/>
  <c r="P1269" i="2"/>
  <c r="Q1269" i="2"/>
  <c r="R1269" i="2" s="1"/>
  <c r="S1269" i="2" s="1"/>
  <c r="T1269" i="2"/>
  <c r="P1270" i="2"/>
  <c r="Q1270" i="2"/>
  <c r="R1270" i="2" s="1"/>
  <c r="U1270" i="2" s="1"/>
  <c r="T1270" i="2"/>
  <c r="P1271" i="2"/>
  <c r="Q1271" i="2"/>
  <c r="R1271" i="2" s="1"/>
  <c r="S1271" i="2" s="1"/>
  <c r="T1271" i="2"/>
  <c r="P1272" i="2"/>
  <c r="Q1272" i="2"/>
  <c r="R1272" i="2" s="1"/>
  <c r="U1272" i="2" s="1"/>
  <c r="T1272" i="2"/>
  <c r="P1273" i="2"/>
  <c r="Q1273" i="2"/>
  <c r="R1273" i="2" s="1"/>
  <c r="S1273" i="2" s="1"/>
  <c r="T1273" i="2"/>
  <c r="P1274" i="2"/>
  <c r="Q1274" i="2"/>
  <c r="R1274" i="2" s="1"/>
  <c r="U1274" i="2" s="1"/>
  <c r="T1274" i="2"/>
  <c r="P1275" i="2"/>
  <c r="Q1275" i="2"/>
  <c r="R1275" i="2" s="1"/>
  <c r="S1275" i="2" s="1"/>
  <c r="T1275" i="2"/>
  <c r="P1276" i="2"/>
  <c r="Q1276" i="2"/>
  <c r="R1276" i="2" s="1"/>
  <c r="U1276" i="2" s="1"/>
  <c r="T1276" i="2"/>
  <c r="P1277" i="2"/>
  <c r="Q1277" i="2"/>
  <c r="R1277" i="2" s="1"/>
  <c r="S1277" i="2" s="1"/>
  <c r="T1277" i="2"/>
  <c r="P1278" i="2"/>
  <c r="Q1278" i="2"/>
  <c r="R1278" i="2" s="1"/>
  <c r="U1278" i="2" s="1"/>
  <c r="T1278" i="2"/>
  <c r="P1279" i="2"/>
  <c r="Q1279" i="2"/>
  <c r="R1279" i="2" s="1"/>
  <c r="S1279" i="2" s="1"/>
  <c r="T1279" i="2"/>
  <c r="P1280" i="2"/>
  <c r="Q1280" i="2"/>
  <c r="R1280" i="2" s="1"/>
  <c r="U1280" i="2" s="1"/>
  <c r="T1280" i="2"/>
  <c r="P1281" i="2"/>
  <c r="Q1281" i="2"/>
  <c r="R1281" i="2" s="1"/>
  <c r="S1281" i="2" s="1"/>
  <c r="T1281" i="2"/>
  <c r="P1282" i="2"/>
  <c r="Q1282" i="2"/>
  <c r="R1282" i="2" s="1"/>
  <c r="U1282" i="2" s="1"/>
  <c r="T1282" i="2"/>
  <c r="P1283" i="2"/>
  <c r="Q1283" i="2"/>
  <c r="R1283" i="2" s="1"/>
  <c r="S1283" i="2" s="1"/>
  <c r="T1283" i="2"/>
  <c r="P1284" i="2"/>
  <c r="Q1284" i="2"/>
  <c r="R1284" i="2" s="1"/>
  <c r="U1284" i="2" s="1"/>
  <c r="T1284" i="2"/>
  <c r="P1285" i="2"/>
  <c r="Q1285" i="2"/>
  <c r="R1285" i="2" s="1"/>
  <c r="S1285" i="2" s="1"/>
  <c r="T1285" i="2"/>
  <c r="P1286" i="2"/>
  <c r="Q1286" i="2"/>
  <c r="R1286" i="2" s="1"/>
  <c r="U1286" i="2" s="1"/>
  <c r="T1286" i="2"/>
  <c r="P1287" i="2"/>
  <c r="Q1287" i="2"/>
  <c r="R1287" i="2" s="1"/>
  <c r="S1287" i="2" s="1"/>
  <c r="T1287" i="2"/>
  <c r="P1288" i="2"/>
  <c r="Q1288" i="2"/>
  <c r="R1288" i="2" s="1"/>
  <c r="U1288" i="2" s="1"/>
  <c r="T1288" i="2"/>
  <c r="P1289" i="2"/>
  <c r="Q1289" i="2"/>
  <c r="R1289" i="2" s="1"/>
  <c r="S1289" i="2" s="1"/>
  <c r="T1289" i="2"/>
  <c r="P1290" i="2"/>
  <c r="Q1290" i="2"/>
  <c r="R1290" i="2" s="1"/>
  <c r="U1290" i="2" s="1"/>
  <c r="T1290" i="2"/>
  <c r="P1291" i="2"/>
  <c r="Q1291" i="2"/>
  <c r="R1291" i="2" s="1"/>
  <c r="S1291" i="2" s="1"/>
  <c r="T1291" i="2"/>
  <c r="P1292" i="2"/>
  <c r="Q1292" i="2"/>
  <c r="R1292" i="2" s="1"/>
  <c r="U1292" i="2" s="1"/>
  <c r="T1292" i="2"/>
  <c r="P1293" i="2"/>
  <c r="Q1293" i="2"/>
  <c r="R1293" i="2" s="1"/>
  <c r="S1293" i="2" s="1"/>
  <c r="T1293" i="2"/>
  <c r="P1294" i="2"/>
  <c r="Q1294" i="2"/>
  <c r="R1294" i="2" s="1"/>
  <c r="U1294" i="2" s="1"/>
  <c r="T1294" i="2"/>
  <c r="P1295" i="2"/>
  <c r="Q1295" i="2"/>
  <c r="R1295" i="2" s="1"/>
  <c r="S1295" i="2" s="1"/>
  <c r="T1295" i="2"/>
  <c r="P1296" i="2"/>
  <c r="Q1296" i="2"/>
  <c r="R1296" i="2" s="1"/>
  <c r="U1296" i="2" s="1"/>
  <c r="T1296" i="2"/>
  <c r="P1297" i="2"/>
  <c r="Q1297" i="2"/>
  <c r="R1297" i="2" s="1"/>
  <c r="S1297" i="2" s="1"/>
  <c r="T1297" i="2"/>
  <c r="P1298" i="2"/>
  <c r="Q1298" i="2"/>
  <c r="R1298" i="2" s="1"/>
  <c r="U1298" i="2" s="1"/>
  <c r="T1298" i="2"/>
  <c r="P1299" i="2"/>
  <c r="Q1299" i="2"/>
  <c r="R1299" i="2" s="1"/>
  <c r="S1299" i="2" s="1"/>
  <c r="T1299" i="2"/>
  <c r="P1300" i="2"/>
  <c r="Q1300" i="2"/>
  <c r="R1300" i="2" s="1"/>
  <c r="U1300" i="2" s="1"/>
  <c r="T1300" i="2"/>
  <c r="P1301" i="2"/>
  <c r="Q1301" i="2"/>
  <c r="R1301" i="2" s="1"/>
  <c r="S1301" i="2" s="1"/>
  <c r="T1301" i="2"/>
  <c r="P1302" i="2"/>
  <c r="Q1302" i="2"/>
  <c r="R1302" i="2" s="1"/>
  <c r="U1302" i="2" s="1"/>
  <c r="T1302" i="2"/>
  <c r="P1303" i="2"/>
  <c r="Q1303" i="2"/>
  <c r="R1303" i="2" s="1"/>
  <c r="S1303" i="2" s="1"/>
  <c r="T1303" i="2"/>
  <c r="P1304" i="2"/>
  <c r="Q1304" i="2"/>
  <c r="R1304" i="2" s="1"/>
  <c r="U1304" i="2" s="1"/>
  <c r="T1304" i="2"/>
  <c r="P1305" i="2"/>
  <c r="Q1305" i="2"/>
  <c r="R1305" i="2" s="1"/>
  <c r="S1305" i="2" s="1"/>
  <c r="T1305" i="2"/>
  <c r="P1306" i="2"/>
  <c r="Q1306" i="2"/>
  <c r="R1306" i="2" s="1"/>
  <c r="U1306" i="2" s="1"/>
  <c r="T1306" i="2"/>
  <c r="P1307" i="2"/>
  <c r="Q1307" i="2"/>
  <c r="R1307" i="2" s="1"/>
  <c r="S1307" i="2" s="1"/>
  <c r="T1307" i="2"/>
  <c r="P1308" i="2"/>
  <c r="Q1308" i="2"/>
  <c r="R1308" i="2" s="1"/>
  <c r="U1308" i="2" s="1"/>
  <c r="T1308" i="2"/>
  <c r="P1309" i="2"/>
  <c r="Q1309" i="2"/>
  <c r="R1309" i="2" s="1"/>
  <c r="S1309" i="2" s="1"/>
  <c r="T1309" i="2"/>
  <c r="P1310" i="2"/>
  <c r="Q1310" i="2"/>
  <c r="R1310" i="2" s="1"/>
  <c r="U1310" i="2" s="1"/>
  <c r="T1310" i="2"/>
  <c r="P1311" i="2"/>
  <c r="Q1311" i="2"/>
  <c r="R1311" i="2" s="1"/>
  <c r="S1311" i="2" s="1"/>
  <c r="T1311" i="2"/>
  <c r="P1312" i="2"/>
  <c r="Q1312" i="2"/>
  <c r="R1312" i="2" s="1"/>
  <c r="U1312" i="2" s="1"/>
  <c r="T1312" i="2"/>
  <c r="P1313" i="2"/>
  <c r="Q1313" i="2"/>
  <c r="R1313" i="2" s="1"/>
  <c r="S1313" i="2" s="1"/>
  <c r="T1313" i="2"/>
  <c r="P1314" i="2"/>
  <c r="Q1314" i="2"/>
  <c r="R1314" i="2" s="1"/>
  <c r="U1314" i="2" s="1"/>
  <c r="T1314" i="2"/>
  <c r="P1315" i="2"/>
  <c r="Q1315" i="2"/>
  <c r="R1315" i="2" s="1"/>
  <c r="S1315" i="2" s="1"/>
  <c r="T1315" i="2"/>
  <c r="P1316" i="2"/>
  <c r="Q1316" i="2"/>
  <c r="R1316" i="2" s="1"/>
  <c r="U1316" i="2" s="1"/>
  <c r="T1316" i="2"/>
  <c r="P1317" i="2"/>
  <c r="Q1317" i="2"/>
  <c r="R1317" i="2" s="1"/>
  <c r="S1317" i="2" s="1"/>
  <c r="T1317" i="2"/>
  <c r="P1318" i="2"/>
  <c r="Q1318" i="2"/>
  <c r="R1318" i="2" s="1"/>
  <c r="U1318" i="2" s="1"/>
  <c r="T1318" i="2"/>
  <c r="P1319" i="2"/>
  <c r="Q1319" i="2"/>
  <c r="R1319" i="2" s="1"/>
  <c r="S1319" i="2" s="1"/>
  <c r="T1319" i="2"/>
  <c r="P1320" i="2"/>
  <c r="Q1320" i="2"/>
  <c r="R1320" i="2" s="1"/>
  <c r="U1320" i="2" s="1"/>
  <c r="T1320" i="2"/>
  <c r="P1321" i="2"/>
  <c r="Q1321" i="2"/>
  <c r="R1321" i="2" s="1"/>
  <c r="S1321" i="2" s="1"/>
  <c r="T1321" i="2"/>
  <c r="P1322" i="2"/>
  <c r="Q1322" i="2"/>
  <c r="R1322" i="2" s="1"/>
  <c r="U1322" i="2" s="1"/>
  <c r="T1322" i="2"/>
  <c r="P1323" i="2"/>
  <c r="Q1323" i="2"/>
  <c r="R1323" i="2" s="1"/>
  <c r="S1323" i="2" s="1"/>
  <c r="T1323" i="2"/>
  <c r="P1324" i="2"/>
  <c r="Q1324" i="2"/>
  <c r="R1324" i="2" s="1"/>
  <c r="U1324" i="2" s="1"/>
  <c r="T1324" i="2"/>
  <c r="P1325" i="2"/>
  <c r="Q1325" i="2"/>
  <c r="R1325" i="2" s="1"/>
  <c r="S1325" i="2" s="1"/>
  <c r="T1325" i="2"/>
  <c r="P1326" i="2"/>
  <c r="Q1326" i="2"/>
  <c r="R1326" i="2" s="1"/>
  <c r="U1326" i="2" s="1"/>
  <c r="T1326" i="2"/>
  <c r="P1327" i="2"/>
  <c r="Q1327" i="2"/>
  <c r="R1327" i="2" s="1"/>
  <c r="S1327" i="2" s="1"/>
  <c r="T1327" i="2"/>
  <c r="P1328" i="2"/>
  <c r="Q1328" i="2"/>
  <c r="R1328" i="2" s="1"/>
  <c r="U1328" i="2" s="1"/>
  <c r="T1328" i="2"/>
  <c r="P1329" i="2"/>
  <c r="Q1329" i="2"/>
  <c r="R1329" i="2" s="1"/>
  <c r="S1329" i="2" s="1"/>
  <c r="T1329" i="2"/>
  <c r="P1330" i="2"/>
  <c r="Q1330" i="2"/>
  <c r="R1330" i="2" s="1"/>
  <c r="U1330" i="2" s="1"/>
  <c r="T1330" i="2"/>
  <c r="P1331" i="2"/>
  <c r="Q1331" i="2"/>
  <c r="R1331" i="2" s="1"/>
  <c r="S1331" i="2" s="1"/>
  <c r="T1331" i="2"/>
  <c r="P1332" i="2"/>
  <c r="Q1332" i="2"/>
  <c r="R1332" i="2" s="1"/>
  <c r="U1332" i="2" s="1"/>
  <c r="T1332" i="2"/>
  <c r="P1333" i="2"/>
  <c r="Q1333" i="2"/>
  <c r="R1333" i="2" s="1"/>
  <c r="S1333" i="2" s="1"/>
  <c r="T1333" i="2"/>
  <c r="P1334" i="2"/>
  <c r="Q1334" i="2"/>
  <c r="R1334" i="2" s="1"/>
  <c r="U1334" i="2" s="1"/>
  <c r="T1334" i="2"/>
  <c r="P1335" i="2"/>
  <c r="Q1335" i="2"/>
  <c r="R1335" i="2" s="1"/>
  <c r="S1335" i="2" s="1"/>
  <c r="T1335" i="2"/>
  <c r="P1336" i="2"/>
  <c r="Q1336" i="2"/>
  <c r="R1336" i="2" s="1"/>
  <c r="U1336" i="2" s="1"/>
  <c r="T1336" i="2"/>
  <c r="P1337" i="2"/>
  <c r="Q1337" i="2"/>
  <c r="R1337" i="2" s="1"/>
  <c r="S1337" i="2" s="1"/>
  <c r="T1337" i="2"/>
  <c r="P1338" i="2"/>
  <c r="Q1338" i="2"/>
  <c r="R1338" i="2" s="1"/>
  <c r="U1338" i="2" s="1"/>
  <c r="T1338" i="2"/>
  <c r="P1339" i="2"/>
  <c r="Q1339" i="2"/>
  <c r="R1339" i="2" s="1"/>
  <c r="S1339" i="2" s="1"/>
  <c r="T1339" i="2"/>
  <c r="P1340" i="2"/>
  <c r="Q1340" i="2"/>
  <c r="R1340" i="2" s="1"/>
  <c r="U1340" i="2" s="1"/>
  <c r="T1340" i="2"/>
  <c r="P1341" i="2"/>
  <c r="Q1341" i="2"/>
  <c r="R1341" i="2" s="1"/>
  <c r="S1341" i="2" s="1"/>
  <c r="T1341" i="2"/>
  <c r="P1342" i="2"/>
  <c r="Q1342" i="2"/>
  <c r="R1342" i="2" s="1"/>
  <c r="T1342" i="2"/>
  <c r="P1343" i="2"/>
  <c r="Q1343" i="2"/>
  <c r="R1343" i="2" s="1"/>
  <c r="T1343" i="2"/>
  <c r="P1344" i="2"/>
  <c r="Q1344" i="2"/>
  <c r="R1344" i="2" s="1"/>
  <c r="T1344" i="2"/>
  <c r="P1345" i="2"/>
  <c r="Q1345" i="2"/>
  <c r="R1345" i="2" s="1"/>
  <c r="T1345" i="2"/>
  <c r="P1346" i="2"/>
  <c r="Q1346" i="2"/>
  <c r="R1346" i="2" s="1"/>
  <c r="T1346" i="2"/>
  <c r="P1347" i="2"/>
  <c r="Q1347" i="2"/>
  <c r="R1347" i="2" s="1"/>
  <c r="T1347" i="2"/>
  <c r="P1348" i="2"/>
  <c r="Q1348" i="2"/>
  <c r="R1348" i="2" s="1"/>
  <c r="T1348" i="2"/>
  <c r="P1349" i="2"/>
  <c r="Q1349" i="2"/>
  <c r="R1349" i="2" s="1"/>
  <c r="T1349" i="2"/>
  <c r="P1350" i="2"/>
  <c r="Q1350" i="2"/>
  <c r="R1350" i="2" s="1"/>
  <c r="T1350" i="2"/>
  <c r="P1351" i="2"/>
  <c r="Q1351" i="2"/>
  <c r="R1351" i="2" s="1"/>
  <c r="T1351" i="2"/>
  <c r="P1352" i="2"/>
  <c r="Q1352" i="2"/>
  <c r="R1352" i="2" s="1"/>
  <c r="T1352" i="2"/>
  <c r="P1353" i="2"/>
  <c r="Q1353" i="2"/>
  <c r="R1353" i="2" s="1"/>
  <c r="T1353" i="2"/>
  <c r="P1354" i="2"/>
  <c r="Q1354" i="2"/>
  <c r="R1354" i="2" s="1"/>
  <c r="T1354" i="2"/>
  <c r="P1355" i="2"/>
  <c r="Q1355" i="2"/>
  <c r="R1355" i="2" s="1"/>
  <c r="T1355" i="2"/>
  <c r="P1356" i="2"/>
  <c r="Q1356" i="2"/>
  <c r="R1356" i="2" s="1"/>
  <c r="T1356" i="2"/>
  <c r="P1357" i="2"/>
  <c r="Q1357" i="2"/>
  <c r="R1357" i="2" s="1"/>
  <c r="T1357" i="2"/>
  <c r="P1358" i="2"/>
  <c r="Q1358" i="2"/>
  <c r="R1358" i="2" s="1"/>
  <c r="T1358" i="2"/>
  <c r="P1359" i="2"/>
  <c r="Q1359" i="2"/>
  <c r="R1359" i="2" s="1"/>
  <c r="T1359" i="2"/>
  <c r="P1360" i="2"/>
  <c r="Q1360" i="2"/>
  <c r="R1360" i="2" s="1"/>
  <c r="T1360" i="2"/>
  <c r="P1361" i="2"/>
  <c r="Q1361" i="2"/>
  <c r="R1361" i="2" s="1"/>
  <c r="T1361" i="2"/>
  <c r="P1362" i="2"/>
  <c r="Q1362" i="2"/>
  <c r="R1362" i="2" s="1"/>
  <c r="T1362" i="2"/>
  <c r="P1363" i="2"/>
  <c r="Q1363" i="2"/>
  <c r="R1363" i="2" s="1"/>
  <c r="T1363" i="2"/>
  <c r="P1364" i="2"/>
  <c r="Q1364" i="2"/>
  <c r="R1364" i="2" s="1"/>
  <c r="T1364" i="2"/>
  <c r="P1365" i="2"/>
  <c r="Q1365" i="2"/>
  <c r="R1365" i="2" s="1"/>
  <c r="T1365" i="2"/>
  <c r="P1366" i="2"/>
  <c r="Q1366" i="2"/>
  <c r="R1366" i="2" s="1"/>
  <c r="T1366" i="2"/>
  <c r="P1367" i="2"/>
  <c r="Q1367" i="2"/>
  <c r="R1367" i="2" s="1"/>
  <c r="T1367" i="2"/>
  <c r="P1368" i="2"/>
  <c r="Q1368" i="2"/>
  <c r="R1368" i="2" s="1"/>
  <c r="T1368" i="2"/>
  <c r="P1369" i="2"/>
  <c r="Q1369" i="2"/>
  <c r="R1369" i="2" s="1"/>
  <c r="T1369" i="2"/>
  <c r="P1370" i="2"/>
  <c r="Q1370" i="2"/>
  <c r="R1370" i="2" s="1"/>
  <c r="T1370" i="2"/>
  <c r="P1371" i="2"/>
  <c r="Q1371" i="2"/>
  <c r="R1371" i="2" s="1"/>
  <c r="T1371" i="2"/>
  <c r="P1372" i="2"/>
  <c r="Q1372" i="2"/>
  <c r="R1372" i="2" s="1"/>
  <c r="T1372" i="2"/>
  <c r="P1373" i="2"/>
  <c r="Q1373" i="2"/>
  <c r="R1373" i="2" s="1"/>
  <c r="T1373" i="2"/>
  <c r="P1374" i="2"/>
  <c r="Q1374" i="2"/>
  <c r="R1374" i="2" s="1"/>
  <c r="T1374" i="2"/>
  <c r="P1375" i="2"/>
  <c r="Q1375" i="2"/>
  <c r="R1375" i="2" s="1"/>
  <c r="T1375" i="2"/>
  <c r="P1376" i="2"/>
  <c r="Q1376" i="2"/>
  <c r="R1376" i="2" s="1"/>
  <c r="T1376" i="2"/>
  <c r="P1377" i="2"/>
  <c r="Q1377" i="2"/>
  <c r="R1377" i="2" s="1"/>
  <c r="T1377" i="2"/>
  <c r="P1378" i="2"/>
  <c r="Q1378" i="2"/>
  <c r="R1378" i="2" s="1"/>
  <c r="T1378" i="2"/>
  <c r="P1379" i="2"/>
  <c r="Q1379" i="2"/>
  <c r="R1379" i="2" s="1"/>
  <c r="T1379" i="2"/>
  <c r="P1380" i="2"/>
  <c r="Q1380" i="2"/>
  <c r="R1380" i="2" s="1"/>
  <c r="T1380" i="2"/>
  <c r="P1381" i="2"/>
  <c r="Q1381" i="2"/>
  <c r="R1381" i="2" s="1"/>
  <c r="T1381" i="2"/>
  <c r="P1382" i="2"/>
  <c r="Q1382" i="2"/>
  <c r="R1382" i="2" s="1"/>
  <c r="T1382" i="2"/>
  <c r="P1383" i="2"/>
  <c r="Q1383" i="2"/>
  <c r="R1383" i="2" s="1"/>
  <c r="T1383" i="2"/>
  <c r="P1384" i="2"/>
  <c r="Q1384" i="2"/>
  <c r="R1384" i="2" s="1"/>
  <c r="T1384" i="2"/>
  <c r="P1385" i="2"/>
  <c r="Q1385" i="2"/>
  <c r="R1385" i="2" s="1"/>
  <c r="T1385" i="2"/>
  <c r="P1386" i="2"/>
  <c r="Q1386" i="2"/>
  <c r="R1386" i="2" s="1"/>
  <c r="T1386" i="2"/>
  <c r="P1387" i="2"/>
  <c r="Q1387" i="2"/>
  <c r="R1387" i="2" s="1"/>
  <c r="T1387" i="2"/>
  <c r="P1388" i="2"/>
  <c r="Q1388" i="2"/>
  <c r="R1388" i="2" s="1"/>
  <c r="T1388" i="2"/>
  <c r="P1389" i="2"/>
  <c r="Q1389" i="2"/>
  <c r="R1389" i="2" s="1"/>
  <c r="T1389" i="2"/>
  <c r="P1390" i="2"/>
  <c r="Q1390" i="2"/>
  <c r="R1390" i="2" s="1"/>
  <c r="T1390" i="2"/>
  <c r="P1391" i="2"/>
  <c r="Q1391" i="2"/>
  <c r="R1391" i="2" s="1"/>
  <c r="T1391" i="2"/>
  <c r="P1392" i="2"/>
  <c r="Q1392" i="2"/>
  <c r="R1392" i="2" s="1"/>
  <c r="T1392" i="2"/>
  <c r="P1393" i="2"/>
  <c r="Q1393" i="2"/>
  <c r="R1393" i="2" s="1"/>
  <c r="T1393" i="2"/>
  <c r="P1394" i="2"/>
  <c r="Q1394" i="2"/>
  <c r="R1394" i="2" s="1"/>
  <c r="T1394" i="2"/>
  <c r="P1395" i="2"/>
  <c r="Q1395" i="2"/>
  <c r="R1395" i="2" s="1"/>
  <c r="T1395" i="2"/>
  <c r="P1396" i="2"/>
  <c r="Q1396" i="2"/>
  <c r="R1396" i="2" s="1"/>
  <c r="T1396" i="2"/>
  <c r="P1397" i="2"/>
  <c r="Q1397" i="2"/>
  <c r="R1397" i="2" s="1"/>
  <c r="T1397" i="2"/>
  <c r="P1398" i="2"/>
  <c r="Q1398" i="2"/>
  <c r="R1398" i="2" s="1"/>
  <c r="T1398" i="2"/>
  <c r="P1399" i="2"/>
  <c r="Q1399" i="2"/>
  <c r="R1399" i="2" s="1"/>
  <c r="T1399" i="2"/>
  <c r="P1400" i="2"/>
  <c r="Q1400" i="2"/>
  <c r="R1400" i="2" s="1"/>
  <c r="T1400" i="2"/>
  <c r="P1401" i="2"/>
  <c r="Q1401" i="2"/>
  <c r="R1401" i="2" s="1"/>
  <c r="T1401" i="2"/>
  <c r="P1402" i="2"/>
  <c r="Q1402" i="2"/>
  <c r="R1402" i="2" s="1"/>
  <c r="T1402" i="2"/>
  <c r="P1403" i="2"/>
  <c r="Q1403" i="2"/>
  <c r="R1403" i="2" s="1"/>
  <c r="T1403" i="2"/>
  <c r="P1404" i="2"/>
  <c r="Q1404" i="2"/>
  <c r="R1404" i="2" s="1"/>
  <c r="T1404" i="2"/>
  <c r="P1405" i="2"/>
  <c r="Q1405" i="2"/>
  <c r="R1405" i="2" s="1"/>
  <c r="T1405" i="2"/>
  <c r="P1406" i="2"/>
  <c r="Q1406" i="2"/>
  <c r="R1406" i="2" s="1"/>
  <c r="T1406" i="2"/>
  <c r="P1407" i="2"/>
  <c r="Q1407" i="2"/>
  <c r="R1407" i="2" s="1"/>
  <c r="T1407" i="2"/>
  <c r="P1408" i="2"/>
  <c r="Q1408" i="2"/>
  <c r="R1408" i="2" s="1"/>
  <c r="T1408" i="2"/>
  <c r="P1409" i="2"/>
  <c r="Q1409" i="2"/>
  <c r="R1409" i="2" s="1"/>
  <c r="T1409" i="2"/>
  <c r="P1410" i="2"/>
  <c r="Q1410" i="2"/>
  <c r="R1410" i="2" s="1"/>
  <c r="T1410" i="2"/>
  <c r="P1411" i="2"/>
  <c r="Q1411" i="2"/>
  <c r="R1411" i="2" s="1"/>
  <c r="T1411" i="2"/>
  <c r="P1412" i="2"/>
  <c r="Q1412" i="2"/>
  <c r="R1412" i="2" s="1"/>
  <c r="T1412" i="2"/>
  <c r="P1413" i="2"/>
  <c r="Q1413" i="2"/>
  <c r="R1413" i="2" s="1"/>
  <c r="T1413" i="2"/>
  <c r="P1414" i="2"/>
  <c r="Q1414" i="2"/>
  <c r="R1414" i="2" s="1"/>
  <c r="T1414" i="2"/>
  <c r="P1415" i="2"/>
  <c r="Q1415" i="2"/>
  <c r="R1415" i="2" s="1"/>
  <c r="T1415" i="2"/>
  <c r="P1416" i="2"/>
  <c r="Q1416" i="2"/>
  <c r="R1416" i="2" s="1"/>
  <c r="T1416" i="2"/>
  <c r="P1417" i="2"/>
  <c r="Q1417" i="2"/>
  <c r="R1417" i="2" s="1"/>
  <c r="T1417" i="2"/>
  <c r="P1418" i="2"/>
  <c r="Q1418" i="2"/>
  <c r="R1418" i="2" s="1"/>
  <c r="T1418" i="2"/>
  <c r="P1419" i="2"/>
  <c r="Q1419" i="2"/>
  <c r="R1419" i="2" s="1"/>
  <c r="T1419" i="2"/>
  <c r="P1420" i="2"/>
  <c r="Q1420" i="2"/>
  <c r="R1420" i="2" s="1"/>
  <c r="T1420" i="2"/>
  <c r="P1421" i="2"/>
  <c r="Q1421" i="2"/>
  <c r="R1421" i="2" s="1"/>
  <c r="T1421" i="2"/>
  <c r="P1422" i="2"/>
  <c r="Q1422" i="2"/>
  <c r="R1422" i="2" s="1"/>
  <c r="T1422" i="2"/>
  <c r="P1423" i="2"/>
  <c r="Q1423" i="2"/>
  <c r="R1423" i="2" s="1"/>
  <c r="T1423" i="2"/>
  <c r="P1424" i="2"/>
  <c r="Q1424" i="2"/>
  <c r="R1424" i="2" s="1"/>
  <c r="T1424" i="2"/>
  <c r="P1425" i="2"/>
  <c r="Q1425" i="2"/>
  <c r="R1425" i="2" s="1"/>
  <c r="T1425" i="2"/>
  <c r="P1426" i="2"/>
  <c r="Q1426" i="2"/>
  <c r="R1426" i="2" s="1"/>
  <c r="T1426" i="2"/>
  <c r="P1427" i="2"/>
  <c r="Q1427" i="2"/>
  <c r="R1427" i="2" s="1"/>
  <c r="T1427" i="2"/>
  <c r="P1428" i="2"/>
  <c r="Q1428" i="2"/>
  <c r="R1428" i="2" s="1"/>
  <c r="T1428" i="2"/>
  <c r="P1429" i="2"/>
  <c r="Q1429" i="2"/>
  <c r="R1429" i="2" s="1"/>
  <c r="T1429" i="2"/>
  <c r="P1430" i="2"/>
  <c r="Q1430" i="2"/>
  <c r="R1430" i="2" s="1"/>
  <c r="T1430" i="2"/>
  <c r="P1431" i="2"/>
  <c r="Q1431" i="2"/>
  <c r="R1431" i="2" s="1"/>
  <c r="T1431" i="2"/>
  <c r="P1432" i="2"/>
  <c r="Q1432" i="2"/>
  <c r="R1432" i="2" s="1"/>
  <c r="T1432" i="2"/>
  <c r="P1433" i="2"/>
  <c r="Q1433" i="2"/>
  <c r="R1433" i="2" s="1"/>
  <c r="T1433" i="2"/>
  <c r="P1434" i="2"/>
  <c r="Q1434" i="2"/>
  <c r="R1434" i="2" s="1"/>
  <c r="T1434" i="2"/>
  <c r="P1435" i="2"/>
  <c r="Q1435" i="2"/>
  <c r="R1435" i="2" s="1"/>
  <c r="T1435" i="2"/>
  <c r="P1436" i="2"/>
  <c r="Q1436" i="2"/>
  <c r="R1436" i="2" s="1"/>
  <c r="T1436" i="2"/>
  <c r="P1437" i="2"/>
  <c r="Q1437" i="2"/>
  <c r="R1437" i="2" s="1"/>
  <c r="T1437" i="2"/>
  <c r="P1438" i="2"/>
  <c r="Q1438" i="2"/>
  <c r="R1438" i="2" s="1"/>
  <c r="T1438" i="2"/>
  <c r="P1439" i="2"/>
  <c r="Q1439" i="2"/>
  <c r="R1439" i="2" s="1"/>
  <c r="T1439" i="2"/>
  <c r="P1440" i="2"/>
  <c r="Q1440" i="2"/>
  <c r="R1440" i="2" s="1"/>
  <c r="T1440" i="2"/>
  <c r="P1441" i="2"/>
  <c r="Q1441" i="2"/>
  <c r="R1441" i="2" s="1"/>
  <c r="T1441" i="2"/>
  <c r="P1442" i="2"/>
  <c r="Q1442" i="2"/>
  <c r="R1442" i="2" s="1"/>
  <c r="T1442" i="2"/>
  <c r="P1443" i="2"/>
  <c r="Q1443" i="2"/>
  <c r="R1443" i="2" s="1"/>
  <c r="T1443" i="2"/>
  <c r="P1444" i="2"/>
  <c r="Q1444" i="2"/>
  <c r="R1444" i="2" s="1"/>
  <c r="T1444" i="2"/>
  <c r="P1445" i="2"/>
  <c r="Q1445" i="2"/>
  <c r="R1445" i="2" s="1"/>
  <c r="T1445" i="2"/>
  <c r="P1446" i="2"/>
  <c r="Q1446" i="2"/>
  <c r="R1446" i="2" s="1"/>
  <c r="T1446" i="2"/>
  <c r="P1447" i="2"/>
  <c r="Q1447" i="2"/>
  <c r="R1447" i="2" s="1"/>
  <c r="T1447" i="2"/>
  <c r="P1448" i="2"/>
  <c r="Q1448" i="2"/>
  <c r="R1448" i="2" s="1"/>
  <c r="T1448" i="2"/>
  <c r="P1449" i="2"/>
  <c r="Q1449" i="2"/>
  <c r="R1449" i="2" s="1"/>
  <c r="T1449" i="2"/>
  <c r="P1450" i="2"/>
  <c r="Q1450" i="2"/>
  <c r="R1450" i="2" s="1"/>
  <c r="T1450" i="2"/>
  <c r="P1451" i="2"/>
  <c r="Q1451" i="2"/>
  <c r="R1451" i="2" s="1"/>
  <c r="T1451" i="2"/>
  <c r="P1452" i="2"/>
  <c r="Q1452" i="2"/>
  <c r="R1452" i="2" s="1"/>
  <c r="T1452" i="2"/>
  <c r="P1453" i="2"/>
  <c r="Q1453" i="2"/>
  <c r="R1453" i="2" s="1"/>
  <c r="T1453" i="2"/>
  <c r="P1454" i="2"/>
  <c r="Q1454" i="2"/>
  <c r="R1454" i="2" s="1"/>
  <c r="T1454" i="2"/>
  <c r="P1455" i="2"/>
  <c r="Q1455" i="2"/>
  <c r="R1455" i="2" s="1"/>
  <c r="T1455" i="2"/>
  <c r="P1456" i="2"/>
  <c r="Q1456" i="2"/>
  <c r="R1456" i="2" s="1"/>
  <c r="T1456" i="2"/>
  <c r="P1457" i="2"/>
  <c r="Q1457" i="2"/>
  <c r="R1457" i="2" s="1"/>
  <c r="T1457" i="2"/>
  <c r="P1458" i="2"/>
  <c r="Q1458" i="2"/>
  <c r="R1458" i="2" s="1"/>
  <c r="T1458" i="2"/>
  <c r="P1459" i="2"/>
  <c r="Q1459" i="2"/>
  <c r="R1459" i="2" s="1"/>
  <c r="T1459" i="2"/>
  <c r="P1460" i="2"/>
  <c r="Q1460" i="2"/>
  <c r="R1460" i="2" s="1"/>
  <c r="T1460" i="2"/>
  <c r="P1461" i="2"/>
  <c r="Q1461" i="2"/>
  <c r="R1461" i="2" s="1"/>
  <c r="T1461" i="2"/>
  <c r="P1462" i="2"/>
  <c r="Q1462" i="2"/>
  <c r="R1462" i="2" s="1"/>
  <c r="T1462" i="2"/>
  <c r="P1463" i="2"/>
  <c r="Q1463" i="2"/>
  <c r="R1463" i="2" s="1"/>
  <c r="T1463" i="2"/>
  <c r="P1464" i="2"/>
  <c r="Q1464" i="2"/>
  <c r="R1464" i="2" s="1"/>
  <c r="T1464" i="2"/>
  <c r="P1465" i="2"/>
  <c r="Q1465" i="2"/>
  <c r="R1465" i="2" s="1"/>
  <c r="T1465" i="2"/>
  <c r="P1466" i="2"/>
  <c r="Q1466" i="2"/>
  <c r="R1466" i="2" s="1"/>
  <c r="T1466" i="2"/>
  <c r="P1467" i="2"/>
  <c r="Q1467" i="2"/>
  <c r="R1467" i="2" s="1"/>
  <c r="T1467" i="2"/>
  <c r="P1468" i="2"/>
  <c r="Q1468" i="2"/>
  <c r="R1468" i="2" s="1"/>
  <c r="T1468" i="2"/>
  <c r="P1469" i="2"/>
  <c r="Q1469" i="2"/>
  <c r="R1469" i="2" s="1"/>
  <c r="T1469" i="2"/>
  <c r="P1470" i="2"/>
  <c r="Q1470" i="2"/>
  <c r="R1470" i="2" s="1"/>
  <c r="T1470" i="2"/>
  <c r="P1471" i="2"/>
  <c r="Q1471" i="2"/>
  <c r="R1471" i="2" s="1"/>
  <c r="T1471" i="2"/>
  <c r="P1472" i="2"/>
  <c r="Q1472" i="2"/>
  <c r="R1472" i="2" s="1"/>
  <c r="T1472" i="2"/>
  <c r="P1473" i="2"/>
  <c r="Q1473" i="2"/>
  <c r="R1473" i="2" s="1"/>
  <c r="T1473" i="2"/>
  <c r="P1474" i="2"/>
  <c r="Q1474" i="2"/>
  <c r="R1474" i="2" s="1"/>
  <c r="T1474" i="2"/>
  <c r="P1475" i="2"/>
  <c r="Q1475" i="2"/>
  <c r="R1475" i="2" s="1"/>
  <c r="T1475" i="2"/>
  <c r="P1476" i="2"/>
  <c r="Q1476" i="2"/>
  <c r="R1476" i="2" s="1"/>
  <c r="T1476" i="2"/>
  <c r="P1477" i="2"/>
  <c r="Q1477" i="2"/>
  <c r="R1477" i="2" s="1"/>
  <c r="T1477" i="2"/>
  <c r="P1478" i="2"/>
  <c r="Q1478" i="2"/>
  <c r="R1478" i="2" s="1"/>
  <c r="T1478" i="2"/>
  <c r="P1479" i="2"/>
  <c r="Q1479" i="2"/>
  <c r="R1479" i="2" s="1"/>
  <c r="T1479" i="2"/>
  <c r="P1480" i="2"/>
  <c r="Q1480" i="2"/>
  <c r="R1480" i="2" s="1"/>
  <c r="T1480" i="2"/>
  <c r="P1481" i="2"/>
  <c r="Q1481" i="2"/>
  <c r="R1481" i="2" s="1"/>
  <c r="T1481" i="2"/>
  <c r="P1482" i="2"/>
  <c r="Q1482" i="2"/>
  <c r="R1482" i="2" s="1"/>
  <c r="T1482" i="2"/>
  <c r="P1483" i="2"/>
  <c r="Q1483" i="2"/>
  <c r="R1483" i="2" s="1"/>
  <c r="T1483" i="2"/>
  <c r="P1484" i="2"/>
  <c r="Q1484" i="2"/>
  <c r="R1484" i="2" s="1"/>
  <c r="T1484" i="2"/>
  <c r="P1485" i="2"/>
  <c r="Q1485" i="2"/>
  <c r="R1485" i="2" s="1"/>
  <c r="T1485" i="2"/>
  <c r="P1486" i="2"/>
  <c r="Q1486" i="2"/>
  <c r="R1486" i="2" s="1"/>
  <c r="T1486" i="2"/>
  <c r="P1487" i="2"/>
  <c r="Q1487" i="2"/>
  <c r="R1487" i="2" s="1"/>
  <c r="T1487" i="2"/>
  <c r="P1488" i="2"/>
  <c r="Q1488" i="2"/>
  <c r="R1488" i="2" s="1"/>
  <c r="T1488" i="2"/>
  <c r="P1489" i="2"/>
  <c r="Q1489" i="2"/>
  <c r="R1489" i="2" s="1"/>
  <c r="T1489" i="2"/>
  <c r="P1490" i="2"/>
  <c r="Q1490" i="2"/>
  <c r="R1490" i="2" s="1"/>
  <c r="T1490" i="2"/>
  <c r="P1491" i="2"/>
  <c r="Q1491" i="2"/>
  <c r="R1491" i="2" s="1"/>
  <c r="T1491" i="2"/>
  <c r="P1492" i="2"/>
  <c r="Q1492" i="2"/>
  <c r="R1492" i="2" s="1"/>
  <c r="U1492" i="2" s="1"/>
  <c r="S1492" i="2"/>
  <c r="T1492" i="2"/>
  <c r="P1493" i="2"/>
  <c r="Q1493" i="2"/>
  <c r="R1493" i="2"/>
  <c r="S1493" i="2" s="1"/>
  <c r="T1493" i="2"/>
  <c r="U1493" i="2"/>
  <c r="P1494" i="2"/>
  <c r="Q1494" i="2"/>
  <c r="R1494" i="2" s="1"/>
  <c r="U1494" i="2" s="1"/>
  <c r="T1494" i="2"/>
  <c r="P1495" i="2"/>
  <c r="Q1495" i="2"/>
  <c r="R1495" i="2" s="1"/>
  <c r="T1495" i="2"/>
  <c r="P1496" i="2"/>
  <c r="Q1496" i="2"/>
  <c r="R1496" i="2" s="1"/>
  <c r="U1496" i="2" s="1"/>
  <c r="S1496" i="2"/>
  <c r="T1496" i="2"/>
  <c r="P1497" i="2"/>
  <c r="Q1497" i="2"/>
  <c r="R1497" i="2"/>
  <c r="T1497" i="2"/>
  <c r="P1498" i="2"/>
  <c r="Q1498" i="2"/>
  <c r="R1498" i="2" s="1"/>
  <c r="T1498" i="2"/>
  <c r="P1499" i="2"/>
  <c r="Q1499" i="2"/>
  <c r="R1499" i="2" s="1"/>
  <c r="T1499" i="2"/>
  <c r="P1500" i="2"/>
  <c r="Q1500" i="2"/>
  <c r="R1500" i="2" s="1"/>
  <c r="U1500" i="2" s="1"/>
  <c r="S1500" i="2"/>
  <c r="T1500" i="2"/>
  <c r="P1501" i="2"/>
  <c r="Q1501" i="2"/>
  <c r="R1501" i="2"/>
  <c r="S1501" i="2" s="1"/>
  <c r="T1501" i="2"/>
  <c r="U1501" i="2"/>
  <c r="P1502" i="2"/>
  <c r="Q1502" i="2"/>
  <c r="R1502" i="2" s="1"/>
  <c r="U1502" i="2" s="1"/>
  <c r="T1502" i="2"/>
  <c r="P1503" i="2"/>
  <c r="Q1503" i="2"/>
  <c r="R1503" i="2" s="1"/>
  <c r="T1503" i="2"/>
  <c r="P1504" i="2"/>
  <c r="Q1504" i="2"/>
  <c r="R1504" i="2" s="1"/>
  <c r="U1504" i="2" s="1"/>
  <c r="S1504" i="2"/>
  <c r="T1504" i="2"/>
  <c r="P1505" i="2"/>
  <c r="Q1505" i="2"/>
  <c r="R1505" i="2"/>
  <c r="T1505" i="2"/>
  <c r="P1506" i="2"/>
  <c r="Q1506" i="2"/>
  <c r="R1506" i="2" s="1"/>
  <c r="T1506" i="2"/>
  <c r="P1507" i="2"/>
  <c r="Q1507" i="2"/>
  <c r="R1507" i="2" s="1"/>
  <c r="T1507" i="2"/>
  <c r="P1508" i="2"/>
  <c r="Q1508" i="2"/>
  <c r="R1508" i="2" s="1"/>
  <c r="U1508" i="2" s="1"/>
  <c r="S1508" i="2"/>
  <c r="T1508" i="2"/>
  <c r="P1509" i="2"/>
  <c r="Q1509" i="2"/>
  <c r="R1509" i="2"/>
  <c r="S1509" i="2" s="1"/>
  <c r="T1509" i="2"/>
  <c r="U1509" i="2"/>
  <c r="P1510" i="2"/>
  <c r="Q1510" i="2"/>
  <c r="R1510" i="2" s="1"/>
  <c r="U1510" i="2" s="1"/>
  <c r="T1510" i="2"/>
  <c r="P1511" i="2"/>
  <c r="Q1511" i="2"/>
  <c r="R1511" i="2" s="1"/>
  <c r="T1511" i="2"/>
  <c r="P1512" i="2"/>
  <c r="Q1512" i="2"/>
  <c r="R1512" i="2" s="1"/>
  <c r="U1512" i="2" s="1"/>
  <c r="S1512" i="2"/>
  <c r="T1512" i="2"/>
  <c r="P1513" i="2"/>
  <c r="Q1513" i="2"/>
  <c r="R1513" i="2"/>
  <c r="T1513" i="2"/>
  <c r="P1514" i="2"/>
  <c r="Q1514" i="2"/>
  <c r="R1514" i="2" s="1"/>
  <c r="T1514" i="2"/>
  <c r="P1515" i="2"/>
  <c r="Q1515" i="2"/>
  <c r="R1515" i="2" s="1"/>
  <c r="T1515" i="2"/>
  <c r="P1516" i="2"/>
  <c r="Q1516" i="2"/>
  <c r="R1516" i="2" s="1"/>
  <c r="U1516" i="2" s="1"/>
  <c r="S1516" i="2"/>
  <c r="T1516" i="2"/>
  <c r="P1517" i="2"/>
  <c r="Q1517" i="2"/>
  <c r="R1517" i="2"/>
  <c r="S1517" i="2" s="1"/>
  <c r="T1517" i="2"/>
  <c r="U1517" i="2"/>
  <c r="P1518" i="2"/>
  <c r="Q1518" i="2"/>
  <c r="R1518" i="2" s="1"/>
  <c r="U1518" i="2" s="1"/>
  <c r="T1518" i="2"/>
  <c r="P1519" i="2"/>
  <c r="Q1519" i="2"/>
  <c r="R1519" i="2" s="1"/>
  <c r="T1519" i="2"/>
  <c r="P1520" i="2"/>
  <c r="Q1520" i="2"/>
  <c r="R1520" i="2" s="1"/>
  <c r="U1520" i="2" s="1"/>
  <c r="S1520" i="2"/>
  <c r="T1520" i="2"/>
  <c r="P1521" i="2"/>
  <c r="Q1521" i="2"/>
  <c r="R1521" i="2"/>
  <c r="T1521" i="2"/>
  <c r="P1522" i="2"/>
  <c r="Q1522" i="2"/>
  <c r="R1522" i="2" s="1"/>
  <c r="T1522" i="2"/>
  <c r="P1523" i="2"/>
  <c r="Q1523" i="2"/>
  <c r="R1523" i="2" s="1"/>
  <c r="T1523" i="2"/>
  <c r="P1524" i="2"/>
  <c r="Q1524" i="2"/>
  <c r="R1524" i="2" s="1"/>
  <c r="U1524" i="2" s="1"/>
  <c r="S1524" i="2"/>
  <c r="T1524" i="2"/>
  <c r="P1525" i="2"/>
  <c r="Q1525" i="2"/>
  <c r="R1525" i="2"/>
  <c r="S1525" i="2" s="1"/>
  <c r="T1525" i="2"/>
  <c r="U1525" i="2"/>
  <c r="P1526" i="2"/>
  <c r="Q1526" i="2"/>
  <c r="R1526" i="2" s="1"/>
  <c r="U1526" i="2" s="1"/>
  <c r="T1526" i="2"/>
  <c r="P1527" i="2"/>
  <c r="Q1527" i="2"/>
  <c r="R1527" i="2" s="1"/>
  <c r="T1527" i="2"/>
  <c r="P1528" i="2"/>
  <c r="Q1528" i="2"/>
  <c r="R1528" i="2" s="1"/>
  <c r="U1528" i="2" s="1"/>
  <c r="S1528" i="2"/>
  <c r="T1528" i="2"/>
  <c r="P1529" i="2"/>
  <c r="Q1529" i="2"/>
  <c r="R1529" i="2"/>
  <c r="T1529" i="2"/>
  <c r="P1530" i="2"/>
  <c r="Q1530" i="2"/>
  <c r="R1530" i="2" s="1"/>
  <c r="T1530" i="2"/>
  <c r="P1531" i="2"/>
  <c r="Q1531" i="2"/>
  <c r="R1531" i="2" s="1"/>
  <c r="T1531" i="2"/>
  <c r="P1532" i="2"/>
  <c r="Q1532" i="2"/>
  <c r="R1532" i="2" s="1"/>
  <c r="U1532" i="2" s="1"/>
  <c r="S1532" i="2"/>
  <c r="T1532" i="2"/>
  <c r="P1533" i="2"/>
  <c r="Q1533" i="2"/>
  <c r="R1533" i="2"/>
  <c r="S1533" i="2" s="1"/>
  <c r="T1533" i="2"/>
  <c r="U1533" i="2"/>
  <c r="P1534" i="2"/>
  <c r="Q1534" i="2"/>
  <c r="R1534" i="2" s="1"/>
  <c r="U1534" i="2" s="1"/>
  <c r="T1534" i="2"/>
  <c r="P1535" i="2"/>
  <c r="Q1535" i="2"/>
  <c r="R1535" i="2" s="1"/>
  <c r="T1535" i="2"/>
  <c r="P1536" i="2"/>
  <c r="Q1536" i="2"/>
  <c r="R1536" i="2" s="1"/>
  <c r="U1536" i="2" s="1"/>
  <c r="S1536" i="2"/>
  <c r="T1536" i="2"/>
  <c r="P1537" i="2"/>
  <c r="Q1537" i="2"/>
  <c r="R1537" i="2"/>
  <c r="T1537" i="2"/>
  <c r="P1538" i="2"/>
  <c r="Q1538" i="2"/>
  <c r="R1538" i="2" s="1"/>
  <c r="T1538" i="2"/>
  <c r="P1539" i="2"/>
  <c r="Q1539" i="2"/>
  <c r="R1539" i="2" s="1"/>
  <c r="T1539" i="2"/>
  <c r="P1540" i="2"/>
  <c r="Q1540" i="2"/>
  <c r="R1540" i="2" s="1"/>
  <c r="U1540" i="2" s="1"/>
  <c r="S1540" i="2"/>
  <c r="T1540" i="2"/>
  <c r="P1541" i="2"/>
  <c r="Q1541" i="2"/>
  <c r="R1541" i="2"/>
  <c r="S1541" i="2" s="1"/>
  <c r="T1541" i="2"/>
  <c r="U1541" i="2"/>
  <c r="P1542" i="2"/>
  <c r="Q1542" i="2"/>
  <c r="R1542" i="2" s="1"/>
  <c r="U1542" i="2" s="1"/>
  <c r="T1542" i="2"/>
  <c r="P1543" i="2"/>
  <c r="Q1543" i="2"/>
  <c r="R1543" i="2" s="1"/>
  <c r="T1543" i="2"/>
  <c r="P1544" i="2"/>
  <c r="Q1544" i="2"/>
  <c r="R1544" i="2" s="1"/>
  <c r="U1544" i="2" s="1"/>
  <c r="S1544" i="2"/>
  <c r="T1544" i="2"/>
  <c r="P1545" i="2"/>
  <c r="Q1545" i="2"/>
  <c r="R1545" i="2"/>
  <c r="T1545" i="2"/>
  <c r="P1546" i="2"/>
  <c r="Q1546" i="2"/>
  <c r="R1546" i="2" s="1"/>
  <c r="T1546" i="2"/>
  <c r="P1547" i="2"/>
  <c r="Q1547" i="2"/>
  <c r="R1547" i="2" s="1"/>
  <c r="T1547" i="2"/>
  <c r="P1548" i="2"/>
  <c r="Q1548" i="2"/>
  <c r="R1548" i="2" s="1"/>
  <c r="U1548" i="2" s="1"/>
  <c r="S1548" i="2"/>
  <c r="T1548" i="2"/>
  <c r="P1549" i="2"/>
  <c r="Q1549" i="2"/>
  <c r="R1549" i="2"/>
  <c r="S1549" i="2" s="1"/>
  <c r="T1549" i="2"/>
  <c r="U1549" i="2"/>
  <c r="P1550" i="2"/>
  <c r="Q1550" i="2"/>
  <c r="R1550" i="2" s="1"/>
  <c r="U1550" i="2" s="1"/>
  <c r="T1550" i="2"/>
  <c r="P1551" i="2"/>
  <c r="Q1551" i="2"/>
  <c r="R1551" i="2" s="1"/>
  <c r="T1551" i="2"/>
  <c r="P1552" i="2"/>
  <c r="Q1552" i="2"/>
  <c r="R1552" i="2" s="1"/>
  <c r="U1552" i="2" s="1"/>
  <c r="S1552" i="2"/>
  <c r="T1552" i="2"/>
  <c r="P1553" i="2"/>
  <c r="Q1553" i="2"/>
  <c r="R1553" i="2"/>
  <c r="T1553" i="2"/>
  <c r="P1554" i="2"/>
  <c r="Q1554" i="2"/>
  <c r="R1554" i="2" s="1"/>
  <c r="T1554" i="2"/>
  <c r="P1555" i="2"/>
  <c r="Q1555" i="2"/>
  <c r="R1555" i="2" s="1"/>
  <c r="T1555" i="2"/>
  <c r="P1556" i="2"/>
  <c r="Q1556" i="2"/>
  <c r="R1556" i="2" s="1"/>
  <c r="U1556" i="2" s="1"/>
  <c r="S1556" i="2"/>
  <c r="T1556" i="2"/>
  <c r="P1557" i="2"/>
  <c r="Q1557" i="2"/>
  <c r="R1557" i="2"/>
  <c r="S1557" i="2" s="1"/>
  <c r="T1557" i="2"/>
  <c r="U1557" i="2"/>
  <c r="P1558" i="2"/>
  <c r="Q1558" i="2"/>
  <c r="R1558" i="2" s="1"/>
  <c r="U1558" i="2" s="1"/>
  <c r="T1558" i="2"/>
  <c r="P1559" i="2"/>
  <c r="Q1559" i="2"/>
  <c r="R1559" i="2" s="1"/>
  <c r="T1559" i="2"/>
  <c r="P1560" i="2"/>
  <c r="Q1560" i="2"/>
  <c r="R1560" i="2" s="1"/>
  <c r="U1560" i="2" s="1"/>
  <c r="S1560" i="2"/>
  <c r="T1560" i="2"/>
  <c r="P1561" i="2"/>
  <c r="Q1561" i="2"/>
  <c r="R1561" i="2"/>
  <c r="T1561" i="2"/>
  <c r="P1562" i="2"/>
  <c r="Q1562" i="2"/>
  <c r="R1562" i="2" s="1"/>
  <c r="T1562" i="2"/>
  <c r="P1563" i="2"/>
  <c r="Q1563" i="2"/>
  <c r="R1563" i="2" s="1"/>
  <c r="T1563" i="2"/>
  <c r="P1564" i="2"/>
  <c r="Q1564" i="2"/>
  <c r="R1564" i="2" s="1"/>
  <c r="U1564" i="2" s="1"/>
  <c r="S1564" i="2"/>
  <c r="T1564" i="2"/>
  <c r="P1565" i="2"/>
  <c r="Q1565" i="2"/>
  <c r="R1565" i="2"/>
  <c r="S1565" i="2" s="1"/>
  <c r="T1565" i="2"/>
  <c r="U1565" i="2"/>
  <c r="P1566" i="2"/>
  <c r="Q1566" i="2"/>
  <c r="R1566" i="2" s="1"/>
  <c r="U1566" i="2" s="1"/>
  <c r="T1566" i="2"/>
  <c r="P1567" i="2"/>
  <c r="Q1567" i="2"/>
  <c r="R1567" i="2" s="1"/>
  <c r="T1567" i="2"/>
  <c r="P1568" i="2"/>
  <c r="Q1568" i="2"/>
  <c r="R1568" i="2" s="1"/>
  <c r="U1568" i="2" s="1"/>
  <c r="S1568" i="2"/>
  <c r="T1568" i="2"/>
  <c r="P1569" i="2"/>
  <c r="Q1569" i="2"/>
  <c r="R1569" i="2"/>
  <c r="T1569" i="2"/>
  <c r="P1570" i="2"/>
  <c r="Q1570" i="2"/>
  <c r="R1570" i="2" s="1"/>
  <c r="T1570" i="2"/>
  <c r="P1571" i="2"/>
  <c r="Q1571" i="2"/>
  <c r="R1571" i="2" s="1"/>
  <c r="T1571" i="2"/>
  <c r="P1572" i="2"/>
  <c r="Q1572" i="2"/>
  <c r="R1572" i="2" s="1"/>
  <c r="U1572" i="2" s="1"/>
  <c r="S1572" i="2"/>
  <c r="T1572" i="2"/>
  <c r="P1573" i="2"/>
  <c r="Q1573" i="2"/>
  <c r="R1573" i="2"/>
  <c r="S1573" i="2" s="1"/>
  <c r="T1573" i="2"/>
  <c r="U1573" i="2"/>
  <c r="P1574" i="2"/>
  <c r="Q1574" i="2"/>
  <c r="R1574" i="2" s="1"/>
  <c r="U1574" i="2" s="1"/>
  <c r="T1574" i="2"/>
  <c r="P1575" i="2"/>
  <c r="Q1575" i="2"/>
  <c r="R1575" i="2" s="1"/>
  <c r="T1575" i="2"/>
  <c r="P1576" i="2"/>
  <c r="Q1576" i="2"/>
  <c r="R1576" i="2" s="1"/>
  <c r="U1576" i="2" s="1"/>
  <c r="S1576" i="2"/>
  <c r="T1576" i="2"/>
  <c r="P1577" i="2"/>
  <c r="Q1577" i="2"/>
  <c r="R1577" i="2"/>
  <c r="T1577" i="2"/>
  <c r="P1578" i="2"/>
  <c r="Q1578" i="2"/>
  <c r="R1578" i="2" s="1"/>
  <c r="T1578" i="2"/>
  <c r="P1579" i="2"/>
  <c r="Q1579" i="2"/>
  <c r="R1579" i="2" s="1"/>
  <c r="T1579" i="2"/>
  <c r="P1580" i="2"/>
  <c r="Q1580" i="2"/>
  <c r="R1580" i="2" s="1"/>
  <c r="S1580" i="2"/>
  <c r="T1580" i="2"/>
  <c r="U1580" i="2"/>
  <c r="P1581" i="2"/>
  <c r="Q1581" i="2"/>
  <c r="R1581" i="2" s="1"/>
  <c r="U1581" i="2" s="1"/>
  <c r="S1581" i="2"/>
  <c r="T1581" i="2"/>
  <c r="P1582" i="2"/>
  <c r="Q1582" i="2"/>
  <c r="R1582" i="2" s="1"/>
  <c r="T1582" i="2"/>
  <c r="P1583" i="2"/>
  <c r="Q1583" i="2"/>
  <c r="R1583" i="2"/>
  <c r="S1583" i="2" s="1"/>
  <c r="T1583" i="2"/>
  <c r="P1584" i="2"/>
  <c r="Q1584" i="2"/>
  <c r="R1584" i="2" s="1"/>
  <c r="S1584" i="2"/>
  <c r="T1584" i="2"/>
  <c r="U1584" i="2"/>
  <c r="P1585" i="2"/>
  <c r="Q1585" i="2"/>
  <c r="R1585" i="2" s="1"/>
  <c r="S1585" i="2" s="1"/>
  <c r="T1585" i="2"/>
  <c r="P1586" i="2"/>
  <c r="Q1586" i="2"/>
  <c r="R1586" i="2" s="1"/>
  <c r="S1586" i="2" s="1"/>
  <c r="T1586" i="2"/>
  <c r="P1587" i="2"/>
  <c r="Q1587" i="2"/>
  <c r="R1587" i="2"/>
  <c r="T1587" i="2"/>
  <c r="P1588" i="2"/>
  <c r="Q1588" i="2"/>
  <c r="R1588" i="2"/>
  <c r="S1588" i="2" s="1"/>
  <c r="T1588" i="2"/>
  <c r="P1589" i="2"/>
  <c r="Q1589" i="2"/>
  <c r="R1589" i="2"/>
  <c r="T1589" i="2"/>
  <c r="P1590" i="2"/>
  <c r="Q1590" i="2"/>
  <c r="R1590" i="2"/>
  <c r="S1590" i="2" s="1"/>
  <c r="T1590" i="2"/>
  <c r="P1591" i="2"/>
  <c r="Q1591" i="2"/>
  <c r="R1591" i="2"/>
  <c r="T1591" i="2"/>
  <c r="P1592" i="2"/>
  <c r="Q1592" i="2"/>
  <c r="R1592" i="2"/>
  <c r="S1592" i="2" s="1"/>
  <c r="T1592" i="2"/>
  <c r="P1593" i="2"/>
  <c r="Q1593" i="2"/>
  <c r="R1593" i="2"/>
  <c r="T1593" i="2"/>
  <c r="P1594" i="2"/>
  <c r="Q1594" i="2"/>
  <c r="R1594" i="2"/>
  <c r="S1594" i="2" s="1"/>
  <c r="T1594" i="2"/>
  <c r="P1595" i="2"/>
  <c r="Q1595" i="2"/>
  <c r="R1595" i="2"/>
  <c r="T1595" i="2"/>
  <c r="P1596" i="2"/>
  <c r="Q1596" i="2"/>
  <c r="R1596" i="2"/>
  <c r="S1596" i="2" s="1"/>
  <c r="T1596" i="2"/>
  <c r="P1597" i="2"/>
  <c r="Q1597" i="2"/>
  <c r="R1597" i="2"/>
  <c r="T1597" i="2"/>
  <c r="P1598" i="2"/>
  <c r="Q1598" i="2"/>
  <c r="R1598" i="2"/>
  <c r="S1598" i="2" s="1"/>
  <c r="T1598" i="2"/>
  <c r="P1599" i="2"/>
  <c r="Q1599" i="2"/>
  <c r="R1599" i="2"/>
  <c r="T1599" i="2"/>
  <c r="P1600" i="2"/>
  <c r="Q1600" i="2"/>
  <c r="R1600" i="2"/>
  <c r="S1600" i="2" s="1"/>
  <c r="T1600" i="2"/>
  <c r="P1601" i="2"/>
  <c r="Q1601" i="2"/>
  <c r="R1601" i="2"/>
  <c r="T1601" i="2"/>
  <c r="P1602" i="2"/>
  <c r="Q1602" i="2"/>
  <c r="R1602" i="2"/>
  <c r="S1602" i="2" s="1"/>
  <c r="T1602" i="2"/>
  <c r="P1603" i="2"/>
  <c r="Q1603" i="2"/>
  <c r="R1603" i="2"/>
  <c r="T1603" i="2"/>
  <c r="P1604" i="2"/>
  <c r="Q1604" i="2"/>
  <c r="R1604" i="2"/>
  <c r="S1604" i="2" s="1"/>
  <c r="T1604" i="2"/>
  <c r="P1605" i="2"/>
  <c r="Q1605" i="2"/>
  <c r="R1605" i="2"/>
  <c r="T1605" i="2"/>
  <c r="P1606" i="2"/>
  <c r="Q1606" i="2"/>
  <c r="R1606" i="2"/>
  <c r="S1606" i="2" s="1"/>
  <c r="T1606" i="2"/>
  <c r="P1607" i="2"/>
  <c r="Q1607" i="2"/>
  <c r="R1607" i="2"/>
  <c r="T1607" i="2"/>
  <c r="P1608" i="2"/>
  <c r="Q1608" i="2"/>
  <c r="R1608" i="2"/>
  <c r="S1608" i="2" s="1"/>
  <c r="T1608" i="2"/>
  <c r="P1609" i="2"/>
  <c r="Q1609" i="2"/>
  <c r="R1609" i="2"/>
  <c r="T1609" i="2"/>
  <c r="P1610" i="2"/>
  <c r="Q1610" i="2"/>
  <c r="R1610" i="2"/>
  <c r="S1610" i="2" s="1"/>
  <c r="T1610" i="2"/>
  <c r="P1611" i="2"/>
  <c r="Q1611" i="2"/>
  <c r="R1611" i="2"/>
  <c r="T1611" i="2"/>
  <c r="P1612" i="2"/>
  <c r="Q1612" i="2"/>
  <c r="R1612" i="2"/>
  <c r="S1612" i="2" s="1"/>
  <c r="T1612" i="2"/>
  <c r="P1613" i="2"/>
  <c r="Q1613" i="2"/>
  <c r="R1613" i="2"/>
  <c r="T1613" i="2"/>
  <c r="P1614" i="2"/>
  <c r="Q1614" i="2"/>
  <c r="R1614" i="2"/>
  <c r="S1614" i="2" s="1"/>
  <c r="T1614" i="2"/>
  <c r="P1615" i="2"/>
  <c r="Q1615" i="2"/>
  <c r="R1615" i="2"/>
  <c r="T1615" i="2"/>
  <c r="P1616" i="2"/>
  <c r="Q1616" i="2"/>
  <c r="R1616" i="2"/>
  <c r="S1616" i="2" s="1"/>
  <c r="T1616" i="2"/>
  <c r="P1617" i="2"/>
  <c r="Q1617" i="2"/>
  <c r="R1617" i="2"/>
  <c r="T1617" i="2"/>
  <c r="P1618" i="2"/>
  <c r="Q1618" i="2"/>
  <c r="R1618" i="2"/>
  <c r="S1618" i="2" s="1"/>
  <c r="T1618" i="2"/>
  <c r="P1619" i="2"/>
  <c r="Q1619" i="2"/>
  <c r="R1619" i="2"/>
  <c r="T1619" i="2"/>
  <c r="P1620" i="2"/>
  <c r="Q1620" i="2"/>
  <c r="R1620" i="2"/>
  <c r="S1620" i="2" s="1"/>
  <c r="T1620" i="2"/>
  <c r="P1621" i="2"/>
  <c r="Q1621" i="2"/>
  <c r="R1621" i="2"/>
  <c r="T1621" i="2"/>
  <c r="P1622" i="2"/>
  <c r="Q1622" i="2"/>
  <c r="R1622" i="2"/>
  <c r="S1622" i="2" s="1"/>
  <c r="T1622" i="2"/>
  <c r="P1623" i="2"/>
  <c r="Q1623" i="2"/>
  <c r="R1623" i="2"/>
  <c r="T1623" i="2"/>
  <c r="P1624" i="2"/>
  <c r="Q1624" i="2"/>
  <c r="R1624" i="2"/>
  <c r="S1624" i="2" s="1"/>
  <c r="T1624" i="2"/>
  <c r="P1625" i="2"/>
  <c r="Q1625" i="2"/>
  <c r="R1625" i="2"/>
  <c r="T1625" i="2"/>
  <c r="P1626" i="2"/>
  <c r="Q1626" i="2"/>
  <c r="R1626" i="2"/>
  <c r="S1626" i="2" s="1"/>
  <c r="T1626" i="2"/>
  <c r="P1627" i="2"/>
  <c r="Q1627" i="2"/>
  <c r="R1627" i="2"/>
  <c r="T1627" i="2"/>
  <c r="P1628" i="2"/>
  <c r="Q1628" i="2"/>
  <c r="R1628" i="2"/>
  <c r="S1628" i="2" s="1"/>
  <c r="T1628" i="2"/>
  <c r="P1629" i="2"/>
  <c r="Q1629" i="2"/>
  <c r="R1629" i="2"/>
  <c r="T1629" i="2"/>
  <c r="P1630" i="2"/>
  <c r="Q1630" i="2"/>
  <c r="R1630" i="2"/>
  <c r="S1630" i="2" s="1"/>
  <c r="T1630" i="2"/>
  <c r="P1631" i="2"/>
  <c r="Q1631" i="2"/>
  <c r="R1631" i="2"/>
  <c r="T1631" i="2"/>
  <c r="P1632" i="2"/>
  <c r="Q1632" i="2"/>
  <c r="R1632" i="2"/>
  <c r="S1632" i="2" s="1"/>
  <c r="T1632" i="2"/>
  <c r="P1633" i="2"/>
  <c r="Q1633" i="2"/>
  <c r="R1633" i="2"/>
  <c r="T1633" i="2"/>
  <c r="P1634" i="2"/>
  <c r="Q1634" i="2"/>
  <c r="R1634" i="2"/>
  <c r="S1634" i="2" s="1"/>
  <c r="T1634" i="2"/>
  <c r="P1635" i="2"/>
  <c r="Q1635" i="2"/>
  <c r="R1635" i="2"/>
  <c r="T1635" i="2"/>
  <c r="P1636" i="2"/>
  <c r="Q1636" i="2"/>
  <c r="R1636" i="2"/>
  <c r="S1636" i="2" s="1"/>
  <c r="T1636" i="2"/>
  <c r="P1637" i="2"/>
  <c r="Q1637" i="2"/>
  <c r="R1637" i="2"/>
  <c r="T1637" i="2"/>
  <c r="P1638" i="2"/>
  <c r="Q1638" i="2"/>
  <c r="R1638" i="2"/>
  <c r="S1638" i="2" s="1"/>
  <c r="T1638" i="2"/>
  <c r="P1639" i="2"/>
  <c r="Q1639" i="2"/>
  <c r="R1639" i="2"/>
  <c r="T1639" i="2"/>
  <c r="P1640" i="2"/>
  <c r="Q1640" i="2"/>
  <c r="R1640" i="2"/>
  <c r="S1640" i="2" s="1"/>
  <c r="T1640" i="2"/>
  <c r="P1641" i="2"/>
  <c r="Q1641" i="2"/>
  <c r="R1641" i="2"/>
  <c r="T1641" i="2"/>
  <c r="P1642" i="2"/>
  <c r="Q1642" i="2"/>
  <c r="R1642" i="2"/>
  <c r="S1642" i="2" s="1"/>
  <c r="T1642" i="2"/>
  <c r="P1643" i="2"/>
  <c r="Q1643" i="2"/>
  <c r="R1643" i="2"/>
  <c r="T1643" i="2"/>
  <c r="P1644" i="2"/>
  <c r="Q1644" i="2"/>
  <c r="R1644" i="2"/>
  <c r="S1644" i="2" s="1"/>
  <c r="T1644" i="2"/>
  <c r="P1645" i="2"/>
  <c r="Q1645" i="2"/>
  <c r="R1645" i="2"/>
  <c r="T1645" i="2"/>
  <c r="P1646" i="2"/>
  <c r="Q1646" i="2"/>
  <c r="R1646" i="2"/>
  <c r="S1646" i="2" s="1"/>
  <c r="T1646" i="2"/>
  <c r="P1647" i="2"/>
  <c r="Q1647" i="2"/>
  <c r="R1647" i="2"/>
  <c r="T1647" i="2"/>
  <c r="P1648" i="2"/>
  <c r="Q1648" i="2"/>
  <c r="R1648" i="2"/>
  <c r="S1648" i="2" s="1"/>
  <c r="T1648" i="2"/>
  <c r="P1649" i="2"/>
  <c r="Q1649" i="2"/>
  <c r="R1649" i="2"/>
  <c r="T1649" i="2"/>
  <c r="P1650" i="2"/>
  <c r="Q1650" i="2"/>
  <c r="R1650" i="2"/>
  <c r="S1650" i="2" s="1"/>
  <c r="T1650" i="2"/>
  <c r="P1651" i="2"/>
  <c r="Q1651" i="2"/>
  <c r="R1651" i="2"/>
  <c r="T1651" i="2"/>
  <c r="P1652" i="2"/>
  <c r="Q1652" i="2"/>
  <c r="R1652" i="2"/>
  <c r="S1652" i="2" s="1"/>
  <c r="T1652" i="2"/>
  <c r="P1653" i="2"/>
  <c r="Q1653" i="2"/>
  <c r="R1653" i="2"/>
  <c r="T1653" i="2"/>
  <c r="P1654" i="2"/>
  <c r="Q1654" i="2"/>
  <c r="R1654" i="2"/>
  <c r="S1654" i="2" s="1"/>
  <c r="T1654" i="2"/>
  <c r="P1655" i="2"/>
  <c r="Q1655" i="2"/>
  <c r="R1655" i="2"/>
  <c r="T1655" i="2"/>
  <c r="P1656" i="2"/>
  <c r="Q1656" i="2"/>
  <c r="R1656" i="2"/>
  <c r="S1656" i="2" s="1"/>
  <c r="T1656" i="2"/>
  <c r="P1657" i="2"/>
  <c r="Q1657" i="2"/>
  <c r="R1657" i="2"/>
  <c r="T1657" i="2"/>
  <c r="P1658" i="2"/>
  <c r="Q1658" i="2"/>
  <c r="R1658" i="2"/>
  <c r="S1658" i="2" s="1"/>
  <c r="T1658" i="2"/>
  <c r="P1659" i="2"/>
  <c r="Q1659" i="2"/>
  <c r="R1659" i="2"/>
  <c r="T1659" i="2"/>
  <c r="P1660" i="2"/>
  <c r="Q1660" i="2"/>
  <c r="R1660" i="2"/>
  <c r="S1660" i="2" s="1"/>
  <c r="T1660" i="2"/>
  <c r="P1661" i="2"/>
  <c r="Q1661" i="2"/>
  <c r="R1661" i="2"/>
  <c r="T1661" i="2"/>
  <c r="P1662" i="2"/>
  <c r="Q1662" i="2"/>
  <c r="R1662" i="2"/>
  <c r="S1662" i="2" s="1"/>
  <c r="T1662" i="2"/>
  <c r="P1663" i="2"/>
  <c r="Q1663" i="2"/>
  <c r="R1663" i="2"/>
  <c r="T1663" i="2"/>
  <c r="P1664" i="2"/>
  <c r="Q1664" i="2"/>
  <c r="R1664" i="2"/>
  <c r="S1664" i="2" s="1"/>
  <c r="T1664" i="2"/>
  <c r="P1665" i="2"/>
  <c r="Q1665" i="2"/>
  <c r="R1665" i="2"/>
  <c r="T1665" i="2"/>
  <c r="P1666" i="2"/>
  <c r="Q1666" i="2"/>
  <c r="R1666" i="2"/>
  <c r="S1666" i="2" s="1"/>
  <c r="T1666" i="2"/>
  <c r="P1667" i="2"/>
  <c r="Q1667" i="2"/>
  <c r="R1667" i="2"/>
  <c r="T1667" i="2"/>
  <c r="P1668" i="2"/>
  <c r="Q1668" i="2"/>
  <c r="R1668" i="2"/>
  <c r="S1668" i="2" s="1"/>
  <c r="T1668" i="2"/>
  <c r="P1669" i="2"/>
  <c r="Q1669" i="2"/>
  <c r="R1669" i="2"/>
  <c r="T1669" i="2"/>
  <c r="P1670" i="2"/>
  <c r="Q1670" i="2"/>
  <c r="R1670" i="2"/>
  <c r="S1670" i="2" s="1"/>
  <c r="T1670" i="2"/>
  <c r="P1671" i="2"/>
  <c r="Q1671" i="2"/>
  <c r="R1671" i="2"/>
  <c r="T1671" i="2"/>
  <c r="P1672" i="2"/>
  <c r="Q1672" i="2"/>
  <c r="R1672" i="2"/>
  <c r="S1672" i="2" s="1"/>
  <c r="T1672" i="2"/>
  <c r="P1673" i="2"/>
  <c r="Q1673" i="2"/>
  <c r="R1673" i="2"/>
  <c r="T1673" i="2"/>
  <c r="P1674" i="2"/>
  <c r="Q1674" i="2"/>
  <c r="R1674" i="2"/>
  <c r="S1674" i="2" s="1"/>
  <c r="T1674" i="2"/>
  <c r="P1675" i="2"/>
  <c r="Q1675" i="2"/>
  <c r="R1675" i="2"/>
  <c r="T1675" i="2"/>
  <c r="P1676" i="2"/>
  <c r="Q1676" i="2"/>
  <c r="R1676" i="2"/>
  <c r="S1676" i="2" s="1"/>
  <c r="T1676" i="2"/>
  <c r="P1677" i="2"/>
  <c r="Q1677" i="2"/>
  <c r="R1677" i="2"/>
  <c r="T1677" i="2"/>
  <c r="P1678" i="2"/>
  <c r="Q1678" i="2"/>
  <c r="R1678" i="2"/>
  <c r="S1678" i="2" s="1"/>
  <c r="T1678" i="2"/>
  <c r="P1679" i="2"/>
  <c r="Q1679" i="2"/>
  <c r="R1679" i="2"/>
  <c r="T1679" i="2"/>
  <c r="P1680" i="2"/>
  <c r="Q1680" i="2"/>
  <c r="R1680" i="2"/>
  <c r="S1680" i="2" s="1"/>
  <c r="T1680" i="2"/>
  <c r="P1681" i="2"/>
  <c r="Q1681" i="2"/>
  <c r="R1681" i="2"/>
  <c r="T1681" i="2"/>
  <c r="P1682" i="2"/>
  <c r="Q1682" i="2"/>
  <c r="R1682" i="2"/>
  <c r="S1682" i="2" s="1"/>
  <c r="T1682" i="2"/>
  <c r="P1683" i="2"/>
  <c r="Q1683" i="2"/>
  <c r="R1683" i="2"/>
  <c r="T1683" i="2"/>
  <c r="P1684" i="2"/>
  <c r="Q1684" i="2"/>
  <c r="R1684" i="2"/>
  <c r="S1684" i="2" s="1"/>
  <c r="T1684" i="2"/>
  <c r="P1685" i="2"/>
  <c r="Q1685" i="2"/>
  <c r="R1685" i="2"/>
  <c r="T1685" i="2"/>
  <c r="P1686" i="2"/>
  <c r="Q1686" i="2"/>
  <c r="R1686" i="2"/>
  <c r="S1686" i="2" s="1"/>
  <c r="T1686" i="2"/>
  <c r="P1687" i="2"/>
  <c r="Q1687" i="2"/>
  <c r="R1687" i="2"/>
  <c r="T1687" i="2"/>
  <c r="P1688" i="2"/>
  <c r="Q1688" i="2"/>
  <c r="R1688" i="2"/>
  <c r="S1688" i="2" s="1"/>
  <c r="T1688" i="2"/>
  <c r="P1689" i="2"/>
  <c r="Q1689" i="2"/>
  <c r="R1689" i="2"/>
  <c r="T1689" i="2"/>
  <c r="P1690" i="2"/>
  <c r="Q1690" i="2"/>
  <c r="R1690" i="2"/>
  <c r="S1690" i="2" s="1"/>
  <c r="T1690" i="2"/>
  <c r="P1691" i="2"/>
  <c r="Q1691" i="2"/>
  <c r="R1691" i="2"/>
  <c r="T1691" i="2"/>
  <c r="P1692" i="2"/>
  <c r="Q1692" i="2"/>
  <c r="R1692" i="2"/>
  <c r="S1692" i="2" s="1"/>
  <c r="T1692" i="2"/>
  <c r="P1693" i="2"/>
  <c r="Q1693" i="2"/>
  <c r="R1693" i="2"/>
  <c r="T1693" i="2"/>
  <c r="P1694" i="2"/>
  <c r="Q1694" i="2"/>
  <c r="R1694" i="2"/>
  <c r="S1694" i="2" s="1"/>
  <c r="T1694" i="2"/>
  <c r="P1695" i="2"/>
  <c r="Q1695" i="2"/>
  <c r="R1695" i="2"/>
  <c r="T1695" i="2"/>
  <c r="P1696" i="2"/>
  <c r="Q1696" i="2"/>
  <c r="R1696" i="2"/>
  <c r="S1696" i="2" s="1"/>
  <c r="T1696" i="2"/>
  <c r="P1697" i="2"/>
  <c r="Q1697" i="2"/>
  <c r="R1697" i="2"/>
  <c r="T1697" i="2"/>
  <c r="P1698" i="2"/>
  <c r="Q1698" i="2"/>
  <c r="R1698" i="2"/>
  <c r="T1698" i="2"/>
  <c r="P1699" i="2"/>
  <c r="Q1699" i="2"/>
  <c r="R1699" i="2"/>
  <c r="T1699" i="2"/>
  <c r="P1700" i="2"/>
  <c r="Q1700" i="2"/>
  <c r="R1700" i="2"/>
  <c r="T1700" i="2"/>
  <c r="P1701" i="2"/>
  <c r="Q1701" i="2"/>
  <c r="R1701" i="2"/>
  <c r="T1701" i="2"/>
  <c r="P1702" i="2"/>
  <c r="Q1702" i="2"/>
  <c r="R1702" i="2"/>
  <c r="T1702" i="2"/>
  <c r="P1703" i="2"/>
  <c r="Q1703" i="2"/>
  <c r="R1703" i="2"/>
  <c r="T1703" i="2"/>
  <c r="P1704" i="2"/>
  <c r="Q1704" i="2"/>
  <c r="R1704" i="2"/>
  <c r="T1704" i="2"/>
  <c r="P1705" i="2"/>
  <c r="Q1705" i="2"/>
  <c r="R1705" i="2"/>
  <c r="T1705" i="2"/>
  <c r="P1706" i="2"/>
  <c r="Q1706" i="2"/>
  <c r="R1706" i="2"/>
  <c r="T1706" i="2"/>
  <c r="P1707" i="2"/>
  <c r="Q1707" i="2"/>
  <c r="R1707" i="2"/>
  <c r="T1707" i="2"/>
  <c r="P1708" i="2"/>
  <c r="Q1708" i="2"/>
  <c r="R1708" i="2"/>
  <c r="T1708" i="2"/>
  <c r="P1709" i="2"/>
  <c r="Q1709" i="2"/>
  <c r="R1709" i="2"/>
  <c r="T1709" i="2"/>
  <c r="P1710" i="2"/>
  <c r="Q1710" i="2"/>
  <c r="R1710" i="2"/>
  <c r="T1710" i="2"/>
  <c r="P1711" i="2"/>
  <c r="Q1711" i="2"/>
  <c r="R1711" i="2"/>
  <c r="T1711" i="2"/>
  <c r="P1712" i="2"/>
  <c r="Q1712" i="2"/>
  <c r="R1712" i="2"/>
  <c r="T1712" i="2"/>
  <c r="P1713" i="2"/>
  <c r="Q1713" i="2"/>
  <c r="R1713" i="2"/>
  <c r="T1713" i="2"/>
  <c r="P1714" i="2"/>
  <c r="Q1714" i="2"/>
  <c r="R1714" i="2"/>
  <c r="T1714" i="2"/>
  <c r="P1715" i="2"/>
  <c r="Q1715" i="2"/>
  <c r="R1715" i="2"/>
  <c r="T1715" i="2"/>
  <c r="P1716" i="2"/>
  <c r="Q1716" i="2"/>
  <c r="R1716" i="2"/>
  <c r="T1716" i="2"/>
  <c r="P1717" i="2"/>
  <c r="Q1717" i="2"/>
  <c r="R1717" i="2"/>
  <c r="T1717" i="2"/>
  <c r="P1718" i="2"/>
  <c r="Q1718" i="2"/>
  <c r="R1718" i="2"/>
  <c r="T1718" i="2"/>
  <c r="P1719" i="2"/>
  <c r="Q1719" i="2"/>
  <c r="R1719" i="2"/>
  <c r="T1719" i="2"/>
  <c r="P1720" i="2"/>
  <c r="Q1720" i="2"/>
  <c r="R1720" i="2"/>
  <c r="T1720" i="2"/>
  <c r="P1721" i="2"/>
  <c r="Q1721" i="2"/>
  <c r="R1721" i="2"/>
  <c r="T1721" i="2"/>
  <c r="P1722" i="2"/>
  <c r="Q1722" i="2"/>
  <c r="R1722" i="2"/>
  <c r="T1722" i="2"/>
  <c r="P1723" i="2"/>
  <c r="Q1723" i="2"/>
  <c r="R1723" i="2"/>
  <c r="T1723" i="2"/>
  <c r="P1724" i="2"/>
  <c r="Q1724" i="2"/>
  <c r="R1724" i="2"/>
  <c r="T1724" i="2"/>
  <c r="P1725" i="2"/>
  <c r="Q1725" i="2"/>
  <c r="R1725" i="2"/>
  <c r="T1725" i="2"/>
  <c r="P1726" i="2"/>
  <c r="Q1726" i="2"/>
  <c r="R1726" i="2"/>
  <c r="T1726" i="2"/>
  <c r="P1727" i="2"/>
  <c r="Q1727" i="2"/>
  <c r="R1727" i="2"/>
  <c r="T1727" i="2"/>
  <c r="P1728" i="2"/>
  <c r="Q1728" i="2"/>
  <c r="R1728" i="2"/>
  <c r="T1728" i="2"/>
  <c r="P1729" i="2"/>
  <c r="Q1729" i="2"/>
  <c r="R1729" i="2"/>
  <c r="T1729" i="2"/>
  <c r="P1730" i="2"/>
  <c r="Q1730" i="2"/>
  <c r="R1730" i="2"/>
  <c r="T1730" i="2"/>
  <c r="P1731" i="2"/>
  <c r="Q1731" i="2"/>
  <c r="R1731" i="2"/>
  <c r="T1731" i="2"/>
  <c r="P1732" i="2"/>
  <c r="Q1732" i="2"/>
  <c r="R1732" i="2"/>
  <c r="T1732" i="2"/>
  <c r="P1733" i="2"/>
  <c r="Q1733" i="2"/>
  <c r="R1733" i="2"/>
  <c r="T1733" i="2"/>
  <c r="P1734" i="2"/>
  <c r="Q1734" i="2"/>
  <c r="R1734" i="2"/>
  <c r="T1734" i="2"/>
  <c r="P1735" i="2"/>
  <c r="Q1735" i="2"/>
  <c r="R1735" i="2"/>
  <c r="T1735" i="2"/>
  <c r="P1736" i="2"/>
  <c r="Q1736" i="2"/>
  <c r="R1736" i="2"/>
  <c r="T1736" i="2"/>
  <c r="P1737" i="2"/>
  <c r="Q1737" i="2"/>
  <c r="R1737" i="2"/>
  <c r="T1737" i="2"/>
  <c r="P1738" i="2"/>
  <c r="Q1738" i="2"/>
  <c r="R1738" i="2"/>
  <c r="T1738" i="2"/>
  <c r="P1739" i="2"/>
  <c r="Q1739" i="2"/>
  <c r="R1739" i="2"/>
  <c r="T1739" i="2"/>
  <c r="P1740" i="2"/>
  <c r="Q1740" i="2"/>
  <c r="R1740" i="2"/>
  <c r="T1740" i="2"/>
  <c r="P1741" i="2"/>
  <c r="Q1741" i="2"/>
  <c r="R1741" i="2"/>
  <c r="T1741" i="2"/>
  <c r="P1742" i="2"/>
  <c r="Q1742" i="2"/>
  <c r="R1742" i="2"/>
  <c r="T1742" i="2"/>
  <c r="P1743" i="2"/>
  <c r="Q1743" i="2"/>
  <c r="R1743" i="2"/>
  <c r="T1743" i="2"/>
  <c r="P1744" i="2"/>
  <c r="Q1744" i="2"/>
  <c r="R1744" i="2"/>
  <c r="T1744" i="2"/>
  <c r="P1745" i="2"/>
  <c r="Q1745" i="2"/>
  <c r="R1745" i="2"/>
  <c r="T1745" i="2"/>
  <c r="P1746" i="2"/>
  <c r="Q1746" i="2"/>
  <c r="R1746" i="2"/>
  <c r="T1746" i="2"/>
  <c r="P1747" i="2"/>
  <c r="Q1747" i="2"/>
  <c r="R1747" i="2"/>
  <c r="T1747" i="2"/>
  <c r="P1748" i="2"/>
  <c r="Q1748" i="2"/>
  <c r="R1748" i="2"/>
  <c r="T1748" i="2"/>
  <c r="P1749" i="2"/>
  <c r="Q1749" i="2"/>
  <c r="R1749" i="2"/>
  <c r="T1749" i="2"/>
  <c r="P1750" i="2"/>
  <c r="Q1750" i="2"/>
  <c r="R1750" i="2"/>
  <c r="T1750" i="2"/>
  <c r="P1751" i="2"/>
  <c r="Q1751" i="2"/>
  <c r="R1751" i="2"/>
  <c r="T1751" i="2"/>
  <c r="P1752" i="2"/>
  <c r="Q1752" i="2"/>
  <c r="R1752" i="2"/>
  <c r="T1752" i="2"/>
  <c r="P1753" i="2"/>
  <c r="Q1753" i="2"/>
  <c r="R1753" i="2"/>
  <c r="T1753" i="2"/>
  <c r="P1754" i="2"/>
  <c r="Q1754" i="2"/>
  <c r="R1754" i="2"/>
  <c r="T1754" i="2"/>
  <c r="P1755" i="2"/>
  <c r="Q1755" i="2"/>
  <c r="R1755" i="2"/>
  <c r="T1755" i="2"/>
  <c r="P1756" i="2"/>
  <c r="Q1756" i="2"/>
  <c r="R1756" i="2"/>
  <c r="T1756" i="2"/>
  <c r="P1757" i="2"/>
  <c r="Q1757" i="2"/>
  <c r="R1757" i="2"/>
  <c r="T1757" i="2"/>
  <c r="P1758" i="2"/>
  <c r="Q1758" i="2"/>
  <c r="R1758" i="2"/>
  <c r="T1758" i="2"/>
  <c r="P1759" i="2"/>
  <c r="Q1759" i="2"/>
  <c r="R1759" i="2"/>
  <c r="T1759" i="2"/>
  <c r="P1760" i="2"/>
  <c r="Q1760" i="2"/>
  <c r="R1760" i="2"/>
  <c r="T1760" i="2"/>
  <c r="P1761" i="2"/>
  <c r="Q1761" i="2"/>
  <c r="R1761" i="2"/>
  <c r="T1761" i="2"/>
  <c r="P1762" i="2"/>
  <c r="Q1762" i="2"/>
  <c r="R1762" i="2"/>
  <c r="T1762" i="2"/>
  <c r="P1763" i="2"/>
  <c r="Q1763" i="2"/>
  <c r="R1763" i="2"/>
  <c r="T1763" i="2"/>
  <c r="P1764" i="2"/>
  <c r="Q1764" i="2"/>
  <c r="R1764" i="2"/>
  <c r="T1764" i="2"/>
  <c r="P1765" i="2"/>
  <c r="Q1765" i="2"/>
  <c r="R1765" i="2"/>
  <c r="T1765" i="2"/>
  <c r="P1766" i="2"/>
  <c r="Q1766" i="2"/>
  <c r="R1766" i="2"/>
  <c r="T1766" i="2"/>
  <c r="P1767" i="2"/>
  <c r="Q1767" i="2"/>
  <c r="R1767" i="2"/>
  <c r="T1767" i="2"/>
  <c r="P1768" i="2"/>
  <c r="Q1768" i="2"/>
  <c r="R1768" i="2"/>
  <c r="S1768" i="2" s="1"/>
  <c r="T1768" i="2"/>
  <c r="P1769" i="2"/>
  <c r="Q1769" i="2"/>
  <c r="R1769" i="2"/>
  <c r="U1769" i="2" s="1"/>
  <c r="T1769" i="2"/>
  <c r="P1770" i="2"/>
  <c r="Q1770" i="2"/>
  <c r="R1770" i="2" s="1"/>
  <c r="T1770" i="2"/>
  <c r="P1771" i="2"/>
  <c r="Q1771" i="2"/>
  <c r="R1771" i="2"/>
  <c r="U1771" i="2" s="1"/>
  <c r="S1771" i="2"/>
  <c r="T1771" i="2"/>
  <c r="P1772" i="2"/>
  <c r="Q1772" i="2"/>
  <c r="R1772" i="2"/>
  <c r="S1772" i="2" s="1"/>
  <c r="T1772" i="2"/>
  <c r="P1773" i="2"/>
  <c r="Q1773" i="2"/>
  <c r="R1773" i="2"/>
  <c r="U1773" i="2" s="1"/>
  <c r="T1773" i="2"/>
  <c r="P1774" i="2"/>
  <c r="Q1774" i="2"/>
  <c r="R1774" i="2" s="1"/>
  <c r="T1774" i="2"/>
  <c r="P1775" i="2"/>
  <c r="Q1775" i="2"/>
  <c r="R1775" i="2"/>
  <c r="U1775" i="2" s="1"/>
  <c r="S1775" i="2"/>
  <c r="T1775" i="2"/>
  <c r="P1776" i="2"/>
  <c r="Q1776" i="2"/>
  <c r="R1776" i="2"/>
  <c r="S1776" i="2" s="1"/>
  <c r="T1776" i="2"/>
  <c r="P1777" i="2"/>
  <c r="Q1777" i="2"/>
  <c r="R1777" i="2"/>
  <c r="U1777" i="2" s="1"/>
  <c r="T1777" i="2"/>
  <c r="P1778" i="2"/>
  <c r="Q1778" i="2"/>
  <c r="R1778" i="2" s="1"/>
  <c r="T1778" i="2"/>
  <c r="P1779" i="2"/>
  <c r="Q1779" i="2"/>
  <c r="R1779" i="2"/>
  <c r="U1779" i="2" s="1"/>
  <c r="S1779" i="2"/>
  <c r="T1779" i="2"/>
  <c r="P1780" i="2"/>
  <c r="Q1780" i="2"/>
  <c r="R1780" i="2"/>
  <c r="S1780" i="2" s="1"/>
  <c r="T1780" i="2"/>
  <c r="P1781" i="2"/>
  <c r="Q1781" i="2"/>
  <c r="R1781" i="2"/>
  <c r="U1781" i="2" s="1"/>
  <c r="T1781" i="2"/>
  <c r="P1782" i="2"/>
  <c r="Q1782" i="2"/>
  <c r="R1782" i="2" s="1"/>
  <c r="T1782" i="2"/>
  <c r="P1783" i="2"/>
  <c r="Q1783" i="2"/>
  <c r="R1783" i="2"/>
  <c r="U1783" i="2" s="1"/>
  <c r="S1783" i="2"/>
  <c r="T1783" i="2"/>
  <c r="P1784" i="2"/>
  <c r="Q1784" i="2"/>
  <c r="R1784" i="2"/>
  <c r="S1784" i="2" s="1"/>
  <c r="T1784" i="2"/>
  <c r="P1785" i="2"/>
  <c r="Q1785" i="2"/>
  <c r="R1785" i="2"/>
  <c r="S1785" i="2" s="1"/>
  <c r="T1785" i="2"/>
  <c r="U1785" i="2"/>
  <c r="P1786" i="2"/>
  <c r="Q1786" i="2"/>
  <c r="R1786" i="2"/>
  <c r="U1786" i="2" s="1"/>
  <c r="S1786" i="2"/>
  <c r="T1786" i="2"/>
  <c r="P1787" i="2"/>
  <c r="Q1787" i="2"/>
  <c r="R1787" i="2" s="1"/>
  <c r="T1787" i="2"/>
  <c r="P1788" i="2"/>
  <c r="Q1788" i="2"/>
  <c r="R1788" i="2"/>
  <c r="U1788" i="2" s="1"/>
  <c r="S1788" i="2"/>
  <c r="T1788" i="2"/>
  <c r="P1789" i="2"/>
  <c r="Q1789" i="2"/>
  <c r="R1789" i="2" s="1"/>
  <c r="T1789" i="2"/>
  <c r="P1790" i="2"/>
  <c r="Q1790" i="2"/>
  <c r="R1790" i="2"/>
  <c r="U1790" i="2" s="1"/>
  <c r="S1790" i="2"/>
  <c r="T1790" i="2"/>
  <c r="P1791" i="2"/>
  <c r="Q1791" i="2"/>
  <c r="R1791" i="2" s="1"/>
  <c r="T1791" i="2"/>
  <c r="P1792" i="2"/>
  <c r="Q1792" i="2"/>
  <c r="R1792" i="2"/>
  <c r="U1792" i="2" s="1"/>
  <c r="S1792" i="2"/>
  <c r="T1792" i="2"/>
  <c r="P1793" i="2"/>
  <c r="Q1793" i="2"/>
  <c r="R1793" i="2" s="1"/>
  <c r="T1793" i="2"/>
  <c r="P1794" i="2"/>
  <c r="Q1794" i="2"/>
  <c r="R1794" i="2"/>
  <c r="U1794" i="2" s="1"/>
  <c r="S1794" i="2"/>
  <c r="T1794" i="2"/>
  <c r="P1795" i="2"/>
  <c r="Q1795" i="2"/>
  <c r="R1795" i="2" s="1"/>
  <c r="T1795" i="2"/>
  <c r="P1796" i="2"/>
  <c r="Q1796" i="2"/>
  <c r="R1796" i="2"/>
  <c r="U1796" i="2" s="1"/>
  <c r="S1796" i="2"/>
  <c r="T1796" i="2"/>
  <c r="P1797" i="2"/>
  <c r="Q1797" i="2"/>
  <c r="R1797" i="2" s="1"/>
  <c r="T1797" i="2"/>
  <c r="P1798" i="2"/>
  <c r="Q1798" i="2"/>
  <c r="R1798" i="2"/>
  <c r="U1798" i="2" s="1"/>
  <c r="S1798" i="2"/>
  <c r="T1798" i="2"/>
  <c r="P1799" i="2"/>
  <c r="Q1799" i="2"/>
  <c r="R1799" i="2" s="1"/>
  <c r="T1799" i="2"/>
  <c r="P1800" i="2"/>
  <c r="Q1800" i="2"/>
  <c r="R1800" i="2"/>
  <c r="U1800" i="2" s="1"/>
  <c r="S1800" i="2"/>
  <c r="T1800" i="2"/>
  <c r="P1801" i="2"/>
  <c r="Q1801" i="2"/>
  <c r="R1801" i="2" s="1"/>
  <c r="T1801" i="2"/>
  <c r="P1802" i="2"/>
  <c r="Q1802" i="2"/>
  <c r="R1802" i="2"/>
  <c r="U1802" i="2" s="1"/>
  <c r="S1802" i="2"/>
  <c r="T1802" i="2"/>
  <c r="P1803" i="2"/>
  <c r="Q1803" i="2"/>
  <c r="R1803" i="2" s="1"/>
  <c r="T1803" i="2"/>
  <c r="P1804" i="2"/>
  <c r="Q1804" i="2"/>
  <c r="R1804" i="2"/>
  <c r="U1804" i="2" s="1"/>
  <c r="S1804" i="2"/>
  <c r="T1804" i="2"/>
  <c r="P1805" i="2"/>
  <c r="Q1805" i="2"/>
  <c r="R1805" i="2" s="1"/>
  <c r="T1805" i="2"/>
  <c r="P1806" i="2"/>
  <c r="Q1806" i="2"/>
  <c r="R1806" i="2"/>
  <c r="U1806" i="2" s="1"/>
  <c r="S1806" i="2"/>
  <c r="T1806" i="2"/>
  <c r="P1807" i="2"/>
  <c r="Q1807" i="2"/>
  <c r="R1807" i="2" s="1"/>
  <c r="T1807" i="2"/>
  <c r="P1808" i="2"/>
  <c r="Q1808" i="2"/>
  <c r="R1808" i="2"/>
  <c r="U1808" i="2" s="1"/>
  <c r="S1808" i="2"/>
  <c r="T1808" i="2"/>
  <c r="P1809" i="2"/>
  <c r="Q1809" i="2"/>
  <c r="R1809" i="2" s="1"/>
  <c r="T1809" i="2"/>
  <c r="P1810" i="2"/>
  <c r="Q1810" i="2"/>
  <c r="R1810" i="2"/>
  <c r="U1810" i="2" s="1"/>
  <c r="S1810" i="2"/>
  <c r="T1810" i="2"/>
  <c r="P1811" i="2"/>
  <c r="Q1811" i="2"/>
  <c r="R1811" i="2" s="1"/>
  <c r="T1811" i="2"/>
  <c r="P1812" i="2"/>
  <c r="Q1812" i="2"/>
  <c r="R1812" i="2"/>
  <c r="U1812" i="2" s="1"/>
  <c r="S1812" i="2"/>
  <c r="T1812" i="2"/>
  <c r="P1813" i="2"/>
  <c r="Q1813" i="2"/>
  <c r="R1813" i="2" s="1"/>
  <c r="T1813" i="2"/>
  <c r="P1814" i="2"/>
  <c r="Q1814" i="2"/>
  <c r="R1814" i="2"/>
  <c r="U1814" i="2" s="1"/>
  <c r="S1814" i="2"/>
  <c r="T1814" i="2"/>
  <c r="P1815" i="2"/>
  <c r="Q1815" i="2"/>
  <c r="R1815" i="2" s="1"/>
  <c r="T1815" i="2"/>
  <c r="P1816" i="2"/>
  <c r="Q1816" i="2"/>
  <c r="R1816" i="2"/>
  <c r="U1816" i="2" s="1"/>
  <c r="S1816" i="2"/>
  <c r="T1816" i="2"/>
  <c r="P1817" i="2"/>
  <c r="Q1817" i="2"/>
  <c r="R1817" i="2" s="1"/>
  <c r="T1817" i="2"/>
  <c r="P1818" i="2"/>
  <c r="Q1818" i="2"/>
  <c r="R1818" i="2"/>
  <c r="U1818" i="2" s="1"/>
  <c r="S1818" i="2"/>
  <c r="T1818" i="2"/>
  <c r="P1819" i="2"/>
  <c r="Q1819" i="2"/>
  <c r="R1819" i="2" s="1"/>
  <c r="T1819" i="2"/>
  <c r="P1820" i="2"/>
  <c r="Q1820" i="2"/>
  <c r="R1820" i="2"/>
  <c r="U1820" i="2" s="1"/>
  <c r="S1820" i="2"/>
  <c r="T1820" i="2"/>
  <c r="P1821" i="2"/>
  <c r="Q1821" i="2"/>
  <c r="R1821" i="2" s="1"/>
  <c r="T1821" i="2"/>
  <c r="P1822" i="2"/>
  <c r="Q1822" i="2"/>
  <c r="R1822" i="2"/>
  <c r="U1822" i="2" s="1"/>
  <c r="S1822" i="2"/>
  <c r="T1822" i="2"/>
  <c r="P1823" i="2"/>
  <c r="Q1823" i="2"/>
  <c r="R1823" i="2" s="1"/>
  <c r="T1823" i="2"/>
  <c r="P1824" i="2"/>
  <c r="Q1824" i="2"/>
  <c r="R1824" i="2"/>
  <c r="U1824" i="2" s="1"/>
  <c r="S1824" i="2"/>
  <c r="T1824" i="2"/>
  <c r="P1825" i="2"/>
  <c r="Q1825" i="2"/>
  <c r="R1825" i="2" s="1"/>
  <c r="T1825" i="2"/>
  <c r="P1826" i="2"/>
  <c r="Q1826" i="2"/>
  <c r="R1826" i="2"/>
  <c r="U1826" i="2" s="1"/>
  <c r="S1826" i="2"/>
  <c r="T1826" i="2"/>
  <c r="P1827" i="2"/>
  <c r="Q1827" i="2"/>
  <c r="R1827" i="2" s="1"/>
  <c r="T1827" i="2"/>
  <c r="P1828" i="2"/>
  <c r="Q1828" i="2"/>
  <c r="R1828" i="2"/>
  <c r="U1828" i="2" s="1"/>
  <c r="S1828" i="2"/>
  <c r="T1828" i="2"/>
  <c r="P1829" i="2"/>
  <c r="Q1829" i="2"/>
  <c r="R1829" i="2" s="1"/>
  <c r="T1829" i="2"/>
  <c r="P1830" i="2"/>
  <c r="Q1830" i="2"/>
  <c r="R1830" i="2"/>
  <c r="U1830" i="2" s="1"/>
  <c r="S1830" i="2"/>
  <c r="T1830" i="2"/>
  <c r="P1831" i="2"/>
  <c r="Q1831" i="2"/>
  <c r="R1831" i="2" s="1"/>
  <c r="T1831" i="2"/>
  <c r="P1832" i="2"/>
  <c r="Q1832" i="2"/>
  <c r="R1832" i="2"/>
  <c r="U1832" i="2" s="1"/>
  <c r="S1832" i="2"/>
  <c r="T1832" i="2"/>
  <c r="P1833" i="2"/>
  <c r="Q1833" i="2"/>
  <c r="R1833" i="2" s="1"/>
  <c r="T1833" i="2"/>
  <c r="P1834" i="2"/>
  <c r="Q1834" i="2"/>
  <c r="R1834" i="2"/>
  <c r="U1834" i="2" s="1"/>
  <c r="S1834" i="2"/>
  <c r="T1834" i="2"/>
  <c r="P1835" i="2"/>
  <c r="Q1835" i="2"/>
  <c r="R1835" i="2" s="1"/>
  <c r="T1835" i="2"/>
  <c r="P1836" i="2"/>
  <c r="Q1836" i="2"/>
  <c r="R1836" i="2"/>
  <c r="U1836" i="2" s="1"/>
  <c r="S1836" i="2"/>
  <c r="T1836" i="2"/>
  <c r="P1837" i="2"/>
  <c r="Q1837" i="2"/>
  <c r="R1837" i="2" s="1"/>
  <c r="T1837" i="2"/>
  <c r="P1838" i="2"/>
  <c r="Q1838" i="2"/>
  <c r="R1838" i="2"/>
  <c r="U1838" i="2" s="1"/>
  <c r="S1838" i="2"/>
  <c r="T1838" i="2"/>
  <c r="P1839" i="2"/>
  <c r="Q1839" i="2"/>
  <c r="R1839" i="2" s="1"/>
  <c r="T1839" i="2"/>
  <c r="P1840" i="2"/>
  <c r="Q1840" i="2"/>
  <c r="R1840" i="2"/>
  <c r="U1840" i="2" s="1"/>
  <c r="S1840" i="2"/>
  <c r="T1840" i="2"/>
  <c r="P1841" i="2"/>
  <c r="Q1841" i="2"/>
  <c r="R1841" i="2" s="1"/>
  <c r="T1841" i="2"/>
  <c r="P1842" i="2"/>
  <c r="Q1842" i="2"/>
  <c r="R1842" i="2"/>
  <c r="U1842" i="2" s="1"/>
  <c r="S1842" i="2"/>
  <c r="T1842" i="2"/>
  <c r="P1843" i="2"/>
  <c r="Q1843" i="2"/>
  <c r="R1843" i="2" s="1"/>
  <c r="T1843" i="2"/>
  <c r="P1844" i="2"/>
  <c r="Q1844" i="2"/>
  <c r="R1844" i="2"/>
  <c r="U1844" i="2" s="1"/>
  <c r="S1844" i="2"/>
  <c r="T1844" i="2"/>
  <c r="P1845" i="2"/>
  <c r="Q1845" i="2"/>
  <c r="R1845" i="2" s="1"/>
  <c r="T1845" i="2"/>
  <c r="P1846" i="2"/>
  <c r="Q1846" i="2"/>
  <c r="R1846" i="2"/>
  <c r="U1846" i="2" s="1"/>
  <c r="S1846" i="2"/>
  <c r="T1846" i="2"/>
  <c r="P1847" i="2"/>
  <c r="Q1847" i="2"/>
  <c r="R1847" i="2" s="1"/>
  <c r="T1847" i="2"/>
  <c r="P1848" i="2"/>
  <c r="Q1848" i="2"/>
  <c r="R1848" i="2"/>
  <c r="U1848" i="2" s="1"/>
  <c r="S1848" i="2"/>
  <c r="T1848" i="2"/>
  <c r="P1849" i="2"/>
  <c r="Q1849" i="2"/>
  <c r="R1849" i="2" s="1"/>
  <c r="T1849" i="2"/>
  <c r="P1850" i="2"/>
  <c r="Q1850" i="2"/>
  <c r="R1850" i="2"/>
  <c r="U1850" i="2" s="1"/>
  <c r="S1850" i="2"/>
  <c r="T1850" i="2"/>
  <c r="P1851" i="2"/>
  <c r="Q1851" i="2"/>
  <c r="R1851" i="2" s="1"/>
  <c r="T1851" i="2"/>
  <c r="P1852" i="2"/>
  <c r="Q1852" i="2"/>
  <c r="R1852" i="2"/>
  <c r="U1852" i="2" s="1"/>
  <c r="S1852" i="2"/>
  <c r="T1852" i="2"/>
  <c r="P1853" i="2"/>
  <c r="Q1853" i="2"/>
  <c r="R1853" i="2" s="1"/>
  <c r="T1853" i="2"/>
  <c r="P1854" i="2"/>
  <c r="Q1854" i="2"/>
  <c r="R1854" i="2"/>
  <c r="U1854" i="2" s="1"/>
  <c r="S1854" i="2"/>
  <c r="T1854" i="2"/>
  <c r="P1855" i="2"/>
  <c r="Q1855" i="2"/>
  <c r="R1855" i="2" s="1"/>
  <c r="T1855" i="2"/>
  <c r="P1856" i="2"/>
  <c r="Q1856" i="2"/>
  <c r="R1856" i="2"/>
  <c r="U1856" i="2" s="1"/>
  <c r="S1856" i="2"/>
  <c r="T1856" i="2"/>
  <c r="P1857" i="2"/>
  <c r="Q1857" i="2"/>
  <c r="R1857" i="2" s="1"/>
  <c r="T1857" i="2"/>
  <c r="P1858" i="2"/>
  <c r="Q1858" i="2"/>
  <c r="R1858" i="2"/>
  <c r="U1858" i="2" s="1"/>
  <c r="S1858" i="2"/>
  <c r="T1858" i="2"/>
  <c r="P1859" i="2"/>
  <c r="Q1859" i="2"/>
  <c r="R1859" i="2" s="1"/>
  <c r="T1859" i="2"/>
  <c r="P1860" i="2"/>
  <c r="Q1860" i="2"/>
  <c r="R1860" i="2"/>
  <c r="U1860" i="2" s="1"/>
  <c r="S1860" i="2"/>
  <c r="T1860" i="2"/>
  <c r="P1861" i="2"/>
  <c r="Q1861" i="2"/>
  <c r="R1861" i="2" s="1"/>
  <c r="T1861" i="2"/>
  <c r="P1862" i="2"/>
  <c r="Q1862" i="2"/>
  <c r="R1862" i="2"/>
  <c r="U1862" i="2" s="1"/>
  <c r="S1862" i="2"/>
  <c r="T1862" i="2"/>
  <c r="P1863" i="2"/>
  <c r="Q1863" i="2"/>
  <c r="R1863" i="2" s="1"/>
  <c r="T1863" i="2"/>
  <c r="P1864" i="2"/>
  <c r="Q1864" i="2"/>
  <c r="R1864" i="2"/>
  <c r="U1864" i="2" s="1"/>
  <c r="S1864" i="2"/>
  <c r="T1864" i="2"/>
  <c r="P1865" i="2"/>
  <c r="Q1865" i="2"/>
  <c r="R1865" i="2" s="1"/>
  <c r="T1865" i="2"/>
  <c r="P1866" i="2"/>
  <c r="Q1866" i="2"/>
  <c r="R1866" i="2"/>
  <c r="U1866" i="2" s="1"/>
  <c r="S1866" i="2"/>
  <c r="T1866" i="2"/>
  <c r="P1867" i="2"/>
  <c r="Q1867" i="2"/>
  <c r="R1867" i="2" s="1"/>
  <c r="T1867" i="2"/>
  <c r="P1868" i="2"/>
  <c r="Q1868" i="2"/>
  <c r="R1868" i="2"/>
  <c r="U1868" i="2" s="1"/>
  <c r="S1868" i="2"/>
  <c r="T1868" i="2"/>
  <c r="P1869" i="2"/>
  <c r="Q1869" i="2"/>
  <c r="R1869" i="2" s="1"/>
  <c r="T1869" i="2"/>
  <c r="P1870" i="2"/>
  <c r="Q1870" i="2"/>
  <c r="R1870" i="2"/>
  <c r="U1870" i="2" s="1"/>
  <c r="S1870" i="2"/>
  <c r="T1870" i="2"/>
  <c r="P1871" i="2"/>
  <c r="Q1871" i="2"/>
  <c r="R1871" i="2" s="1"/>
  <c r="T1871" i="2"/>
  <c r="P1872" i="2"/>
  <c r="Q1872" i="2"/>
  <c r="R1872" i="2"/>
  <c r="U1872" i="2" s="1"/>
  <c r="S1872" i="2"/>
  <c r="T1872" i="2"/>
  <c r="P1873" i="2"/>
  <c r="Q1873" i="2"/>
  <c r="R1873" i="2" s="1"/>
  <c r="T1873" i="2"/>
  <c r="P1874" i="2"/>
  <c r="Q1874" i="2"/>
  <c r="R1874" i="2"/>
  <c r="U1874" i="2" s="1"/>
  <c r="S1874" i="2"/>
  <c r="T1874" i="2"/>
  <c r="P1875" i="2"/>
  <c r="Q1875" i="2"/>
  <c r="R1875" i="2" s="1"/>
  <c r="T1875" i="2"/>
  <c r="P1876" i="2"/>
  <c r="Q1876" i="2"/>
  <c r="R1876" i="2"/>
  <c r="U1876" i="2" s="1"/>
  <c r="S1876" i="2"/>
  <c r="T1876" i="2"/>
  <c r="P1877" i="2"/>
  <c r="Q1877" i="2"/>
  <c r="R1877" i="2" s="1"/>
  <c r="T1877" i="2"/>
  <c r="P1878" i="2"/>
  <c r="Q1878" i="2"/>
  <c r="R1878" i="2"/>
  <c r="U1878" i="2" s="1"/>
  <c r="S1878" i="2"/>
  <c r="T1878" i="2"/>
  <c r="P1879" i="2"/>
  <c r="Q1879" i="2"/>
  <c r="R1879" i="2" s="1"/>
  <c r="T1879" i="2"/>
  <c r="P1880" i="2"/>
  <c r="Q1880" i="2"/>
  <c r="R1880" i="2"/>
  <c r="U1880" i="2" s="1"/>
  <c r="S1880" i="2"/>
  <c r="T1880" i="2"/>
  <c r="P1881" i="2"/>
  <c r="Q1881" i="2"/>
  <c r="R1881" i="2" s="1"/>
  <c r="T1881" i="2"/>
  <c r="P1882" i="2"/>
  <c r="Q1882" i="2"/>
  <c r="R1882" i="2"/>
  <c r="U1882" i="2" s="1"/>
  <c r="S1882" i="2"/>
  <c r="T1882" i="2"/>
  <c r="P1883" i="2"/>
  <c r="Q1883" i="2"/>
  <c r="R1883" i="2" s="1"/>
  <c r="T1883" i="2"/>
  <c r="P1884" i="2"/>
  <c r="Q1884" i="2"/>
  <c r="R1884" i="2"/>
  <c r="U1884" i="2" s="1"/>
  <c r="S1884" i="2"/>
  <c r="T1884" i="2"/>
  <c r="P1885" i="2"/>
  <c r="Q1885" i="2"/>
  <c r="R1885" i="2" s="1"/>
  <c r="T1885" i="2"/>
  <c r="P1886" i="2"/>
  <c r="Q1886" i="2"/>
  <c r="R1886" i="2"/>
  <c r="U1886" i="2" s="1"/>
  <c r="S1886" i="2"/>
  <c r="T1886" i="2"/>
  <c r="P1887" i="2"/>
  <c r="Q1887" i="2"/>
  <c r="R1887" i="2" s="1"/>
  <c r="T1887" i="2"/>
  <c r="P1888" i="2"/>
  <c r="Q1888" i="2"/>
  <c r="R1888" i="2"/>
  <c r="U1888" i="2" s="1"/>
  <c r="S1888" i="2"/>
  <c r="T1888" i="2"/>
  <c r="P1889" i="2"/>
  <c r="Q1889" i="2"/>
  <c r="R1889" i="2" s="1"/>
  <c r="T1889" i="2"/>
  <c r="P1890" i="2"/>
  <c r="Q1890" i="2"/>
  <c r="R1890" i="2"/>
  <c r="U1890" i="2" s="1"/>
  <c r="S1890" i="2"/>
  <c r="T1890" i="2"/>
  <c r="P1891" i="2"/>
  <c r="Q1891" i="2"/>
  <c r="R1891" i="2" s="1"/>
  <c r="T1891" i="2"/>
  <c r="P1892" i="2"/>
  <c r="Q1892" i="2"/>
  <c r="R1892" i="2"/>
  <c r="U1892" i="2" s="1"/>
  <c r="S1892" i="2"/>
  <c r="T1892" i="2"/>
  <c r="P1893" i="2"/>
  <c r="Q1893" i="2"/>
  <c r="R1893" i="2" s="1"/>
  <c r="T1893" i="2"/>
  <c r="P1894" i="2"/>
  <c r="Q1894" i="2"/>
  <c r="R1894" i="2"/>
  <c r="U1894" i="2" s="1"/>
  <c r="S1894" i="2"/>
  <c r="T1894" i="2"/>
  <c r="P1895" i="2"/>
  <c r="Q1895" i="2"/>
  <c r="R1895" i="2" s="1"/>
  <c r="T1895" i="2"/>
  <c r="P1896" i="2"/>
  <c r="Q1896" i="2"/>
  <c r="R1896" i="2"/>
  <c r="U1896" i="2" s="1"/>
  <c r="S1896" i="2"/>
  <c r="T1896" i="2"/>
  <c r="P1897" i="2"/>
  <c r="Q1897" i="2"/>
  <c r="R1897" i="2" s="1"/>
  <c r="T1897" i="2"/>
  <c r="P1898" i="2"/>
  <c r="Q1898" i="2"/>
  <c r="R1898" i="2"/>
  <c r="U1898" i="2" s="1"/>
  <c r="S1898" i="2"/>
  <c r="T1898" i="2"/>
  <c r="P1899" i="2"/>
  <c r="Q1899" i="2"/>
  <c r="R1899" i="2" s="1"/>
  <c r="T1899" i="2"/>
  <c r="P1900" i="2"/>
  <c r="Q1900" i="2"/>
  <c r="R1900" i="2"/>
  <c r="U1900" i="2" s="1"/>
  <c r="S1900" i="2"/>
  <c r="T1900" i="2"/>
  <c r="P1901" i="2"/>
  <c r="Q1901" i="2"/>
  <c r="R1901" i="2" s="1"/>
  <c r="T1901" i="2"/>
  <c r="P1902" i="2"/>
  <c r="Q1902" i="2"/>
  <c r="R1902" i="2"/>
  <c r="U1902" i="2" s="1"/>
  <c r="S1902" i="2"/>
  <c r="T1902" i="2"/>
  <c r="P1903" i="2"/>
  <c r="Q1903" i="2"/>
  <c r="R1903" i="2" s="1"/>
  <c r="T1903" i="2"/>
  <c r="P1904" i="2"/>
  <c r="Q1904" i="2"/>
  <c r="R1904" i="2"/>
  <c r="U1904" i="2" s="1"/>
  <c r="S1904" i="2"/>
  <c r="T1904" i="2"/>
  <c r="P1905" i="2"/>
  <c r="Q1905" i="2"/>
  <c r="R1905" i="2" s="1"/>
  <c r="T1905" i="2"/>
  <c r="P1906" i="2"/>
  <c r="Q1906" i="2"/>
  <c r="R1906" i="2"/>
  <c r="U1906" i="2" s="1"/>
  <c r="S1906" i="2"/>
  <c r="T1906" i="2"/>
  <c r="P1907" i="2"/>
  <c r="Q1907" i="2"/>
  <c r="R1907" i="2" s="1"/>
  <c r="T1907" i="2"/>
  <c r="P1908" i="2"/>
  <c r="Q1908" i="2"/>
  <c r="R1908" i="2"/>
  <c r="U1908" i="2" s="1"/>
  <c r="S1908" i="2"/>
  <c r="T1908" i="2"/>
  <c r="P1909" i="2"/>
  <c r="Q1909" i="2"/>
  <c r="R1909" i="2" s="1"/>
  <c r="T1909" i="2"/>
  <c r="P1910" i="2"/>
  <c r="Q1910" i="2"/>
  <c r="R1910" i="2"/>
  <c r="U1910" i="2" s="1"/>
  <c r="S1910" i="2"/>
  <c r="T1910" i="2"/>
  <c r="P1911" i="2"/>
  <c r="Q1911" i="2"/>
  <c r="R1911" i="2" s="1"/>
  <c r="T1911" i="2"/>
  <c r="P1912" i="2"/>
  <c r="Q1912" i="2"/>
  <c r="R1912" i="2"/>
  <c r="U1912" i="2" s="1"/>
  <c r="S1912" i="2"/>
  <c r="T1912" i="2"/>
  <c r="P1913" i="2"/>
  <c r="Q1913" i="2"/>
  <c r="R1913" i="2" s="1"/>
  <c r="T1913" i="2"/>
  <c r="P1914" i="2"/>
  <c r="Q1914" i="2"/>
  <c r="R1914" i="2"/>
  <c r="U1914" i="2" s="1"/>
  <c r="S1914" i="2"/>
  <c r="T1914" i="2"/>
  <c r="P1915" i="2"/>
  <c r="Q1915" i="2"/>
  <c r="R1915" i="2" s="1"/>
  <c r="T1915" i="2"/>
  <c r="P1916" i="2"/>
  <c r="Q1916" i="2"/>
  <c r="R1916" i="2"/>
  <c r="U1916" i="2" s="1"/>
  <c r="S1916" i="2"/>
  <c r="T1916" i="2"/>
  <c r="P1917" i="2"/>
  <c r="Q1917" i="2"/>
  <c r="R1917" i="2" s="1"/>
  <c r="T1917" i="2"/>
  <c r="P1918" i="2"/>
  <c r="Q1918" i="2"/>
  <c r="R1918" i="2"/>
  <c r="U1918" i="2" s="1"/>
  <c r="S1918" i="2"/>
  <c r="T1918" i="2"/>
  <c r="P1919" i="2"/>
  <c r="Q1919" i="2"/>
  <c r="R1919" i="2" s="1"/>
  <c r="T1919" i="2"/>
  <c r="P1920" i="2"/>
  <c r="Q1920" i="2"/>
  <c r="R1920" i="2"/>
  <c r="U1920" i="2" s="1"/>
  <c r="S1920" i="2"/>
  <c r="T1920" i="2"/>
  <c r="P1921" i="2"/>
  <c r="Q1921" i="2"/>
  <c r="R1921" i="2" s="1"/>
  <c r="T1921" i="2"/>
  <c r="P1922" i="2"/>
  <c r="Q1922" i="2"/>
  <c r="R1922" i="2"/>
  <c r="U1922" i="2" s="1"/>
  <c r="S1922" i="2"/>
  <c r="T1922" i="2"/>
  <c r="P1923" i="2"/>
  <c r="Q1923" i="2"/>
  <c r="R1923" i="2" s="1"/>
  <c r="T1923" i="2"/>
  <c r="P1924" i="2"/>
  <c r="Q1924" i="2"/>
  <c r="R1924" i="2"/>
  <c r="U1924" i="2" s="1"/>
  <c r="S1924" i="2"/>
  <c r="T1924" i="2"/>
  <c r="U4" i="2"/>
  <c r="T4" i="2"/>
  <c r="S4" i="2"/>
  <c r="R4" i="2"/>
  <c r="Q4" i="2"/>
  <c r="P4" i="2"/>
  <c r="X7" i="2"/>
  <c r="X5" i="2" s="1"/>
  <c r="X6" i="2" s="1"/>
  <c r="X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4" i="2"/>
  <c r="M4" i="2" a="1"/>
  <c r="M11" i="2" s="1"/>
  <c r="M35" i="2"/>
  <c r="M67" i="2"/>
  <c r="M99" i="2"/>
  <c r="M131" i="2"/>
  <c r="M163" i="2"/>
  <c r="M195" i="2"/>
  <c r="M227" i="2"/>
  <c r="M259" i="2"/>
  <c r="M291" i="2"/>
  <c r="M323" i="2"/>
  <c r="M349" i="2"/>
  <c r="M365" i="2"/>
  <c r="M381" i="2"/>
  <c r="M397" i="2"/>
  <c r="M413" i="2"/>
  <c r="M429" i="2"/>
  <c r="M445" i="2"/>
  <c r="M461" i="2"/>
  <c r="M477" i="2"/>
  <c r="M493" i="2"/>
  <c r="M509" i="2"/>
  <c r="M525" i="2"/>
  <c r="M541" i="2"/>
  <c r="M557" i="2"/>
  <c r="M573" i="2"/>
  <c r="M589" i="2"/>
  <c r="M605" i="2"/>
  <c r="M621" i="2"/>
  <c r="M637" i="2"/>
  <c r="M653" i="2"/>
  <c r="M669" i="2"/>
  <c r="M685" i="2"/>
  <c r="M701" i="2"/>
  <c r="M717" i="2"/>
  <c r="M733" i="2"/>
  <c r="M749" i="2"/>
  <c r="M765" i="2"/>
  <c r="M781" i="2"/>
  <c r="M797" i="2"/>
  <c r="M813" i="2"/>
  <c r="M829" i="2"/>
  <c r="M845" i="2"/>
  <c r="M856" i="2"/>
  <c r="M864" i="2"/>
  <c r="M872" i="2"/>
  <c r="M880" i="2"/>
  <c r="M888" i="2"/>
  <c r="M896" i="2"/>
  <c r="M904" i="2"/>
  <c r="M912" i="2"/>
  <c r="M920" i="2"/>
  <c r="M928" i="2"/>
  <c r="M936" i="2"/>
  <c r="M944" i="2"/>
  <c r="M952" i="2"/>
  <c r="M960" i="2"/>
  <c r="M968" i="2"/>
  <c r="M976" i="2"/>
  <c r="M984" i="2"/>
  <c r="M992" i="2"/>
  <c r="M1000" i="2"/>
  <c r="M1008" i="2"/>
  <c r="M1016" i="2"/>
  <c r="M1024" i="2"/>
  <c r="M1032" i="2"/>
  <c r="M1040" i="2"/>
  <c r="M1048" i="2"/>
  <c r="M1056" i="2"/>
  <c r="M1064" i="2"/>
  <c r="M1072" i="2"/>
  <c r="M1080" i="2"/>
  <c r="M1088" i="2"/>
  <c r="M1096" i="2"/>
  <c r="M1104" i="2"/>
  <c r="M1112" i="2"/>
  <c r="M1120" i="2"/>
  <c r="M1128" i="2"/>
  <c r="M1136" i="2"/>
  <c r="M1144" i="2"/>
  <c r="M1152" i="2"/>
  <c r="M1160" i="2"/>
  <c r="M1168" i="2"/>
  <c r="M1176" i="2"/>
  <c r="M1184" i="2"/>
  <c r="M1192" i="2"/>
  <c r="M1194" i="2"/>
  <c r="M1197" i="2"/>
  <c r="M1199" i="2"/>
  <c r="M1201" i="2"/>
  <c r="M1203" i="2"/>
  <c r="M1205" i="2"/>
  <c r="M1207" i="2"/>
  <c r="M1209" i="2"/>
  <c r="M1211" i="2"/>
  <c r="M1213" i="2"/>
  <c r="M1215" i="2"/>
  <c r="M1217" i="2"/>
  <c r="M1219" i="2"/>
  <c r="M1221" i="2"/>
  <c r="M1223" i="2"/>
  <c r="M1225" i="2"/>
  <c r="M1227" i="2"/>
  <c r="M1229" i="2"/>
  <c r="M1231" i="2"/>
  <c r="M1233" i="2"/>
  <c r="M1235" i="2"/>
  <c r="M1237" i="2"/>
  <c r="M1239" i="2"/>
  <c r="M1241" i="2"/>
  <c r="M1243" i="2"/>
  <c r="M1245" i="2"/>
  <c r="M1247" i="2"/>
  <c r="M1249" i="2"/>
  <c r="M1251" i="2"/>
  <c r="M1253" i="2"/>
  <c r="M1255" i="2"/>
  <c r="M1257" i="2"/>
  <c r="M1259" i="2"/>
  <c r="M1261" i="2"/>
  <c r="M1263" i="2"/>
  <c r="M1265" i="2"/>
  <c r="M1267" i="2"/>
  <c r="M1269" i="2"/>
  <c r="M1271" i="2"/>
  <c r="M1273" i="2"/>
  <c r="M1275" i="2"/>
  <c r="M1277" i="2"/>
  <c r="M1279" i="2"/>
  <c r="M1281" i="2"/>
  <c r="M1283" i="2"/>
  <c r="M1285" i="2"/>
  <c r="M1287" i="2"/>
  <c r="M1289" i="2"/>
  <c r="M1291" i="2"/>
  <c r="M1293" i="2"/>
  <c r="M1295" i="2"/>
  <c r="M1297" i="2"/>
  <c r="M1299" i="2"/>
  <c r="M1301" i="2"/>
  <c r="M1303" i="2"/>
  <c r="M1305" i="2"/>
  <c r="M1307" i="2"/>
  <c r="M1309" i="2"/>
  <c r="M1311" i="2"/>
  <c r="M1313" i="2"/>
  <c r="M1315" i="2"/>
  <c r="M1317" i="2"/>
  <c r="M1319" i="2"/>
  <c r="M1321" i="2"/>
  <c r="M1323" i="2"/>
  <c r="M1325" i="2"/>
  <c r="M1327" i="2"/>
  <c r="M1329" i="2"/>
  <c r="M1331" i="2"/>
  <c r="M1333" i="2"/>
  <c r="M1335" i="2"/>
  <c r="M1337" i="2"/>
  <c r="M1339" i="2"/>
  <c r="M1341" i="2"/>
  <c r="M1343" i="2"/>
  <c r="M1345" i="2"/>
  <c r="M1347" i="2"/>
  <c r="M1349" i="2"/>
  <c r="M1351" i="2"/>
  <c r="M1353" i="2"/>
  <c r="M1355" i="2"/>
  <c r="M1357" i="2"/>
  <c r="M1359" i="2"/>
  <c r="M1361" i="2"/>
  <c r="M1363" i="2"/>
  <c r="M1365" i="2"/>
  <c r="M1367" i="2"/>
  <c r="M1369" i="2"/>
  <c r="M1371" i="2"/>
  <c r="M1373" i="2"/>
  <c r="M1375" i="2"/>
  <c r="M1377" i="2"/>
  <c r="M1379" i="2"/>
  <c r="M1381" i="2"/>
  <c r="M1383" i="2"/>
  <c r="M1385" i="2"/>
  <c r="M1387" i="2"/>
  <c r="M1389" i="2"/>
  <c r="M1391" i="2"/>
  <c r="M1393" i="2"/>
  <c r="M1395" i="2"/>
  <c r="M1397" i="2"/>
  <c r="M1399" i="2"/>
  <c r="M1401" i="2"/>
  <c r="M1403" i="2"/>
  <c r="M1405" i="2"/>
  <c r="M1407" i="2"/>
  <c r="M1409" i="2"/>
  <c r="M1411" i="2"/>
  <c r="M1413" i="2"/>
  <c r="M1415" i="2"/>
  <c r="M1417" i="2"/>
  <c r="M1419" i="2"/>
  <c r="M1421" i="2"/>
  <c r="M1423" i="2"/>
  <c r="M1425" i="2"/>
  <c r="M1427" i="2"/>
  <c r="M1429" i="2"/>
  <c r="M1431" i="2"/>
  <c r="M1433" i="2"/>
  <c r="M1435" i="2"/>
  <c r="M1437" i="2"/>
  <c r="M1439" i="2"/>
  <c r="M1441" i="2"/>
  <c r="M1443" i="2"/>
  <c r="M1445" i="2"/>
  <c r="M1447" i="2"/>
  <c r="M1449" i="2"/>
  <c r="M1451" i="2"/>
  <c r="M1453" i="2"/>
  <c r="M1455" i="2"/>
  <c r="M1457" i="2"/>
  <c r="M1459" i="2"/>
  <c r="M1461" i="2"/>
  <c r="M1463" i="2"/>
  <c r="M1465" i="2"/>
  <c r="M1467" i="2"/>
  <c r="M1469" i="2"/>
  <c r="M1471" i="2"/>
  <c r="M1473" i="2"/>
  <c r="M1475" i="2"/>
  <c r="M1477" i="2"/>
  <c r="M1479" i="2"/>
  <c r="M1481" i="2"/>
  <c r="M1483" i="2"/>
  <c r="M1485" i="2"/>
  <c r="M1487" i="2"/>
  <c r="M1489" i="2"/>
  <c r="M1491" i="2"/>
  <c r="M1493" i="2"/>
  <c r="M1495" i="2"/>
  <c r="M1497" i="2"/>
  <c r="M1499" i="2"/>
  <c r="M1501" i="2"/>
  <c r="M1503" i="2"/>
  <c r="M1505" i="2"/>
  <c r="M1507" i="2"/>
  <c r="M1509" i="2"/>
  <c r="M1511" i="2"/>
  <c r="M1513" i="2"/>
  <c r="M1515" i="2"/>
  <c r="M1517" i="2"/>
  <c r="M1519" i="2"/>
  <c r="M1521" i="2"/>
  <c r="M1523" i="2"/>
  <c r="M1525" i="2"/>
  <c r="M1527" i="2"/>
  <c r="M1529" i="2"/>
  <c r="M1531" i="2"/>
  <c r="M1533" i="2"/>
  <c r="M1535" i="2"/>
  <c r="M1537" i="2"/>
  <c r="M1539" i="2"/>
  <c r="M1541" i="2"/>
  <c r="M1543" i="2"/>
  <c r="M1545" i="2"/>
  <c r="M1547" i="2"/>
  <c r="M1549" i="2"/>
  <c r="M1551" i="2"/>
  <c r="M1553" i="2"/>
  <c r="M1555" i="2"/>
  <c r="M1557" i="2"/>
  <c r="M1559" i="2"/>
  <c r="M1561" i="2"/>
  <c r="M1563" i="2"/>
  <c r="M1565" i="2"/>
  <c r="M1567" i="2"/>
  <c r="M1569" i="2"/>
  <c r="M1571" i="2"/>
  <c r="M1573" i="2"/>
  <c r="M1575" i="2"/>
  <c r="M1577" i="2"/>
  <c r="M1579" i="2"/>
  <c r="M1581" i="2"/>
  <c r="M1583" i="2"/>
  <c r="M1585" i="2"/>
  <c r="M1587" i="2"/>
  <c r="M1589" i="2"/>
  <c r="M1591" i="2"/>
  <c r="M1593" i="2"/>
  <c r="M1595" i="2"/>
  <c r="M1597" i="2"/>
  <c r="M1599" i="2"/>
  <c r="M1601" i="2"/>
  <c r="M1603" i="2"/>
  <c r="M1605" i="2"/>
  <c r="M1607" i="2"/>
  <c r="M1609" i="2"/>
  <c r="M1611" i="2"/>
  <c r="M1613" i="2"/>
  <c r="M1615" i="2"/>
  <c r="M1617" i="2"/>
  <c r="M1619" i="2"/>
  <c r="M1621" i="2"/>
  <c r="M1623" i="2"/>
  <c r="M1625" i="2"/>
  <c r="M1627" i="2"/>
  <c r="M1629" i="2"/>
  <c r="M1631" i="2"/>
  <c r="M1633" i="2"/>
  <c r="M1635" i="2"/>
  <c r="M1637" i="2"/>
  <c r="M1639" i="2"/>
  <c r="M1641" i="2"/>
  <c r="M1643" i="2"/>
  <c r="M1645" i="2"/>
  <c r="M1647" i="2"/>
  <c r="M1649" i="2"/>
  <c r="M1651" i="2"/>
  <c r="M1653" i="2"/>
  <c r="M1655" i="2"/>
  <c r="M1657" i="2"/>
  <c r="M1659" i="2"/>
  <c r="M1661" i="2"/>
  <c r="M1663" i="2"/>
  <c r="M1665" i="2"/>
  <c r="M1667" i="2"/>
  <c r="M1669" i="2"/>
  <c r="M1671" i="2"/>
  <c r="M1673" i="2"/>
  <c r="M1675" i="2"/>
  <c r="M1677" i="2"/>
  <c r="M1679" i="2"/>
  <c r="M1681" i="2"/>
  <c r="M1683" i="2"/>
  <c r="M1685" i="2"/>
  <c r="M1687" i="2"/>
  <c r="M1689" i="2"/>
  <c r="M1691" i="2"/>
  <c r="M1693" i="2"/>
  <c r="M1695" i="2"/>
  <c r="M1697" i="2"/>
  <c r="M1699" i="2"/>
  <c r="M1701" i="2"/>
  <c r="M1703" i="2"/>
  <c r="M1705" i="2"/>
  <c r="M1707" i="2"/>
  <c r="M1709" i="2"/>
  <c r="M1711" i="2"/>
  <c r="M1713" i="2"/>
  <c r="M1715" i="2"/>
  <c r="M1717" i="2"/>
  <c r="M1719" i="2"/>
  <c r="M1721" i="2"/>
  <c r="M1723" i="2"/>
  <c r="M1725" i="2"/>
  <c r="M1727" i="2"/>
  <c r="M1729" i="2"/>
  <c r="M1731" i="2"/>
  <c r="M1733" i="2"/>
  <c r="M1735" i="2"/>
  <c r="M1737" i="2"/>
  <c r="M1739" i="2"/>
  <c r="M1741" i="2"/>
  <c r="M1743" i="2"/>
  <c r="M1745" i="2"/>
  <c r="M1747" i="2"/>
  <c r="M1749" i="2"/>
  <c r="M1751" i="2"/>
  <c r="M1753" i="2"/>
  <c r="M1755" i="2"/>
  <c r="M1757" i="2"/>
  <c r="M1759" i="2"/>
  <c r="M1761" i="2"/>
  <c r="M1763" i="2"/>
  <c r="M1765" i="2"/>
  <c r="M1767" i="2"/>
  <c r="M1769" i="2"/>
  <c r="M1771" i="2"/>
  <c r="M1773" i="2"/>
  <c r="M1775" i="2"/>
  <c r="M1777" i="2"/>
  <c r="M1779" i="2"/>
  <c r="M1781" i="2"/>
  <c r="M1783" i="2"/>
  <c r="M1785" i="2"/>
  <c r="M1787" i="2"/>
  <c r="M1789" i="2"/>
  <c r="M1791" i="2"/>
  <c r="M1793" i="2"/>
  <c r="M1795" i="2"/>
  <c r="M1797" i="2"/>
  <c r="M1799" i="2"/>
  <c r="M1801" i="2"/>
  <c r="M1803" i="2"/>
  <c r="M1805" i="2"/>
  <c r="M1807" i="2"/>
  <c r="M1809" i="2"/>
  <c r="M1811" i="2"/>
  <c r="M1813" i="2"/>
  <c r="M1815" i="2"/>
  <c r="M1817" i="2"/>
  <c r="M1819" i="2"/>
  <c r="M1821" i="2"/>
  <c r="M1823" i="2"/>
  <c r="M1825" i="2"/>
  <c r="M1827" i="2"/>
  <c r="M1829" i="2"/>
  <c r="M1831" i="2"/>
  <c r="M1833" i="2"/>
  <c r="M1835" i="2"/>
  <c r="M1837" i="2"/>
  <c r="M1839" i="2"/>
  <c r="M1841" i="2"/>
  <c r="M1843" i="2"/>
  <c r="M1845" i="2"/>
  <c r="M1847" i="2"/>
  <c r="M1849" i="2"/>
  <c r="M1851" i="2"/>
  <c r="M1853" i="2"/>
  <c r="M1855" i="2"/>
  <c r="M1857" i="2"/>
  <c r="M1859" i="2"/>
  <c r="M1861" i="2"/>
  <c r="M1863" i="2"/>
  <c r="M1865" i="2"/>
  <c r="M1867" i="2"/>
  <c r="M1869" i="2"/>
  <c r="M1871" i="2"/>
  <c r="M1873" i="2"/>
  <c r="M1875" i="2"/>
  <c r="M1877" i="2"/>
  <c r="M1879" i="2"/>
  <c r="M1881" i="2"/>
  <c r="M1883" i="2"/>
  <c r="M1885" i="2"/>
  <c r="M1887" i="2"/>
  <c r="M1889" i="2"/>
  <c r="M1891" i="2"/>
  <c r="M1893" i="2"/>
  <c r="M1895" i="2"/>
  <c r="M1897" i="2"/>
  <c r="M1899" i="2"/>
  <c r="M1901" i="2"/>
  <c r="M1903" i="2"/>
  <c r="M1905" i="2"/>
  <c r="M1907" i="2"/>
  <c r="M1909" i="2"/>
  <c r="M1911" i="2"/>
  <c r="M1913" i="2"/>
  <c r="M1915" i="2"/>
  <c r="M1917" i="2"/>
  <c r="M1919" i="2"/>
  <c r="M1921" i="2"/>
  <c r="M1923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3" i="2"/>
  <c r="J6" i="2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5" i="2"/>
  <c r="D18" i="2"/>
  <c r="E18" i="2" s="1"/>
  <c r="F18" i="2"/>
  <c r="G18" i="2"/>
  <c r="G17" i="2"/>
  <c r="F17" i="2"/>
  <c r="E17" i="2"/>
  <c r="D17" i="2"/>
  <c r="A18" i="2" a="1"/>
  <c r="A18" i="2" s="1"/>
  <c r="C14" i="2"/>
  <c r="B14" i="2"/>
  <c r="B13" i="2"/>
  <c r="B12" i="2"/>
  <c r="B8" i="2"/>
  <c r="B31" i="2"/>
  <c r="B30" i="2"/>
  <c r="B24" i="2"/>
  <c r="B23" i="2"/>
  <c r="O4" i="2" a="1"/>
  <c r="B17" i="2" a="1"/>
  <c r="U1897" i="2" l="1"/>
  <c r="S1897" i="2"/>
  <c r="S1782" i="2"/>
  <c r="U1782" i="2"/>
  <c r="S1778" i="2"/>
  <c r="U1778" i="2"/>
  <c r="S1774" i="2"/>
  <c r="U1774" i="2"/>
  <c r="S1770" i="2"/>
  <c r="U1770" i="2"/>
  <c r="U1923" i="2"/>
  <c r="S1923" i="2"/>
  <c r="S1921" i="2"/>
  <c r="U1921" i="2"/>
  <c r="U1919" i="2"/>
  <c r="S1919" i="2"/>
  <c r="U1917" i="2"/>
  <c r="S1917" i="2"/>
  <c r="S1915" i="2"/>
  <c r="U1915" i="2"/>
  <c r="U1913" i="2"/>
  <c r="S1913" i="2"/>
  <c r="U1911" i="2"/>
  <c r="S1911" i="2"/>
  <c r="U1909" i="2"/>
  <c r="S1909" i="2"/>
  <c r="S1907" i="2"/>
  <c r="U1907" i="2"/>
  <c r="U1905" i="2"/>
  <c r="S1905" i="2"/>
  <c r="U1903" i="2"/>
  <c r="S1903" i="2"/>
  <c r="U1901" i="2"/>
  <c r="S1901" i="2"/>
  <c r="U1899" i="2"/>
  <c r="S1899" i="2"/>
  <c r="U1895" i="2"/>
  <c r="S1895" i="2"/>
  <c r="U1893" i="2"/>
  <c r="S1893" i="2"/>
  <c r="S1891" i="2"/>
  <c r="U1891" i="2"/>
  <c r="S1889" i="2"/>
  <c r="U1889" i="2"/>
  <c r="U1887" i="2"/>
  <c r="S1887" i="2"/>
  <c r="S1885" i="2"/>
  <c r="U1885" i="2"/>
  <c r="U1883" i="2"/>
  <c r="S1883" i="2"/>
  <c r="U1881" i="2"/>
  <c r="S1881" i="2"/>
  <c r="U1879" i="2"/>
  <c r="S1879" i="2"/>
  <c r="U1877" i="2"/>
  <c r="S1877" i="2"/>
  <c r="S1875" i="2"/>
  <c r="U1875" i="2"/>
  <c r="U1873" i="2"/>
  <c r="S1873" i="2"/>
  <c r="U1871" i="2"/>
  <c r="S1871" i="2"/>
  <c r="S1869" i="2"/>
  <c r="U1869" i="2"/>
  <c r="U1867" i="2"/>
  <c r="S1867" i="2"/>
  <c r="U1865" i="2"/>
  <c r="S1865" i="2"/>
  <c r="U1863" i="2"/>
  <c r="S1863" i="2"/>
  <c r="S1861" i="2"/>
  <c r="U1861" i="2"/>
  <c r="U1859" i="2"/>
  <c r="S1859" i="2"/>
  <c r="U1857" i="2"/>
  <c r="S1857" i="2"/>
  <c r="S1855" i="2"/>
  <c r="U1855" i="2"/>
  <c r="S1853" i="2"/>
  <c r="U1853" i="2"/>
  <c r="U1851" i="2"/>
  <c r="S1851" i="2"/>
  <c r="S1849" i="2"/>
  <c r="U1849" i="2"/>
  <c r="U1847" i="2"/>
  <c r="S1847" i="2"/>
  <c r="U1845" i="2"/>
  <c r="S1845" i="2"/>
  <c r="U1843" i="2"/>
  <c r="S1843" i="2"/>
  <c r="S1841" i="2"/>
  <c r="U1841" i="2"/>
  <c r="U1839" i="2"/>
  <c r="S1839" i="2"/>
  <c r="U1837" i="2"/>
  <c r="S1837" i="2"/>
  <c r="U1835" i="2"/>
  <c r="S1835" i="2"/>
  <c r="U1833" i="2"/>
  <c r="S1833" i="2"/>
  <c r="U1831" i="2"/>
  <c r="S1831" i="2"/>
  <c r="S1829" i="2"/>
  <c r="U1829" i="2"/>
  <c r="U1827" i="2"/>
  <c r="S1827" i="2"/>
  <c r="U1825" i="2"/>
  <c r="S1825" i="2"/>
  <c r="S1823" i="2"/>
  <c r="U1823" i="2"/>
  <c r="U1821" i="2"/>
  <c r="S1821" i="2"/>
  <c r="U1819" i="2"/>
  <c r="S1819" i="2"/>
  <c r="U1817" i="2"/>
  <c r="S1817" i="2"/>
  <c r="U1815" i="2"/>
  <c r="S1815" i="2"/>
  <c r="U1813" i="2"/>
  <c r="S1813" i="2"/>
  <c r="U1811" i="2"/>
  <c r="S1811" i="2"/>
  <c r="U1809" i="2"/>
  <c r="S1809" i="2"/>
  <c r="U1807" i="2"/>
  <c r="S1807" i="2"/>
  <c r="U1805" i="2"/>
  <c r="S1805" i="2"/>
  <c r="U1803" i="2"/>
  <c r="S1803" i="2"/>
  <c r="U1801" i="2"/>
  <c r="S1801" i="2"/>
  <c r="S1799" i="2"/>
  <c r="U1799" i="2"/>
  <c r="U1797" i="2"/>
  <c r="S1797" i="2"/>
  <c r="U1795" i="2"/>
  <c r="S1795" i="2"/>
  <c r="U1793" i="2"/>
  <c r="S1793" i="2"/>
  <c r="U1791" i="2"/>
  <c r="S1791" i="2"/>
  <c r="S1789" i="2"/>
  <c r="U1789" i="2"/>
  <c r="S1787" i="2"/>
  <c r="U1787" i="2"/>
  <c r="S1758" i="2"/>
  <c r="U1758" i="2"/>
  <c r="U1784" i="2"/>
  <c r="S1781" i="2"/>
  <c r="U1780" i="2"/>
  <c r="S1777" i="2"/>
  <c r="U1776" i="2"/>
  <c r="S1773" i="2"/>
  <c r="U1772" i="2"/>
  <c r="S1769" i="2"/>
  <c r="U1768" i="2"/>
  <c r="U1585" i="2"/>
  <c r="S1577" i="2"/>
  <c r="U1577" i="2"/>
  <c r="S1575" i="2"/>
  <c r="U1575" i="2"/>
  <c r="S1563" i="2"/>
  <c r="U1563" i="2"/>
  <c r="U1554" i="2"/>
  <c r="S1554" i="2"/>
  <c r="S1545" i="2"/>
  <c r="U1545" i="2"/>
  <c r="S1543" i="2"/>
  <c r="U1543" i="2"/>
  <c r="S1531" i="2"/>
  <c r="U1531" i="2"/>
  <c r="U1522" i="2"/>
  <c r="S1522" i="2"/>
  <c r="S1513" i="2"/>
  <c r="U1513" i="2"/>
  <c r="S1511" i="2"/>
  <c r="U1511" i="2"/>
  <c r="S1499" i="2"/>
  <c r="U1499" i="2"/>
  <c r="U1490" i="2"/>
  <c r="S1490" i="2"/>
  <c r="U1486" i="2"/>
  <c r="S1486" i="2"/>
  <c r="U1482" i="2"/>
  <c r="S1482" i="2"/>
  <c r="U1478" i="2"/>
  <c r="S1478" i="2"/>
  <c r="U1474" i="2"/>
  <c r="S1474" i="2"/>
  <c r="U1470" i="2"/>
  <c r="S1470" i="2"/>
  <c r="U1466" i="2"/>
  <c r="S1466" i="2"/>
  <c r="U1462" i="2"/>
  <c r="S1462" i="2"/>
  <c r="U1458" i="2"/>
  <c r="S1458" i="2"/>
  <c r="U1454" i="2"/>
  <c r="S1454" i="2"/>
  <c r="U1450" i="2"/>
  <c r="S1450" i="2"/>
  <c r="U1446" i="2"/>
  <c r="S1446" i="2"/>
  <c r="U1442" i="2"/>
  <c r="S1442" i="2"/>
  <c r="U1438" i="2"/>
  <c r="S1438" i="2"/>
  <c r="U1434" i="2"/>
  <c r="S1434" i="2"/>
  <c r="U1430" i="2"/>
  <c r="S1430" i="2"/>
  <c r="U1426" i="2"/>
  <c r="S1426" i="2"/>
  <c r="U1422" i="2"/>
  <c r="S1422" i="2"/>
  <c r="U1418" i="2"/>
  <c r="S1418" i="2"/>
  <c r="U1414" i="2"/>
  <c r="S1414" i="2"/>
  <c r="U1410" i="2"/>
  <c r="S1410" i="2"/>
  <c r="U1406" i="2"/>
  <c r="S1406" i="2"/>
  <c r="U1402" i="2"/>
  <c r="S1402" i="2"/>
  <c r="U1398" i="2"/>
  <c r="S1398" i="2"/>
  <c r="U1394" i="2"/>
  <c r="S1394" i="2"/>
  <c r="U1390" i="2"/>
  <c r="S1390" i="2"/>
  <c r="U1386" i="2"/>
  <c r="S1386" i="2"/>
  <c r="U1382" i="2"/>
  <c r="S1382" i="2"/>
  <c r="U1378" i="2"/>
  <c r="S1378" i="2"/>
  <c r="U1374" i="2"/>
  <c r="S1374" i="2"/>
  <c r="U1370" i="2"/>
  <c r="S1370" i="2"/>
  <c r="U1366" i="2"/>
  <c r="S1366" i="2"/>
  <c r="U1362" i="2"/>
  <c r="S1362" i="2"/>
  <c r="U1358" i="2"/>
  <c r="S1358" i="2"/>
  <c r="U1354" i="2"/>
  <c r="S1354" i="2"/>
  <c r="U1350" i="2"/>
  <c r="S1350" i="2"/>
  <c r="U1346" i="2"/>
  <c r="S1346" i="2"/>
  <c r="U1342" i="2"/>
  <c r="S1342" i="2"/>
  <c r="U1578" i="2"/>
  <c r="S1578" i="2"/>
  <c r="S1569" i="2"/>
  <c r="U1569" i="2"/>
  <c r="S1567" i="2"/>
  <c r="U1567" i="2"/>
  <c r="S1555" i="2"/>
  <c r="U1555" i="2"/>
  <c r="U1546" i="2"/>
  <c r="S1546" i="2"/>
  <c r="S1537" i="2"/>
  <c r="U1537" i="2"/>
  <c r="S1535" i="2"/>
  <c r="U1535" i="2"/>
  <c r="S1523" i="2"/>
  <c r="U1523" i="2"/>
  <c r="U1514" i="2"/>
  <c r="S1514" i="2"/>
  <c r="S1505" i="2"/>
  <c r="U1505" i="2"/>
  <c r="S1503" i="2"/>
  <c r="U1503" i="2"/>
  <c r="S1491" i="2"/>
  <c r="U1491" i="2"/>
  <c r="S1487" i="2"/>
  <c r="U1487" i="2"/>
  <c r="S1483" i="2"/>
  <c r="U1483" i="2"/>
  <c r="S1479" i="2"/>
  <c r="U1479" i="2"/>
  <c r="S1475" i="2"/>
  <c r="U1475" i="2"/>
  <c r="S1471" i="2"/>
  <c r="U1471" i="2"/>
  <c r="S1467" i="2"/>
  <c r="U1467" i="2"/>
  <c r="S1463" i="2"/>
  <c r="U1463" i="2"/>
  <c r="S1459" i="2"/>
  <c r="U1459" i="2"/>
  <c r="S1455" i="2"/>
  <c r="U1455" i="2"/>
  <c r="S1451" i="2"/>
  <c r="U1451" i="2"/>
  <c r="S1447" i="2"/>
  <c r="U1447" i="2"/>
  <c r="S1443" i="2"/>
  <c r="U1443" i="2"/>
  <c r="S1439" i="2"/>
  <c r="U1439" i="2"/>
  <c r="S1435" i="2"/>
  <c r="U1435" i="2"/>
  <c r="S1431" i="2"/>
  <c r="U1431" i="2"/>
  <c r="S1427" i="2"/>
  <c r="U1427" i="2"/>
  <c r="S1423" i="2"/>
  <c r="U1423" i="2"/>
  <c r="S1419" i="2"/>
  <c r="U1419" i="2"/>
  <c r="S1415" i="2"/>
  <c r="U1415" i="2"/>
  <c r="S1411" i="2"/>
  <c r="U1411" i="2"/>
  <c r="S1407" i="2"/>
  <c r="U1407" i="2"/>
  <c r="S1403" i="2"/>
  <c r="U1403" i="2"/>
  <c r="S1399" i="2"/>
  <c r="U1399" i="2"/>
  <c r="S1395" i="2"/>
  <c r="U1395" i="2"/>
  <c r="S1391" i="2"/>
  <c r="U1391" i="2"/>
  <c r="S1387" i="2"/>
  <c r="U1387" i="2"/>
  <c r="S1383" i="2"/>
  <c r="U1383" i="2"/>
  <c r="S1379" i="2"/>
  <c r="U1379" i="2"/>
  <c r="S1375" i="2"/>
  <c r="U1375" i="2"/>
  <c r="S1371" i="2"/>
  <c r="U1371" i="2"/>
  <c r="S1367" i="2"/>
  <c r="U1367" i="2"/>
  <c r="S1363" i="2"/>
  <c r="U1363" i="2"/>
  <c r="S1359" i="2"/>
  <c r="U1359" i="2"/>
  <c r="S1355" i="2"/>
  <c r="U1355" i="2"/>
  <c r="S1351" i="2"/>
  <c r="U1351" i="2"/>
  <c r="S1347" i="2"/>
  <c r="U1347" i="2"/>
  <c r="S1343" i="2"/>
  <c r="U1343" i="2"/>
  <c r="U1767" i="2"/>
  <c r="S1767" i="2"/>
  <c r="S1766" i="2"/>
  <c r="U1766" i="2"/>
  <c r="U1765" i="2"/>
  <c r="S1765" i="2"/>
  <c r="S1764" i="2"/>
  <c r="U1764" i="2"/>
  <c r="U1763" i="2"/>
  <c r="S1763" i="2"/>
  <c r="U1761" i="2"/>
  <c r="S1761" i="2"/>
  <c r="S1760" i="2"/>
  <c r="U1760" i="2"/>
  <c r="U1759" i="2"/>
  <c r="S1759" i="2"/>
  <c r="U1757" i="2"/>
  <c r="S1757" i="2"/>
  <c r="S1756" i="2"/>
  <c r="U1756" i="2"/>
  <c r="U1755" i="2"/>
  <c r="S1755" i="2"/>
  <c r="S1754" i="2"/>
  <c r="U1754" i="2"/>
  <c r="U1753" i="2"/>
  <c r="S1753" i="2"/>
  <c r="S1752" i="2"/>
  <c r="U1752" i="2"/>
  <c r="U1751" i="2"/>
  <c r="S1751" i="2"/>
  <c r="S1750" i="2"/>
  <c r="U1750" i="2"/>
  <c r="U1749" i="2"/>
  <c r="S1749" i="2"/>
  <c r="S1748" i="2"/>
  <c r="U1748" i="2"/>
  <c r="U1747" i="2"/>
  <c r="S1747" i="2"/>
  <c r="S1746" i="2"/>
  <c r="U1746" i="2"/>
  <c r="U1745" i="2"/>
  <c r="S1745" i="2"/>
  <c r="S1744" i="2"/>
  <c r="U1744" i="2"/>
  <c r="U1743" i="2"/>
  <c r="S1743" i="2"/>
  <c r="S1742" i="2"/>
  <c r="U1742" i="2"/>
  <c r="U1741" i="2"/>
  <c r="S1741" i="2"/>
  <c r="S1740" i="2"/>
  <c r="U1740" i="2"/>
  <c r="U1739" i="2"/>
  <c r="S1739" i="2"/>
  <c r="S1738" i="2"/>
  <c r="U1738" i="2"/>
  <c r="U1737" i="2"/>
  <c r="S1737" i="2"/>
  <c r="S1736" i="2"/>
  <c r="U1736" i="2"/>
  <c r="U1735" i="2"/>
  <c r="S1735" i="2"/>
  <c r="S1734" i="2"/>
  <c r="U1734" i="2"/>
  <c r="U1733" i="2"/>
  <c r="S1733" i="2"/>
  <c r="S1732" i="2"/>
  <c r="U1732" i="2"/>
  <c r="U1731" i="2"/>
  <c r="S1731" i="2"/>
  <c r="S1730" i="2"/>
  <c r="U1730" i="2"/>
  <c r="U1729" i="2"/>
  <c r="S1729" i="2"/>
  <c r="S1728" i="2"/>
  <c r="U1728" i="2"/>
  <c r="U1727" i="2"/>
  <c r="S1727" i="2"/>
  <c r="S1726" i="2"/>
  <c r="U1726" i="2"/>
  <c r="U1725" i="2"/>
  <c r="S1725" i="2"/>
  <c r="S1724" i="2"/>
  <c r="U1724" i="2"/>
  <c r="U1723" i="2"/>
  <c r="S1723" i="2"/>
  <c r="S1722" i="2"/>
  <c r="U1722" i="2"/>
  <c r="U1721" i="2"/>
  <c r="S1721" i="2"/>
  <c r="S1720" i="2"/>
  <c r="U1720" i="2"/>
  <c r="U1719" i="2"/>
  <c r="S1719" i="2"/>
  <c r="S1718" i="2"/>
  <c r="U1718" i="2"/>
  <c r="U1717" i="2"/>
  <c r="S1717" i="2"/>
  <c r="S1716" i="2"/>
  <c r="U1716" i="2"/>
  <c r="U1715" i="2"/>
  <c r="S1715" i="2"/>
  <c r="S1714" i="2"/>
  <c r="U1714" i="2"/>
  <c r="U1713" i="2"/>
  <c r="S1713" i="2"/>
  <c r="S1712" i="2"/>
  <c r="U1712" i="2"/>
  <c r="U1711" i="2"/>
  <c r="S1711" i="2"/>
  <c r="S1710" i="2"/>
  <c r="U1710" i="2"/>
  <c r="U1709" i="2"/>
  <c r="S1709" i="2"/>
  <c r="S1708" i="2"/>
  <c r="U1708" i="2"/>
  <c r="U1707" i="2"/>
  <c r="S1707" i="2"/>
  <c r="S1706" i="2"/>
  <c r="U1706" i="2"/>
  <c r="U1705" i="2"/>
  <c r="S1705" i="2"/>
  <c r="S1704" i="2"/>
  <c r="U1704" i="2"/>
  <c r="U1703" i="2"/>
  <c r="S1703" i="2"/>
  <c r="S1702" i="2"/>
  <c r="U1702" i="2"/>
  <c r="U1701" i="2"/>
  <c r="S1701" i="2"/>
  <c r="S1700" i="2"/>
  <c r="U1700" i="2"/>
  <c r="U1699" i="2"/>
  <c r="S1699" i="2"/>
  <c r="S1698" i="2"/>
  <c r="U1698" i="2"/>
  <c r="U1697" i="2"/>
  <c r="S1697" i="2"/>
  <c r="U1695" i="2"/>
  <c r="S1695" i="2"/>
  <c r="U1693" i="2"/>
  <c r="S1693" i="2"/>
  <c r="U1691" i="2"/>
  <c r="S1691" i="2"/>
  <c r="U1689" i="2"/>
  <c r="S1689" i="2"/>
  <c r="U1687" i="2"/>
  <c r="S1687" i="2"/>
  <c r="U1685" i="2"/>
  <c r="S1685" i="2"/>
  <c r="U1683" i="2"/>
  <c r="S1683" i="2"/>
  <c r="U1681" i="2"/>
  <c r="S1681" i="2"/>
  <c r="U1679" i="2"/>
  <c r="S1679" i="2"/>
  <c r="U1677" i="2"/>
  <c r="S1677" i="2"/>
  <c r="U1675" i="2"/>
  <c r="S1675" i="2"/>
  <c r="U1673" i="2"/>
  <c r="S1673" i="2"/>
  <c r="U1671" i="2"/>
  <c r="S1671" i="2"/>
  <c r="U1669" i="2"/>
  <c r="S1669" i="2"/>
  <c r="U1667" i="2"/>
  <c r="S1667" i="2"/>
  <c r="U1665" i="2"/>
  <c r="S1665" i="2"/>
  <c r="U1663" i="2"/>
  <c r="S1663" i="2"/>
  <c r="U1661" i="2"/>
  <c r="S1661" i="2"/>
  <c r="U1659" i="2"/>
  <c r="S1659" i="2"/>
  <c r="U1657" i="2"/>
  <c r="S1657" i="2"/>
  <c r="U1655" i="2"/>
  <c r="S1655" i="2"/>
  <c r="U1653" i="2"/>
  <c r="S1653" i="2"/>
  <c r="U1651" i="2"/>
  <c r="S1651" i="2"/>
  <c r="U1649" i="2"/>
  <c r="S1649" i="2"/>
  <c r="U1647" i="2"/>
  <c r="S1647" i="2"/>
  <c r="U1645" i="2"/>
  <c r="S1645" i="2"/>
  <c r="U1643" i="2"/>
  <c r="S1643" i="2"/>
  <c r="U1641" i="2"/>
  <c r="S1641" i="2"/>
  <c r="U1639" i="2"/>
  <c r="S1639" i="2"/>
  <c r="U1637" i="2"/>
  <c r="S1637" i="2"/>
  <c r="U1635" i="2"/>
  <c r="S1635" i="2"/>
  <c r="U1633" i="2"/>
  <c r="S1633" i="2"/>
  <c r="U1631" i="2"/>
  <c r="S1631" i="2"/>
  <c r="U1629" i="2"/>
  <c r="S1629" i="2"/>
  <c r="U1627" i="2"/>
  <c r="S1627" i="2"/>
  <c r="U1625" i="2"/>
  <c r="S1625" i="2"/>
  <c r="U1623" i="2"/>
  <c r="S1623" i="2"/>
  <c r="U1621" i="2"/>
  <c r="S1621" i="2"/>
  <c r="U1619" i="2"/>
  <c r="S1619" i="2"/>
  <c r="U1617" i="2"/>
  <c r="S1617" i="2"/>
  <c r="U1615" i="2"/>
  <c r="S1615" i="2"/>
  <c r="U1613" i="2"/>
  <c r="S1613" i="2"/>
  <c r="U1611" i="2"/>
  <c r="S1611" i="2"/>
  <c r="U1609" i="2"/>
  <c r="S1609" i="2"/>
  <c r="U1607" i="2"/>
  <c r="S1607" i="2"/>
  <c r="U1605" i="2"/>
  <c r="S1605" i="2"/>
  <c r="U1603" i="2"/>
  <c r="S1603" i="2"/>
  <c r="U1601" i="2"/>
  <c r="S1601" i="2"/>
  <c r="U1599" i="2"/>
  <c r="S1599" i="2"/>
  <c r="U1597" i="2"/>
  <c r="S1597" i="2"/>
  <c r="U1595" i="2"/>
  <c r="S1595" i="2"/>
  <c r="U1593" i="2"/>
  <c r="S1593" i="2"/>
  <c r="U1591" i="2"/>
  <c r="S1591" i="2"/>
  <c r="U1589" i="2"/>
  <c r="S1589" i="2"/>
  <c r="U1587" i="2"/>
  <c r="S1587" i="2"/>
  <c r="U1582" i="2"/>
  <c r="S1582" i="2"/>
  <c r="S1579" i="2"/>
  <c r="U1579" i="2"/>
  <c r="U1570" i="2"/>
  <c r="S1570" i="2"/>
  <c r="S1561" i="2"/>
  <c r="U1561" i="2"/>
  <c r="S1559" i="2"/>
  <c r="U1559" i="2"/>
  <c r="S1547" i="2"/>
  <c r="U1547" i="2"/>
  <c r="U1538" i="2"/>
  <c r="S1538" i="2"/>
  <c r="S1529" i="2"/>
  <c r="U1529" i="2"/>
  <c r="S1527" i="2"/>
  <c r="U1527" i="2"/>
  <c r="S1515" i="2"/>
  <c r="U1515" i="2"/>
  <c r="U1506" i="2"/>
  <c r="S1506" i="2"/>
  <c r="S1497" i="2"/>
  <c r="U1497" i="2"/>
  <c r="S1495" i="2"/>
  <c r="U1495" i="2"/>
  <c r="U1488" i="2"/>
  <c r="S1488" i="2"/>
  <c r="U1484" i="2"/>
  <c r="S1484" i="2"/>
  <c r="U1480" i="2"/>
  <c r="S1480" i="2"/>
  <c r="U1476" i="2"/>
  <c r="S1476" i="2"/>
  <c r="U1472" i="2"/>
  <c r="S1472" i="2"/>
  <c r="U1468" i="2"/>
  <c r="S1468" i="2"/>
  <c r="U1464" i="2"/>
  <c r="S1464" i="2"/>
  <c r="U1460" i="2"/>
  <c r="S1460" i="2"/>
  <c r="U1456" i="2"/>
  <c r="S1456" i="2"/>
  <c r="U1452" i="2"/>
  <c r="S1452" i="2"/>
  <c r="U1448" i="2"/>
  <c r="S1448" i="2"/>
  <c r="U1444" i="2"/>
  <c r="S1444" i="2"/>
  <c r="U1440" i="2"/>
  <c r="S1440" i="2"/>
  <c r="U1436" i="2"/>
  <c r="S1436" i="2"/>
  <c r="U1432" i="2"/>
  <c r="S1432" i="2"/>
  <c r="U1428" i="2"/>
  <c r="S1428" i="2"/>
  <c r="U1424" i="2"/>
  <c r="S1424" i="2"/>
  <c r="U1420" i="2"/>
  <c r="S1420" i="2"/>
  <c r="U1416" i="2"/>
  <c r="S1416" i="2"/>
  <c r="U1412" i="2"/>
  <c r="S1412" i="2"/>
  <c r="U1408" i="2"/>
  <c r="S1408" i="2"/>
  <c r="U1404" i="2"/>
  <c r="S1404" i="2"/>
  <c r="U1400" i="2"/>
  <c r="S1400" i="2"/>
  <c r="U1396" i="2"/>
  <c r="S1396" i="2"/>
  <c r="U1392" i="2"/>
  <c r="S1392" i="2"/>
  <c r="U1388" i="2"/>
  <c r="S1388" i="2"/>
  <c r="U1384" i="2"/>
  <c r="S1384" i="2"/>
  <c r="U1380" i="2"/>
  <c r="S1380" i="2"/>
  <c r="U1376" i="2"/>
  <c r="S1376" i="2"/>
  <c r="U1372" i="2"/>
  <c r="S1372" i="2"/>
  <c r="U1368" i="2"/>
  <c r="S1368" i="2"/>
  <c r="U1364" i="2"/>
  <c r="S1364" i="2"/>
  <c r="U1360" i="2"/>
  <c r="S1360" i="2"/>
  <c r="U1356" i="2"/>
  <c r="S1356" i="2"/>
  <c r="U1352" i="2"/>
  <c r="S1352" i="2"/>
  <c r="U1348" i="2"/>
  <c r="S1348" i="2"/>
  <c r="U1344" i="2"/>
  <c r="S1344" i="2"/>
  <c r="S1762" i="2"/>
  <c r="U1762" i="2"/>
  <c r="S1571" i="2"/>
  <c r="U1571" i="2"/>
  <c r="U1562" i="2"/>
  <c r="S1562" i="2"/>
  <c r="S1553" i="2"/>
  <c r="U1553" i="2"/>
  <c r="S1551" i="2"/>
  <c r="U1551" i="2"/>
  <c r="S1539" i="2"/>
  <c r="U1539" i="2"/>
  <c r="U1530" i="2"/>
  <c r="S1530" i="2"/>
  <c r="S1521" i="2"/>
  <c r="U1521" i="2"/>
  <c r="S1519" i="2"/>
  <c r="U1519" i="2"/>
  <c r="S1507" i="2"/>
  <c r="U1507" i="2"/>
  <c r="U1498" i="2"/>
  <c r="S1498" i="2"/>
  <c r="S1489" i="2"/>
  <c r="U1489" i="2"/>
  <c r="S1485" i="2"/>
  <c r="U1485" i="2"/>
  <c r="S1481" i="2"/>
  <c r="U1481" i="2"/>
  <c r="S1477" i="2"/>
  <c r="U1477" i="2"/>
  <c r="S1473" i="2"/>
  <c r="U1473" i="2"/>
  <c r="S1469" i="2"/>
  <c r="U1469" i="2"/>
  <c r="S1465" i="2"/>
  <c r="U1465" i="2"/>
  <c r="S1461" i="2"/>
  <c r="U1461" i="2"/>
  <c r="S1457" i="2"/>
  <c r="U1457" i="2"/>
  <c r="S1453" i="2"/>
  <c r="U1453" i="2"/>
  <c r="S1449" i="2"/>
  <c r="U1449" i="2"/>
  <c r="S1445" i="2"/>
  <c r="U1445" i="2"/>
  <c r="S1441" i="2"/>
  <c r="U1441" i="2"/>
  <c r="S1437" i="2"/>
  <c r="U1437" i="2"/>
  <c r="S1433" i="2"/>
  <c r="U1433" i="2"/>
  <c r="S1429" i="2"/>
  <c r="U1429" i="2"/>
  <c r="S1425" i="2"/>
  <c r="U1425" i="2"/>
  <c r="S1421" i="2"/>
  <c r="U1421" i="2"/>
  <c r="S1417" i="2"/>
  <c r="U1417" i="2"/>
  <c r="S1413" i="2"/>
  <c r="U1413" i="2"/>
  <c r="S1409" i="2"/>
  <c r="U1409" i="2"/>
  <c r="S1405" i="2"/>
  <c r="U1405" i="2"/>
  <c r="S1401" i="2"/>
  <c r="U1401" i="2"/>
  <c r="S1397" i="2"/>
  <c r="U1397" i="2"/>
  <c r="S1393" i="2"/>
  <c r="U1393" i="2"/>
  <c r="S1389" i="2"/>
  <c r="U1389" i="2"/>
  <c r="S1385" i="2"/>
  <c r="U1385" i="2"/>
  <c r="S1381" i="2"/>
  <c r="U1381" i="2"/>
  <c r="S1377" i="2"/>
  <c r="U1377" i="2"/>
  <c r="S1373" i="2"/>
  <c r="U1373" i="2"/>
  <c r="S1369" i="2"/>
  <c r="U1369" i="2"/>
  <c r="S1365" i="2"/>
  <c r="U1365" i="2"/>
  <c r="S1361" i="2"/>
  <c r="U1361" i="2"/>
  <c r="S1357" i="2"/>
  <c r="U1357" i="2"/>
  <c r="S1353" i="2"/>
  <c r="U1353" i="2"/>
  <c r="S1349" i="2"/>
  <c r="U1349" i="2"/>
  <c r="S1345" i="2"/>
  <c r="U1345" i="2"/>
  <c r="U1696" i="2"/>
  <c r="U1694" i="2"/>
  <c r="U1692" i="2"/>
  <c r="U1690" i="2"/>
  <c r="U1688" i="2"/>
  <c r="U1686" i="2"/>
  <c r="U1684" i="2"/>
  <c r="U1682" i="2"/>
  <c r="U1680" i="2"/>
  <c r="U1678" i="2"/>
  <c r="U1676" i="2"/>
  <c r="U1674" i="2"/>
  <c r="U1672" i="2"/>
  <c r="U1670" i="2"/>
  <c r="U1668" i="2"/>
  <c r="U1666" i="2"/>
  <c r="U1664" i="2"/>
  <c r="U1662" i="2"/>
  <c r="U1660" i="2"/>
  <c r="U1658" i="2"/>
  <c r="U1656" i="2"/>
  <c r="U1654" i="2"/>
  <c r="U1652" i="2"/>
  <c r="U1650" i="2"/>
  <c r="U1648" i="2"/>
  <c r="U1646" i="2"/>
  <c r="U1644" i="2"/>
  <c r="U1642" i="2"/>
  <c r="U1640" i="2"/>
  <c r="U1638" i="2"/>
  <c r="U1636" i="2"/>
  <c r="U1634" i="2"/>
  <c r="U1632" i="2"/>
  <c r="U1630" i="2"/>
  <c r="U1628" i="2"/>
  <c r="U1626" i="2"/>
  <c r="U1624" i="2"/>
  <c r="U1622" i="2"/>
  <c r="U1620" i="2"/>
  <c r="U1618" i="2"/>
  <c r="U1616" i="2"/>
  <c r="U1614" i="2"/>
  <c r="U1612" i="2"/>
  <c r="U1610" i="2"/>
  <c r="U1608" i="2"/>
  <c r="U1606" i="2"/>
  <c r="U1604" i="2"/>
  <c r="U1602" i="2"/>
  <c r="U1600" i="2"/>
  <c r="U1598" i="2"/>
  <c r="U1596" i="2"/>
  <c r="U1594" i="2"/>
  <c r="U1592" i="2"/>
  <c r="U1590" i="2"/>
  <c r="U1588" i="2"/>
  <c r="U1586" i="2"/>
  <c r="U1583" i="2"/>
  <c r="S1340" i="2"/>
  <c r="S1338" i="2"/>
  <c r="S1336" i="2"/>
  <c r="S1334" i="2"/>
  <c r="S1332" i="2"/>
  <c r="S1330" i="2"/>
  <c r="S1328" i="2"/>
  <c r="S1326" i="2"/>
  <c r="S1324" i="2"/>
  <c r="S1322" i="2"/>
  <c r="S1320" i="2"/>
  <c r="S1318" i="2"/>
  <c r="S1316" i="2"/>
  <c r="S1314" i="2"/>
  <c r="S1312" i="2"/>
  <c r="S1310" i="2"/>
  <c r="S1308" i="2"/>
  <c r="S1306" i="2"/>
  <c r="S1304" i="2"/>
  <c r="S1302" i="2"/>
  <c r="S1300" i="2"/>
  <c r="S1298" i="2"/>
  <c r="S1296" i="2"/>
  <c r="S1294" i="2"/>
  <c r="S1292" i="2"/>
  <c r="S1290" i="2"/>
  <c r="S1288" i="2"/>
  <c r="S1286" i="2"/>
  <c r="S1284" i="2"/>
  <c r="S1282" i="2"/>
  <c r="S1280" i="2"/>
  <c r="S1278" i="2"/>
  <c r="S1276" i="2"/>
  <c r="S1274" i="2"/>
  <c r="S1272" i="2"/>
  <c r="S1270" i="2"/>
  <c r="S1268" i="2"/>
  <c r="S1266" i="2"/>
  <c r="S1264" i="2"/>
  <c r="S1262" i="2"/>
  <c r="S1260" i="2"/>
  <c r="S1258" i="2"/>
  <c r="S1256" i="2"/>
  <c r="S1254" i="2"/>
  <c r="S1252" i="2"/>
  <c r="S1250" i="2"/>
  <c r="S1248" i="2"/>
  <c r="S1243" i="2"/>
  <c r="U1243" i="2"/>
  <c r="S1574" i="2"/>
  <c r="S1566" i="2"/>
  <c r="S1558" i="2"/>
  <c r="S1550" i="2"/>
  <c r="S1542" i="2"/>
  <c r="S1534" i="2"/>
  <c r="S1526" i="2"/>
  <c r="S1518" i="2"/>
  <c r="S1510" i="2"/>
  <c r="S1502" i="2"/>
  <c r="S1494" i="2"/>
  <c r="U1341" i="2"/>
  <c r="U1339" i="2"/>
  <c r="U1337" i="2"/>
  <c r="U1335" i="2"/>
  <c r="U1333" i="2"/>
  <c r="U1331" i="2"/>
  <c r="U1329" i="2"/>
  <c r="U1327" i="2"/>
  <c r="U1325" i="2"/>
  <c r="U1323" i="2"/>
  <c r="U1321" i="2"/>
  <c r="U1319" i="2"/>
  <c r="U1317" i="2"/>
  <c r="U1315" i="2"/>
  <c r="U1313" i="2"/>
  <c r="U1311" i="2"/>
  <c r="U1309" i="2"/>
  <c r="U1307" i="2"/>
  <c r="U1305" i="2"/>
  <c r="U1303" i="2"/>
  <c r="U1301" i="2"/>
  <c r="U1299" i="2"/>
  <c r="U1297" i="2"/>
  <c r="U1295" i="2"/>
  <c r="U1293" i="2"/>
  <c r="U1291" i="2"/>
  <c r="U1289" i="2"/>
  <c r="U1287" i="2"/>
  <c r="U1285" i="2"/>
  <c r="U1283" i="2"/>
  <c r="U1281" i="2"/>
  <c r="U1279" i="2"/>
  <c r="U1277" i="2"/>
  <c r="U1275" i="2"/>
  <c r="U1273" i="2"/>
  <c r="U1271" i="2"/>
  <c r="U1269" i="2"/>
  <c r="U1267" i="2"/>
  <c r="U1265" i="2"/>
  <c r="U1263" i="2"/>
  <c r="U1261" i="2"/>
  <c r="U1259" i="2"/>
  <c r="U1257" i="2"/>
  <c r="U1255" i="2"/>
  <c r="U1253" i="2"/>
  <c r="U1251" i="2"/>
  <c r="U1249" i="2"/>
  <c r="U1247" i="2"/>
  <c r="S1240" i="2"/>
  <c r="U1240" i="2"/>
  <c r="U1239" i="2"/>
  <c r="S1239" i="2"/>
  <c r="S1238" i="2"/>
  <c r="U1238" i="2"/>
  <c r="U1237" i="2"/>
  <c r="S1237" i="2"/>
  <c r="S1236" i="2"/>
  <c r="U1236" i="2"/>
  <c r="U1235" i="2"/>
  <c r="S1235" i="2"/>
  <c r="S1234" i="2"/>
  <c r="U1234" i="2"/>
  <c r="U1233" i="2"/>
  <c r="S1233" i="2"/>
  <c r="S1232" i="2"/>
  <c r="U1232" i="2"/>
  <c r="U1231" i="2"/>
  <c r="S1231" i="2"/>
  <c r="S1230" i="2"/>
  <c r="U1230" i="2"/>
  <c r="U1229" i="2"/>
  <c r="S1229" i="2"/>
  <c r="S1228" i="2"/>
  <c r="U1228" i="2"/>
  <c r="U1227" i="2"/>
  <c r="S1227" i="2"/>
  <c r="S1226" i="2"/>
  <c r="U1226" i="2"/>
  <c r="U1225" i="2"/>
  <c r="S1225" i="2"/>
  <c r="S1224" i="2"/>
  <c r="U1224" i="2"/>
  <c r="U1223" i="2"/>
  <c r="S1223" i="2"/>
  <c r="S1222" i="2"/>
  <c r="U1222" i="2"/>
  <c r="U1221" i="2"/>
  <c r="S1221" i="2"/>
  <c r="S1220" i="2"/>
  <c r="U1220" i="2"/>
  <c r="U1219" i="2"/>
  <c r="S1219" i="2"/>
  <c r="S1218" i="2"/>
  <c r="U1218" i="2"/>
  <c r="U1217" i="2"/>
  <c r="S1217" i="2"/>
  <c r="S1216" i="2"/>
  <c r="U1216" i="2"/>
  <c r="U1215" i="2"/>
  <c r="S1215" i="2"/>
  <c r="S1214" i="2"/>
  <c r="U1214" i="2"/>
  <c r="U1213" i="2"/>
  <c r="S1213" i="2"/>
  <c r="S1212" i="2"/>
  <c r="U1212" i="2"/>
  <c r="U1211" i="2"/>
  <c r="S1211" i="2"/>
  <c r="S1210" i="2"/>
  <c r="U1210" i="2"/>
  <c r="U1209" i="2"/>
  <c r="S1209" i="2"/>
  <c r="S1208" i="2"/>
  <c r="U1208" i="2"/>
  <c r="U1207" i="2"/>
  <c r="S1207" i="2"/>
  <c r="S1206" i="2"/>
  <c r="U1206" i="2"/>
  <c r="U1205" i="2"/>
  <c r="S1205" i="2"/>
  <c r="S1204" i="2"/>
  <c r="U1204" i="2"/>
  <c r="U1203" i="2"/>
  <c r="S1203" i="2"/>
  <c r="S1202" i="2"/>
  <c r="U1202" i="2"/>
  <c r="U1201" i="2"/>
  <c r="S1201" i="2"/>
  <c r="S1200" i="2"/>
  <c r="U1200" i="2"/>
  <c r="U1199" i="2"/>
  <c r="S1199" i="2"/>
  <c r="S1198" i="2"/>
  <c r="U1198" i="2"/>
  <c r="U1197" i="2"/>
  <c r="S1197" i="2"/>
  <c r="S1196" i="2"/>
  <c r="U1196" i="2"/>
  <c r="U1195" i="2"/>
  <c r="S1195" i="2"/>
  <c r="S1194" i="2"/>
  <c r="U1194" i="2"/>
  <c r="U1193" i="2"/>
  <c r="S1193" i="2"/>
  <c r="S1192" i="2"/>
  <c r="U1192" i="2"/>
  <c r="U1191" i="2"/>
  <c r="S1191" i="2"/>
  <c r="S1190" i="2"/>
  <c r="U1190" i="2"/>
  <c r="U1189" i="2"/>
  <c r="S1189" i="2"/>
  <c r="S1188" i="2"/>
  <c r="U1188" i="2"/>
  <c r="U1187" i="2"/>
  <c r="S1187" i="2"/>
  <c r="S1186" i="2"/>
  <c r="U1186" i="2"/>
  <c r="U1185" i="2"/>
  <c r="S1185" i="2"/>
  <c r="S1184" i="2"/>
  <c r="U1184" i="2"/>
  <c r="U1183" i="2"/>
  <c r="S1183" i="2"/>
  <c r="S1182" i="2"/>
  <c r="U1182" i="2"/>
  <c r="U1181" i="2"/>
  <c r="S1181" i="2"/>
  <c r="S1180" i="2"/>
  <c r="U1180" i="2"/>
  <c r="U1179" i="2"/>
  <c r="S1179" i="2"/>
  <c r="S1178" i="2"/>
  <c r="U1178" i="2"/>
  <c r="U1177" i="2"/>
  <c r="S1177" i="2"/>
  <c r="S1176" i="2"/>
  <c r="U1176" i="2"/>
  <c r="U1175" i="2"/>
  <c r="S1175" i="2"/>
  <c r="S1174" i="2"/>
  <c r="U1174" i="2"/>
  <c r="U1173" i="2"/>
  <c r="S1173" i="2"/>
  <c r="S1172" i="2"/>
  <c r="U1172" i="2"/>
  <c r="U1171" i="2"/>
  <c r="S1171" i="2"/>
  <c r="S1170" i="2"/>
  <c r="U1170" i="2"/>
  <c r="U1169" i="2"/>
  <c r="S1169" i="2"/>
  <c r="S1168" i="2"/>
  <c r="U1168" i="2"/>
  <c r="U1167" i="2"/>
  <c r="S1167" i="2"/>
  <c r="S1166" i="2"/>
  <c r="U1166" i="2"/>
  <c r="U1165" i="2"/>
  <c r="S1165" i="2"/>
  <c r="S1164" i="2"/>
  <c r="U1164" i="2"/>
  <c r="U1163" i="2"/>
  <c r="S1163" i="2"/>
  <c r="S1162" i="2"/>
  <c r="U1162" i="2"/>
  <c r="U1161" i="2"/>
  <c r="S1161" i="2"/>
  <c r="S1160" i="2"/>
  <c r="U1160" i="2"/>
  <c r="U1159" i="2"/>
  <c r="S1159" i="2"/>
  <c r="S1158" i="2"/>
  <c r="U1158" i="2"/>
  <c r="U1157" i="2"/>
  <c r="S1157" i="2"/>
  <c r="S1156" i="2"/>
  <c r="U1156" i="2"/>
  <c r="U1155" i="2"/>
  <c r="S1155" i="2"/>
  <c r="S1154" i="2"/>
  <c r="U1154" i="2"/>
  <c r="U1153" i="2"/>
  <c r="S1153" i="2"/>
  <c r="S1152" i="2"/>
  <c r="U1152" i="2"/>
  <c r="U1151" i="2"/>
  <c r="S1151" i="2"/>
  <c r="S1150" i="2"/>
  <c r="U1150" i="2"/>
  <c r="U1149" i="2"/>
  <c r="S1149" i="2"/>
  <c r="S1148" i="2"/>
  <c r="U1148" i="2"/>
  <c r="U1147" i="2"/>
  <c r="S1147" i="2"/>
  <c r="S1146" i="2"/>
  <c r="U1146" i="2"/>
  <c r="U1145" i="2"/>
  <c r="S1145" i="2"/>
  <c r="S1144" i="2"/>
  <c r="U1144" i="2"/>
  <c r="U1143" i="2"/>
  <c r="S1143" i="2"/>
  <c r="S1142" i="2"/>
  <c r="U1142" i="2"/>
  <c r="U1141" i="2"/>
  <c r="S1141" i="2"/>
  <c r="S1140" i="2"/>
  <c r="U1140" i="2"/>
  <c r="U1139" i="2"/>
  <c r="S1139" i="2"/>
  <c r="S1138" i="2"/>
  <c r="U1138" i="2"/>
  <c r="U1137" i="2"/>
  <c r="S1137" i="2"/>
  <c r="S1136" i="2"/>
  <c r="U1136" i="2"/>
  <c r="U1135" i="2"/>
  <c r="S1135" i="2"/>
  <c r="S1134" i="2"/>
  <c r="U1134" i="2"/>
  <c r="U1133" i="2"/>
  <c r="S1133" i="2"/>
  <c r="S1132" i="2"/>
  <c r="U1132" i="2"/>
  <c r="U1131" i="2"/>
  <c r="S1131" i="2"/>
  <c r="S1130" i="2"/>
  <c r="U1130" i="2"/>
  <c r="U1129" i="2"/>
  <c r="S1129" i="2"/>
  <c r="S1128" i="2"/>
  <c r="U1128" i="2"/>
  <c r="U1127" i="2"/>
  <c r="S1127" i="2"/>
  <c r="S1126" i="2"/>
  <c r="U1126" i="2"/>
  <c r="U1125" i="2"/>
  <c r="S1125" i="2"/>
  <c r="S1124" i="2"/>
  <c r="U1124" i="2"/>
  <c r="U1123" i="2"/>
  <c r="S1123" i="2"/>
  <c r="S1122" i="2"/>
  <c r="U1122" i="2"/>
  <c r="S1120" i="2"/>
  <c r="U1120" i="2"/>
  <c r="S1118" i="2"/>
  <c r="U1118" i="2"/>
  <c r="S1116" i="2"/>
  <c r="U1116" i="2"/>
  <c r="S1114" i="2"/>
  <c r="U1114" i="2"/>
  <c r="S1112" i="2"/>
  <c r="U1112" i="2"/>
  <c r="S1110" i="2"/>
  <c r="U1110" i="2"/>
  <c r="S1108" i="2"/>
  <c r="U1108" i="2"/>
  <c r="S1106" i="2"/>
  <c r="U1106" i="2"/>
  <c r="S1104" i="2"/>
  <c r="U1104" i="2"/>
  <c r="S973" i="2"/>
  <c r="U973" i="2"/>
  <c r="S965" i="2"/>
  <c r="U965" i="2"/>
  <c r="S957" i="2"/>
  <c r="U957" i="2"/>
  <c r="S949" i="2"/>
  <c r="U949" i="2"/>
  <c r="S941" i="2"/>
  <c r="U941" i="2"/>
  <c r="S933" i="2"/>
  <c r="U933" i="2"/>
  <c r="S925" i="2"/>
  <c r="U925" i="2"/>
  <c r="S917" i="2"/>
  <c r="U917" i="2"/>
  <c r="S909" i="2"/>
  <c r="U909" i="2"/>
  <c r="S901" i="2"/>
  <c r="U901" i="2"/>
  <c r="S967" i="2"/>
  <c r="U967" i="2"/>
  <c r="S959" i="2"/>
  <c r="U959" i="2"/>
  <c r="S951" i="2"/>
  <c r="U951" i="2"/>
  <c r="S943" i="2"/>
  <c r="U943" i="2"/>
  <c r="S935" i="2"/>
  <c r="U935" i="2"/>
  <c r="S927" i="2"/>
  <c r="U927" i="2"/>
  <c r="S919" i="2"/>
  <c r="U919" i="2"/>
  <c r="S911" i="2"/>
  <c r="U911" i="2"/>
  <c r="S903" i="2"/>
  <c r="U903" i="2"/>
  <c r="S1246" i="2"/>
  <c r="U1245" i="2"/>
  <c r="S1242" i="2"/>
  <c r="U1241" i="2"/>
  <c r="S969" i="2"/>
  <c r="U969" i="2"/>
  <c r="S961" i="2"/>
  <c r="U961" i="2"/>
  <c r="S953" i="2"/>
  <c r="U953" i="2"/>
  <c r="S945" i="2"/>
  <c r="U945" i="2"/>
  <c r="S937" i="2"/>
  <c r="U937" i="2"/>
  <c r="S929" i="2"/>
  <c r="U929" i="2"/>
  <c r="S921" i="2"/>
  <c r="U921" i="2"/>
  <c r="S913" i="2"/>
  <c r="U913" i="2"/>
  <c r="S905" i="2"/>
  <c r="U905" i="2"/>
  <c r="S971" i="2"/>
  <c r="U971" i="2"/>
  <c r="S963" i="2"/>
  <c r="U963" i="2"/>
  <c r="S955" i="2"/>
  <c r="U955" i="2"/>
  <c r="S947" i="2"/>
  <c r="U947" i="2"/>
  <c r="S939" i="2"/>
  <c r="U939" i="2"/>
  <c r="S931" i="2"/>
  <c r="U931" i="2"/>
  <c r="S923" i="2"/>
  <c r="U923" i="2"/>
  <c r="S915" i="2"/>
  <c r="U915" i="2"/>
  <c r="S907" i="2"/>
  <c r="U907" i="2"/>
  <c r="S899" i="2"/>
  <c r="U899" i="2"/>
  <c r="S844" i="2"/>
  <c r="U844" i="2"/>
  <c r="U843" i="2"/>
  <c r="S843" i="2"/>
  <c r="S836" i="2"/>
  <c r="U836" i="2"/>
  <c r="U835" i="2"/>
  <c r="S835" i="2"/>
  <c r="S828" i="2"/>
  <c r="U828" i="2"/>
  <c r="U827" i="2"/>
  <c r="S827" i="2"/>
  <c r="S820" i="2"/>
  <c r="U820" i="2"/>
  <c r="U819" i="2"/>
  <c r="S819" i="2"/>
  <c r="S812" i="2"/>
  <c r="U812" i="2"/>
  <c r="U811" i="2"/>
  <c r="S811" i="2"/>
  <c r="S804" i="2"/>
  <c r="U804" i="2"/>
  <c r="S803" i="2"/>
  <c r="U803" i="2"/>
  <c r="U802" i="2"/>
  <c r="S802" i="2"/>
  <c r="S801" i="2"/>
  <c r="U801" i="2"/>
  <c r="U800" i="2"/>
  <c r="S800" i="2"/>
  <c r="S799" i="2"/>
  <c r="U799" i="2"/>
  <c r="U798" i="2"/>
  <c r="S798" i="2"/>
  <c r="S797" i="2"/>
  <c r="U797" i="2"/>
  <c r="U796" i="2"/>
  <c r="S796" i="2"/>
  <c r="S795" i="2"/>
  <c r="U795" i="2"/>
  <c r="U794" i="2"/>
  <c r="S794" i="2"/>
  <c r="S793" i="2"/>
  <c r="U793" i="2"/>
  <c r="U792" i="2"/>
  <c r="S792" i="2"/>
  <c r="S791" i="2"/>
  <c r="U791" i="2"/>
  <c r="U790" i="2"/>
  <c r="S790" i="2"/>
  <c r="S789" i="2"/>
  <c r="U789" i="2"/>
  <c r="U788" i="2"/>
  <c r="S788" i="2"/>
  <c r="S787" i="2"/>
  <c r="U787" i="2"/>
  <c r="U786" i="2"/>
  <c r="S786" i="2"/>
  <c r="S785" i="2"/>
  <c r="U785" i="2"/>
  <c r="U784" i="2"/>
  <c r="S784" i="2"/>
  <c r="S783" i="2"/>
  <c r="U783" i="2"/>
  <c r="U782" i="2"/>
  <c r="S782" i="2"/>
  <c r="S781" i="2"/>
  <c r="U781" i="2"/>
  <c r="U780" i="2"/>
  <c r="S780" i="2"/>
  <c r="S779" i="2"/>
  <c r="U779" i="2"/>
  <c r="U778" i="2"/>
  <c r="S778" i="2"/>
  <c r="S777" i="2"/>
  <c r="U777" i="2"/>
  <c r="U776" i="2"/>
  <c r="S776" i="2"/>
  <c r="S775" i="2"/>
  <c r="U775" i="2"/>
  <c r="U774" i="2"/>
  <c r="S774" i="2"/>
  <c r="S773" i="2"/>
  <c r="U773" i="2"/>
  <c r="U772" i="2"/>
  <c r="S772" i="2"/>
  <c r="S771" i="2"/>
  <c r="U771" i="2"/>
  <c r="S1121" i="2"/>
  <c r="S1119" i="2"/>
  <c r="S1117" i="2"/>
  <c r="S1115" i="2"/>
  <c r="S1113" i="2"/>
  <c r="S1111" i="2"/>
  <c r="S1109" i="2"/>
  <c r="S1107" i="2"/>
  <c r="S1105" i="2"/>
  <c r="S1103" i="2"/>
  <c r="U1102" i="2"/>
  <c r="S1101" i="2"/>
  <c r="U1100" i="2"/>
  <c r="S1099" i="2"/>
  <c r="U1098" i="2"/>
  <c r="S1097" i="2"/>
  <c r="U1096" i="2"/>
  <c r="S1095" i="2"/>
  <c r="U1094" i="2"/>
  <c r="S1093" i="2"/>
  <c r="U1092" i="2"/>
  <c r="S1091" i="2"/>
  <c r="U1090" i="2"/>
  <c r="S1089" i="2"/>
  <c r="U1088" i="2"/>
  <c r="S1087" i="2"/>
  <c r="U1086" i="2"/>
  <c r="S1085" i="2"/>
  <c r="U1084" i="2"/>
  <c r="S1083" i="2"/>
  <c r="U1082" i="2"/>
  <c r="S1081" i="2"/>
  <c r="U1080" i="2"/>
  <c r="S1079" i="2"/>
  <c r="U1078" i="2"/>
  <c r="S1077" i="2"/>
  <c r="U1076" i="2"/>
  <c r="S1075" i="2"/>
  <c r="U1074" i="2"/>
  <c r="S1073" i="2"/>
  <c r="U1072" i="2"/>
  <c r="S1071" i="2"/>
  <c r="U1070" i="2"/>
  <c r="S1069" i="2"/>
  <c r="U1068" i="2"/>
  <c r="S1067" i="2"/>
  <c r="U1066" i="2"/>
  <c r="S1065" i="2"/>
  <c r="U1064" i="2"/>
  <c r="S1063" i="2"/>
  <c r="U1062" i="2"/>
  <c r="S1061" i="2"/>
  <c r="U1060" i="2"/>
  <c r="S1059" i="2"/>
  <c r="U1058" i="2"/>
  <c r="S1057" i="2"/>
  <c r="U1056" i="2"/>
  <c r="S1055" i="2"/>
  <c r="U1054" i="2"/>
  <c r="S1053" i="2"/>
  <c r="U1052" i="2"/>
  <c r="S1051" i="2"/>
  <c r="U1050" i="2"/>
  <c r="S1049" i="2"/>
  <c r="U1048" i="2"/>
  <c r="S1047" i="2"/>
  <c r="U1046" i="2"/>
  <c r="S1045" i="2"/>
  <c r="U1044" i="2"/>
  <c r="S1043" i="2"/>
  <c r="U1042" i="2"/>
  <c r="S1041" i="2"/>
  <c r="U1040" i="2"/>
  <c r="S1039" i="2"/>
  <c r="U1038" i="2"/>
  <c r="S1037" i="2"/>
  <c r="U1036" i="2"/>
  <c r="S1035" i="2"/>
  <c r="U1034" i="2"/>
  <c r="S1033" i="2"/>
  <c r="U1032" i="2"/>
  <c r="S1031" i="2"/>
  <c r="U1030" i="2"/>
  <c r="S1029" i="2"/>
  <c r="U1028" i="2"/>
  <c r="S1027" i="2"/>
  <c r="U1026" i="2"/>
  <c r="S1025" i="2"/>
  <c r="U1024" i="2"/>
  <c r="S1023" i="2"/>
  <c r="U1022" i="2"/>
  <c r="S1021" i="2"/>
  <c r="U1020" i="2"/>
  <c r="S1019" i="2"/>
  <c r="U1018" i="2"/>
  <c r="S1017" i="2"/>
  <c r="U1016" i="2"/>
  <c r="S1015" i="2"/>
  <c r="U1014" i="2"/>
  <c r="S1013" i="2"/>
  <c r="U1012" i="2"/>
  <c r="S1011" i="2"/>
  <c r="U1010" i="2"/>
  <c r="S1009" i="2"/>
  <c r="U1008" i="2"/>
  <c r="S1007" i="2"/>
  <c r="U1006" i="2"/>
  <c r="S1005" i="2"/>
  <c r="U1004" i="2"/>
  <c r="S1003" i="2"/>
  <c r="U1002" i="2"/>
  <c r="S1001" i="2"/>
  <c r="U1000" i="2"/>
  <c r="S999" i="2"/>
  <c r="U998" i="2"/>
  <c r="S997" i="2"/>
  <c r="U996" i="2"/>
  <c r="S995" i="2"/>
  <c r="U994" i="2"/>
  <c r="S993" i="2"/>
  <c r="U992" i="2"/>
  <c r="S991" i="2"/>
  <c r="U990" i="2"/>
  <c r="S989" i="2"/>
  <c r="U988" i="2"/>
  <c r="S987" i="2"/>
  <c r="U986" i="2"/>
  <c r="S985" i="2"/>
  <c r="U984" i="2"/>
  <c r="S983" i="2"/>
  <c r="U982" i="2"/>
  <c r="S981" i="2"/>
  <c r="U980" i="2"/>
  <c r="S979" i="2"/>
  <c r="U978" i="2"/>
  <c r="S977" i="2"/>
  <c r="U976" i="2"/>
  <c r="S975" i="2"/>
  <c r="U974" i="2"/>
  <c r="S972" i="2"/>
  <c r="S968" i="2"/>
  <c r="S964" i="2"/>
  <c r="S960" i="2"/>
  <c r="S956" i="2"/>
  <c r="S952" i="2"/>
  <c r="S948" i="2"/>
  <c r="S944" i="2"/>
  <c r="S940" i="2"/>
  <c r="S936" i="2"/>
  <c r="S932" i="2"/>
  <c r="S928" i="2"/>
  <c r="S924" i="2"/>
  <c r="S920" i="2"/>
  <c r="S916" i="2"/>
  <c r="S912" i="2"/>
  <c r="S908" i="2"/>
  <c r="S904" i="2"/>
  <c r="S900" i="2"/>
  <c r="S894" i="2"/>
  <c r="S886" i="2"/>
  <c r="S878" i="2"/>
  <c r="S870" i="2"/>
  <c r="S862" i="2"/>
  <c r="S854" i="2"/>
  <c r="S846" i="2"/>
  <c r="U846" i="2"/>
  <c r="U845" i="2"/>
  <c r="S845" i="2"/>
  <c r="S838" i="2"/>
  <c r="U838" i="2"/>
  <c r="U837" i="2"/>
  <c r="S837" i="2"/>
  <c r="S830" i="2"/>
  <c r="U830" i="2"/>
  <c r="U829" i="2"/>
  <c r="S829" i="2"/>
  <c r="S822" i="2"/>
  <c r="U822" i="2"/>
  <c r="U821" i="2"/>
  <c r="S821" i="2"/>
  <c r="S814" i="2"/>
  <c r="U814" i="2"/>
  <c r="U813" i="2"/>
  <c r="S813" i="2"/>
  <c r="S806" i="2"/>
  <c r="U806" i="2"/>
  <c r="U805" i="2"/>
  <c r="S805" i="2"/>
  <c r="U891" i="2"/>
  <c r="U883" i="2"/>
  <c r="U875" i="2"/>
  <c r="U867" i="2"/>
  <c r="U859" i="2"/>
  <c r="U851" i="2"/>
  <c r="S848" i="2"/>
  <c r="U848" i="2"/>
  <c r="U847" i="2"/>
  <c r="S847" i="2"/>
  <c r="S840" i="2"/>
  <c r="U840" i="2"/>
  <c r="U839" i="2"/>
  <c r="S839" i="2"/>
  <c r="S832" i="2"/>
  <c r="U832" i="2"/>
  <c r="U831" i="2"/>
  <c r="S831" i="2"/>
  <c r="S824" i="2"/>
  <c r="U824" i="2"/>
  <c r="U823" i="2"/>
  <c r="S823" i="2"/>
  <c r="S816" i="2"/>
  <c r="U816" i="2"/>
  <c r="U815" i="2"/>
  <c r="S815" i="2"/>
  <c r="S808" i="2"/>
  <c r="U808" i="2"/>
  <c r="U807" i="2"/>
  <c r="S807" i="2"/>
  <c r="S970" i="2"/>
  <c r="S966" i="2"/>
  <c r="S962" i="2"/>
  <c r="S958" i="2"/>
  <c r="S954" i="2"/>
  <c r="S950" i="2"/>
  <c r="S946" i="2"/>
  <c r="S942" i="2"/>
  <c r="S938" i="2"/>
  <c r="S934" i="2"/>
  <c r="S930" i="2"/>
  <c r="S926" i="2"/>
  <c r="S922" i="2"/>
  <c r="S918" i="2"/>
  <c r="S914" i="2"/>
  <c r="S910" i="2"/>
  <c r="S906" i="2"/>
  <c r="S902" i="2"/>
  <c r="S898" i="2"/>
  <c r="U897" i="2"/>
  <c r="S890" i="2"/>
  <c r="U889" i="2"/>
  <c r="S882" i="2"/>
  <c r="U881" i="2"/>
  <c r="S874" i="2"/>
  <c r="U873" i="2"/>
  <c r="S866" i="2"/>
  <c r="S858" i="2"/>
  <c r="U857" i="2"/>
  <c r="S850" i="2"/>
  <c r="U850" i="2"/>
  <c r="U849" i="2"/>
  <c r="S849" i="2"/>
  <c r="S842" i="2"/>
  <c r="U842" i="2"/>
  <c r="U841" i="2"/>
  <c r="S841" i="2"/>
  <c r="S834" i="2"/>
  <c r="U834" i="2"/>
  <c r="U833" i="2"/>
  <c r="S833" i="2"/>
  <c r="S826" i="2"/>
  <c r="U826" i="2"/>
  <c r="U825" i="2"/>
  <c r="S825" i="2"/>
  <c r="S818" i="2"/>
  <c r="U818" i="2"/>
  <c r="U817" i="2"/>
  <c r="S817" i="2"/>
  <c r="S810" i="2"/>
  <c r="U810" i="2"/>
  <c r="U809" i="2"/>
  <c r="S809" i="2"/>
  <c r="U770" i="2"/>
  <c r="S770" i="2"/>
  <c r="S769" i="2"/>
  <c r="U769" i="2"/>
  <c r="U768" i="2"/>
  <c r="S768" i="2"/>
  <c r="S767" i="2"/>
  <c r="U767" i="2"/>
  <c r="U766" i="2"/>
  <c r="S766" i="2"/>
  <c r="S765" i="2"/>
  <c r="U765" i="2"/>
  <c r="U764" i="2"/>
  <c r="S764" i="2"/>
  <c r="S763" i="2"/>
  <c r="U763" i="2"/>
  <c r="U762" i="2"/>
  <c r="S762" i="2"/>
  <c r="S761" i="2"/>
  <c r="U761" i="2"/>
  <c r="U760" i="2"/>
  <c r="S760" i="2"/>
  <c r="S759" i="2"/>
  <c r="U759" i="2"/>
  <c r="U758" i="2"/>
  <c r="S758" i="2"/>
  <c r="S757" i="2"/>
  <c r="U757" i="2"/>
  <c r="U756" i="2"/>
  <c r="S756" i="2"/>
  <c r="S755" i="2"/>
  <c r="U755" i="2"/>
  <c r="U754" i="2"/>
  <c r="S754" i="2"/>
  <c r="S753" i="2"/>
  <c r="U753" i="2"/>
  <c r="U752" i="2"/>
  <c r="S752" i="2"/>
  <c r="S751" i="2"/>
  <c r="U751" i="2"/>
  <c r="U750" i="2"/>
  <c r="S750" i="2"/>
  <c r="S749" i="2"/>
  <c r="U749" i="2"/>
  <c r="U748" i="2"/>
  <c r="S748" i="2"/>
  <c r="S747" i="2"/>
  <c r="U747" i="2"/>
  <c r="U746" i="2"/>
  <c r="S746" i="2"/>
  <c r="S745" i="2"/>
  <c r="U745" i="2"/>
  <c r="U744" i="2"/>
  <c r="S744" i="2"/>
  <c r="S743" i="2"/>
  <c r="U743" i="2"/>
  <c r="U742" i="2"/>
  <c r="S742" i="2"/>
  <c r="S741" i="2"/>
  <c r="U741" i="2"/>
  <c r="U740" i="2"/>
  <c r="S740" i="2"/>
  <c r="S739" i="2"/>
  <c r="U739" i="2"/>
  <c r="U738" i="2"/>
  <c r="S738" i="2"/>
  <c r="S737" i="2"/>
  <c r="U737" i="2"/>
  <c r="U736" i="2"/>
  <c r="S736" i="2"/>
  <c r="S735" i="2"/>
  <c r="U735" i="2"/>
  <c r="U734" i="2"/>
  <c r="S734" i="2"/>
  <c r="S733" i="2"/>
  <c r="U733" i="2"/>
  <c r="U732" i="2"/>
  <c r="S732" i="2"/>
  <c r="S731" i="2"/>
  <c r="U731" i="2"/>
  <c r="U730" i="2"/>
  <c r="S730" i="2"/>
  <c r="S729" i="2"/>
  <c r="U729" i="2"/>
  <c r="U728" i="2"/>
  <c r="S728" i="2"/>
  <c r="S727" i="2"/>
  <c r="U727" i="2"/>
  <c r="U726" i="2"/>
  <c r="S726" i="2"/>
  <c r="S725" i="2"/>
  <c r="U725" i="2"/>
  <c r="U724" i="2"/>
  <c r="S724" i="2"/>
  <c r="S723" i="2"/>
  <c r="U723" i="2"/>
  <c r="S721" i="2"/>
  <c r="U721" i="2"/>
  <c r="S719" i="2"/>
  <c r="U719" i="2"/>
  <c r="S717" i="2"/>
  <c r="U717" i="2"/>
  <c r="S715" i="2"/>
  <c r="U715" i="2"/>
  <c r="S713" i="2"/>
  <c r="U713" i="2"/>
  <c r="S711" i="2"/>
  <c r="U711" i="2"/>
  <c r="S709" i="2"/>
  <c r="U709" i="2"/>
  <c r="S707" i="2"/>
  <c r="U707" i="2"/>
  <c r="S705" i="2"/>
  <c r="U705" i="2"/>
  <c r="S703" i="2"/>
  <c r="U703" i="2"/>
  <c r="S701" i="2"/>
  <c r="U701" i="2"/>
  <c r="S640" i="2"/>
  <c r="U640" i="2"/>
  <c r="U639" i="2"/>
  <c r="S639" i="2"/>
  <c r="S638" i="2"/>
  <c r="U638" i="2"/>
  <c r="U637" i="2"/>
  <c r="S637" i="2"/>
  <c r="S636" i="2"/>
  <c r="U636" i="2"/>
  <c r="U635" i="2"/>
  <c r="S635" i="2"/>
  <c r="U633" i="2"/>
  <c r="S633" i="2"/>
  <c r="U631" i="2"/>
  <c r="S631" i="2"/>
  <c r="U629" i="2"/>
  <c r="S629" i="2"/>
  <c r="U627" i="2"/>
  <c r="S627" i="2"/>
  <c r="U625" i="2"/>
  <c r="S625" i="2"/>
  <c r="U623" i="2"/>
  <c r="S623" i="2"/>
  <c r="U621" i="2"/>
  <c r="S621" i="2"/>
  <c r="U619" i="2"/>
  <c r="S619" i="2"/>
  <c r="U617" i="2"/>
  <c r="S617" i="2"/>
  <c r="U615" i="2"/>
  <c r="S615" i="2"/>
  <c r="U613" i="2"/>
  <c r="S613" i="2"/>
  <c r="S612" i="2"/>
  <c r="U612" i="2"/>
  <c r="U605" i="2"/>
  <c r="S605" i="2"/>
  <c r="S604" i="2"/>
  <c r="U604" i="2"/>
  <c r="U597" i="2"/>
  <c r="S597" i="2"/>
  <c r="S596" i="2"/>
  <c r="U596" i="2"/>
  <c r="U589" i="2"/>
  <c r="S589" i="2"/>
  <c r="S588" i="2"/>
  <c r="U588" i="2"/>
  <c r="S580" i="2"/>
  <c r="U580" i="2"/>
  <c r="S572" i="2"/>
  <c r="U572" i="2"/>
  <c r="S564" i="2"/>
  <c r="U564" i="2"/>
  <c r="S556" i="2"/>
  <c r="U556" i="2"/>
  <c r="S548" i="2"/>
  <c r="U548" i="2"/>
  <c r="S540" i="2"/>
  <c r="U540" i="2"/>
  <c r="S532" i="2"/>
  <c r="U532" i="2"/>
  <c r="S524" i="2"/>
  <c r="U524" i="2"/>
  <c r="S516" i="2"/>
  <c r="U516" i="2"/>
  <c r="S508" i="2"/>
  <c r="U508" i="2"/>
  <c r="S500" i="2"/>
  <c r="U500" i="2"/>
  <c r="S492" i="2"/>
  <c r="U492" i="2"/>
  <c r="S484" i="2"/>
  <c r="U484" i="2"/>
  <c r="S476" i="2"/>
  <c r="U476" i="2"/>
  <c r="S472" i="2"/>
  <c r="U472" i="2"/>
  <c r="S468" i="2"/>
  <c r="U468" i="2"/>
  <c r="S464" i="2"/>
  <c r="U464" i="2"/>
  <c r="S460" i="2"/>
  <c r="U460" i="2"/>
  <c r="S722" i="2"/>
  <c r="S720" i="2"/>
  <c r="S718" i="2"/>
  <c r="S716" i="2"/>
  <c r="S714" i="2"/>
  <c r="S712" i="2"/>
  <c r="S710" i="2"/>
  <c r="S708" i="2"/>
  <c r="S706" i="2"/>
  <c r="S704" i="2"/>
  <c r="S702" i="2"/>
  <c r="S700" i="2"/>
  <c r="U699" i="2"/>
  <c r="S698" i="2"/>
  <c r="U697" i="2"/>
  <c r="S696" i="2"/>
  <c r="U695" i="2"/>
  <c r="S694" i="2"/>
  <c r="U693" i="2"/>
  <c r="S692" i="2"/>
  <c r="U691" i="2"/>
  <c r="S690" i="2"/>
  <c r="U689" i="2"/>
  <c r="S688" i="2"/>
  <c r="U687" i="2"/>
  <c r="S686" i="2"/>
  <c r="U685" i="2"/>
  <c r="S684" i="2"/>
  <c r="U683" i="2"/>
  <c r="S682" i="2"/>
  <c r="U681" i="2"/>
  <c r="S680" i="2"/>
  <c r="U679" i="2"/>
  <c r="S678" i="2"/>
  <c r="U677" i="2"/>
  <c r="S676" i="2"/>
  <c r="U675" i="2"/>
  <c r="S674" i="2"/>
  <c r="U673" i="2"/>
  <c r="S672" i="2"/>
  <c r="U671" i="2"/>
  <c r="S670" i="2"/>
  <c r="U669" i="2"/>
  <c r="S668" i="2"/>
  <c r="U667" i="2"/>
  <c r="S666" i="2"/>
  <c r="U665" i="2"/>
  <c r="S664" i="2"/>
  <c r="U663" i="2"/>
  <c r="S662" i="2"/>
  <c r="U661" i="2"/>
  <c r="S660" i="2"/>
  <c r="U659" i="2"/>
  <c r="S658" i="2"/>
  <c r="U657" i="2"/>
  <c r="S656" i="2"/>
  <c r="U655" i="2"/>
  <c r="S654" i="2"/>
  <c r="U653" i="2"/>
  <c r="S652" i="2"/>
  <c r="U651" i="2"/>
  <c r="S650" i="2"/>
  <c r="U649" i="2"/>
  <c r="S648" i="2"/>
  <c r="U647" i="2"/>
  <c r="S646" i="2"/>
  <c r="U645" i="2"/>
  <c r="S644" i="2"/>
  <c r="U643" i="2"/>
  <c r="S642" i="2"/>
  <c r="U641" i="2"/>
  <c r="U607" i="2"/>
  <c r="S607" i="2"/>
  <c r="S606" i="2"/>
  <c r="U606" i="2"/>
  <c r="U599" i="2"/>
  <c r="S599" i="2"/>
  <c r="S598" i="2"/>
  <c r="U598" i="2"/>
  <c r="U591" i="2"/>
  <c r="S591" i="2"/>
  <c r="S590" i="2"/>
  <c r="U590" i="2"/>
  <c r="S582" i="2"/>
  <c r="U582" i="2"/>
  <c r="S574" i="2"/>
  <c r="U574" i="2"/>
  <c r="S566" i="2"/>
  <c r="U566" i="2"/>
  <c r="S558" i="2"/>
  <c r="U558" i="2"/>
  <c r="S550" i="2"/>
  <c r="U550" i="2"/>
  <c r="S542" i="2"/>
  <c r="U542" i="2"/>
  <c r="S534" i="2"/>
  <c r="U534" i="2"/>
  <c r="S526" i="2"/>
  <c r="U526" i="2"/>
  <c r="S518" i="2"/>
  <c r="U518" i="2"/>
  <c r="S510" i="2"/>
  <c r="U510" i="2"/>
  <c r="S502" i="2"/>
  <c r="U502" i="2"/>
  <c r="S494" i="2"/>
  <c r="U494" i="2"/>
  <c r="S486" i="2"/>
  <c r="U486" i="2"/>
  <c r="S478" i="2"/>
  <c r="U478" i="2"/>
  <c r="U609" i="2"/>
  <c r="S609" i="2"/>
  <c r="S608" i="2"/>
  <c r="U608" i="2"/>
  <c r="U601" i="2"/>
  <c r="S601" i="2"/>
  <c r="S600" i="2"/>
  <c r="U600" i="2"/>
  <c r="U593" i="2"/>
  <c r="S593" i="2"/>
  <c r="S592" i="2"/>
  <c r="U592" i="2"/>
  <c r="U585" i="2"/>
  <c r="S585" i="2"/>
  <c r="S584" i="2"/>
  <c r="U584" i="2"/>
  <c r="S576" i="2"/>
  <c r="U576" i="2"/>
  <c r="S568" i="2"/>
  <c r="U568" i="2"/>
  <c r="S560" i="2"/>
  <c r="U560" i="2"/>
  <c r="S552" i="2"/>
  <c r="U552" i="2"/>
  <c r="S544" i="2"/>
  <c r="U544" i="2"/>
  <c r="S536" i="2"/>
  <c r="U536" i="2"/>
  <c r="S528" i="2"/>
  <c r="U528" i="2"/>
  <c r="S520" i="2"/>
  <c r="U520" i="2"/>
  <c r="S512" i="2"/>
  <c r="U512" i="2"/>
  <c r="S504" i="2"/>
  <c r="U504" i="2"/>
  <c r="S496" i="2"/>
  <c r="U496" i="2"/>
  <c r="S488" i="2"/>
  <c r="U488" i="2"/>
  <c r="S480" i="2"/>
  <c r="U480" i="2"/>
  <c r="U611" i="2"/>
  <c r="S611" i="2"/>
  <c r="S610" i="2"/>
  <c r="U610" i="2"/>
  <c r="U603" i="2"/>
  <c r="S603" i="2"/>
  <c r="S602" i="2"/>
  <c r="U602" i="2"/>
  <c r="U595" i="2"/>
  <c r="S595" i="2"/>
  <c r="S594" i="2"/>
  <c r="U594" i="2"/>
  <c r="U587" i="2"/>
  <c r="S587" i="2"/>
  <c r="S586" i="2"/>
  <c r="U586" i="2"/>
  <c r="S578" i="2"/>
  <c r="U578" i="2"/>
  <c r="S570" i="2"/>
  <c r="U570" i="2"/>
  <c r="S562" i="2"/>
  <c r="U562" i="2"/>
  <c r="S554" i="2"/>
  <c r="U554" i="2"/>
  <c r="S546" i="2"/>
  <c r="U546" i="2"/>
  <c r="S538" i="2"/>
  <c r="U538" i="2"/>
  <c r="S530" i="2"/>
  <c r="U530" i="2"/>
  <c r="S522" i="2"/>
  <c r="U522" i="2"/>
  <c r="S514" i="2"/>
  <c r="U514" i="2"/>
  <c r="S506" i="2"/>
  <c r="U506" i="2"/>
  <c r="S498" i="2"/>
  <c r="U498" i="2"/>
  <c r="S490" i="2"/>
  <c r="U490" i="2"/>
  <c r="S482" i="2"/>
  <c r="U482" i="2"/>
  <c r="U634" i="2"/>
  <c r="U632" i="2"/>
  <c r="U630" i="2"/>
  <c r="U628" i="2"/>
  <c r="U626" i="2"/>
  <c r="U624" i="2"/>
  <c r="U622" i="2"/>
  <c r="U620" i="2"/>
  <c r="U618" i="2"/>
  <c r="U616" i="2"/>
  <c r="U614" i="2"/>
  <c r="S583" i="2"/>
  <c r="S581" i="2"/>
  <c r="S579" i="2"/>
  <c r="S577" i="2"/>
  <c r="S575" i="2"/>
  <c r="S573" i="2"/>
  <c r="S571" i="2"/>
  <c r="S569" i="2"/>
  <c r="S567" i="2"/>
  <c r="S565" i="2"/>
  <c r="S563" i="2"/>
  <c r="S561" i="2"/>
  <c r="S559" i="2"/>
  <c r="S557" i="2"/>
  <c r="S555" i="2"/>
  <c r="S553" i="2"/>
  <c r="S551" i="2"/>
  <c r="S549" i="2"/>
  <c r="S547" i="2"/>
  <c r="S545" i="2"/>
  <c r="S543" i="2"/>
  <c r="S541" i="2"/>
  <c r="S539" i="2"/>
  <c r="S537" i="2"/>
  <c r="S535" i="2"/>
  <c r="S533" i="2"/>
  <c r="S531" i="2"/>
  <c r="S529" i="2"/>
  <c r="S527" i="2"/>
  <c r="S525" i="2"/>
  <c r="S523" i="2"/>
  <c r="S521" i="2"/>
  <c r="S519" i="2"/>
  <c r="S517" i="2"/>
  <c r="S515" i="2"/>
  <c r="S513" i="2"/>
  <c r="S511" i="2"/>
  <c r="S509" i="2"/>
  <c r="S507" i="2"/>
  <c r="S505" i="2"/>
  <c r="S503" i="2"/>
  <c r="S501" i="2"/>
  <c r="S499" i="2"/>
  <c r="S497" i="2"/>
  <c r="S495" i="2"/>
  <c r="S493" i="2"/>
  <c r="S491" i="2"/>
  <c r="S489" i="2"/>
  <c r="S487" i="2"/>
  <c r="S485" i="2"/>
  <c r="S483" i="2"/>
  <c r="S481" i="2"/>
  <c r="S479" i="2"/>
  <c r="S477" i="2"/>
  <c r="S415" i="2"/>
  <c r="U415" i="2"/>
  <c r="U414" i="2"/>
  <c r="S414" i="2"/>
  <c r="S407" i="2"/>
  <c r="U407" i="2"/>
  <c r="U406" i="2"/>
  <c r="S406" i="2"/>
  <c r="U399" i="2"/>
  <c r="S399" i="2"/>
  <c r="U394" i="2"/>
  <c r="S392" i="2"/>
  <c r="U392" i="2"/>
  <c r="S388" i="2"/>
  <c r="U388" i="2"/>
  <c r="S384" i="2"/>
  <c r="U384" i="2"/>
  <c r="S380" i="2"/>
  <c r="U380" i="2"/>
  <c r="S376" i="2"/>
  <c r="U376" i="2"/>
  <c r="S372" i="2"/>
  <c r="U372" i="2"/>
  <c r="S368" i="2"/>
  <c r="U368" i="2"/>
  <c r="S457" i="2"/>
  <c r="U457" i="2"/>
  <c r="U456" i="2"/>
  <c r="S456" i="2"/>
  <c r="S455" i="2"/>
  <c r="U455" i="2"/>
  <c r="U454" i="2"/>
  <c r="S454" i="2"/>
  <c r="S453" i="2"/>
  <c r="U453" i="2"/>
  <c r="U452" i="2"/>
  <c r="S452" i="2"/>
  <c r="S451" i="2"/>
  <c r="U451" i="2"/>
  <c r="U450" i="2"/>
  <c r="S450" i="2"/>
  <c r="S449" i="2"/>
  <c r="U449" i="2"/>
  <c r="U448" i="2"/>
  <c r="S448" i="2"/>
  <c r="S447" i="2"/>
  <c r="U447" i="2"/>
  <c r="U446" i="2"/>
  <c r="S446" i="2"/>
  <c r="S445" i="2"/>
  <c r="U445" i="2"/>
  <c r="S443" i="2"/>
  <c r="U443" i="2"/>
  <c r="S441" i="2"/>
  <c r="U441" i="2"/>
  <c r="S439" i="2"/>
  <c r="U439" i="2"/>
  <c r="S437" i="2"/>
  <c r="U437" i="2"/>
  <c r="S435" i="2"/>
  <c r="U435" i="2"/>
  <c r="S433" i="2"/>
  <c r="U433" i="2"/>
  <c r="S431" i="2"/>
  <c r="U431" i="2"/>
  <c r="S429" i="2"/>
  <c r="U429" i="2"/>
  <c r="S427" i="2"/>
  <c r="U427" i="2"/>
  <c r="S425" i="2"/>
  <c r="U425" i="2"/>
  <c r="S423" i="2"/>
  <c r="U423" i="2"/>
  <c r="S421" i="2"/>
  <c r="U421" i="2"/>
  <c r="S419" i="2"/>
  <c r="U419" i="2"/>
  <c r="S417" i="2"/>
  <c r="U417" i="2"/>
  <c r="U416" i="2"/>
  <c r="S416" i="2"/>
  <c r="S409" i="2"/>
  <c r="U409" i="2"/>
  <c r="U408" i="2"/>
  <c r="S408" i="2"/>
  <c r="S402" i="2"/>
  <c r="S400" i="2"/>
  <c r="U400" i="2"/>
  <c r="U389" i="2"/>
  <c r="S389" i="2"/>
  <c r="U385" i="2"/>
  <c r="S385" i="2"/>
  <c r="U381" i="2"/>
  <c r="S381" i="2"/>
  <c r="U377" i="2"/>
  <c r="S377" i="2"/>
  <c r="U373" i="2"/>
  <c r="S373" i="2"/>
  <c r="U369" i="2"/>
  <c r="S369" i="2"/>
  <c r="U365" i="2"/>
  <c r="S365" i="2"/>
  <c r="S411" i="2"/>
  <c r="U411" i="2"/>
  <c r="U410" i="2"/>
  <c r="S410" i="2"/>
  <c r="S403" i="2"/>
  <c r="U403" i="2"/>
  <c r="S390" i="2"/>
  <c r="U390" i="2"/>
  <c r="S386" i="2"/>
  <c r="U386" i="2"/>
  <c r="S382" i="2"/>
  <c r="U382" i="2"/>
  <c r="S378" i="2"/>
  <c r="U378" i="2"/>
  <c r="S374" i="2"/>
  <c r="U374" i="2"/>
  <c r="S370" i="2"/>
  <c r="U370" i="2"/>
  <c r="S366" i="2"/>
  <c r="U366" i="2"/>
  <c r="S475" i="2"/>
  <c r="U474" i="2"/>
  <c r="S471" i="2"/>
  <c r="U470" i="2"/>
  <c r="S467" i="2"/>
  <c r="U466" i="2"/>
  <c r="S463" i="2"/>
  <c r="U462" i="2"/>
  <c r="S459" i="2"/>
  <c r="U458" i="2"/>
  <c r="S413" i="2"/>
  <c r="U413" i="2"/>
  <c r="U412" i="2"/>
  <c r="S412" i="2"/>
  <c r="S405" i="2"/>
  <c r="U405" i="2"/>
  <c r="U404" i="2"/>
  <c r="S404" i="2"/>
  <c r="S398" i="2"/>
  <c r="U398" i="2"/>
  <c r="S396" i="2"/>
  <c r="U396" i="2"/>
  <c r="U391" i="2"/>
  <c r="S391" i="2"/>
  <c r="U387" i="2"/>
  <c r="S387" i="2"/>
  <c r="U383" i="2"/>
  <c r="S383" i="2"/>
  <c r="U379" i="2"/>
  <c r="S379" i="2"/>
  <c r="U375" i="2"/>
  <c r="S375" i="2"/>
  <c r="U371" i="2"/>
  <c r="S371" i="2"/>
  <c r="U367" i="2"/>
  <c r="S367" i="2"/>
  <c r="S334" i="2"/>
  <c r="U334" i="2"/>
  <c r="S330" i="2"/>
  <c r="U330" i="2"/>
  <c r="S326" i="2"/>
  <c r="U326" i="2"/>
  <c r="S322" i="2"/>
  <c r="U322" i="2"/>
  <c r="S318" i="2"/>
  <c r="U318" i="2"/>
  <c r="S314" i="2"/>
  <c r="U314" i="2"/>
  <c r="S310" i="2"/>
  <c r="U310" i="2"/>
  <c r="S306" i="2"/>
  <c r="U306" i="2"/>
  <c r="S302" i="2"/>
  <c r="U302" i="2"/>
  <c r="S298" i="2"/>
  <c r="U298" i="2"/>
  <c r="S294" i="2"/>
  <c r="U294" i="2"/>
  <c r="S290" i="2"/>
  <c r="U290" i="2"/>
  <c r="S286" i="2"/>
  <c r="U286" i="2"/>
  <c r="S282" i="2"/>
  <c r="U282" i="2"/>
  <c r="S278" i="2"/>
  <c r="U278" i="2"/>
  <c r="S274" i="2"/>
  <c r="U274" i="2"/>
  <c r="S270" i="2"/>
  <c r="U270" i="2"/>
  <c r="S266" i="2"/>
  <c r="U266" i="2"/>
  <c r="S262" i="2"/>
  <c r="U262" i="2"/>
  <c r="S258" i="2"/>
  <c r="U258" i="2"/>
  <c r="S254" i="2"/>
  <c r="U254" i="2"/>
  <c r="S250" i="2"/>
  <c r="U250" i="2"/>
  <c r="S444" i="2"/>
  <c r="S442" i="2"/>
  <c r="S440" i="2"/>
  <c r="S438" i="2"/>
  <c r="S436" i="2"/>
  <c r="S434" i="2"/>
  <c r="S432" i="2"/>
  <c r="S430" i="2"/>
  <c r="S428" i="2"/>
  <c r="S426" i="2"/>
  <c r="S424" i="2"/>
  <c r="S422" i="2"/>
  <c r="S420" i="2"/>
  <c r="S418" i="2"/>
  <c r="S395" i="2"/>
  <c r="U335" i="2"/>
  <c r="S335" i="2"/>
  <c r="U331" i="2"/>
  <c r="S331" i="2"/>
  <c r="U327" i="2"/>
  <c r="S327" i="2"/>
  <c r="U323" i="2"/>
  <c r="S323" i="2"/>
  <c r="U319" i="2"/>
  <c r="S319" i="2"/>
  <c r="U315" i="2"/>
  <c r="S315" i="2"/>
  <c r="U311" i="2"/>
  <c r="S311" i="2"/>
  <c r="U307" i="2"/>
  <c r="S307" i="2"/>
  <c r="U303" i="2"/>
  <c r="S303" i="2"/>
  <c r="U299" i="2"/>
  <c r="S299" i="2"/>
  <c r="U295" i="2"/>
  <c r="S295" i="2"/>
  <c r="U291" i="2"/>
  <c r="S291" i="2"/>
  <c r="U287" i="2"/>
  <c r="S287" i="2"/>
  <c r="U283" i="2"/>
  <c r="S283" i="2"/>
  <c r="U279" i="2"/>
  <c r="S279" i="2"/>
  <c r="U275" i="2"/>
  <c r="S275" i="2"/>
  <c r="U271" i="2"/>
  <c r="S271" i="2"/>
  <c r="U267" i="2"/>
  <c r="S267" i="2"/>
  <c r="U263" i="2"/>
  <c r="S263" i="2"/>
  <c r="U259" i="2"/>
  <c r="S259" i="2"/>
  <c r="U255" i="2"/>
  <c r="S255" i="2"/>
  <c r="U251" i="2"/>
  <c r="S251" i="2"/>
  <c r="S393" i="2"/>
  <c r="U364" i="2"/>
  <c r="U362" i="2"/>
  <c r="U360" i="2"/>
  <c r="U358" i="2"/>
  <c r="U356" i="2"/>
  <c r="U354" i="2"/>
  <c r="U352" i="2"/>
  <c r="U350" i="2"/>
  <c r="U348" i="2"/>
  <c r="U346" i="2"/>
  <c r="U344" i="2"/>
  <c r="U342" i="2"/>
  <c r="U340" i="2"/>
  <c r="S336" i="2"/>
  <c r="U336" i="2"/>
  <c r="S332" i="2"/>
  <c r="U332" i="2"/>
  <c r="S328" i="2"/>
  <c r="U328" i="2"/>
  <c r="S324" i="2"/>
  <c r="U324" i="2"/>
  <c r="S320" i="2"/>
  <c r="U320" i="2"/>
  <c r="S316" i="2"/>
  <c r="U316" i="2"/>
  <c r="S312" i="2"/>
  <c r="U312" i="2"/>
  <c r="S308" i="2"/>
  <c r="U308" i="2"/>
  <c r="S304" i="2"/>
  <c r="U304" i="2"/>
  <c r="S300" i="2"/>
  <c r="U300" i="2"/>
  <c r="S296" i="2"/>
  <c r="U296" i="2"/>
  <c r="S292" i="2"/>
  <c r="U292" i="2"/>
  <c r="S288" i="2"/>
  <c r="U288" i="2"/>
  <c r="S284" i="2"/>
  <c r="U284" i="2"/>
  <c r="S280" i="2"/>
  <c r="U280" i="2"/>
  <c r="S276" i="2"/>
  <c r="U276" i="2"/>
  <c r="S272" i="2"/>
  <c r="U272" i="2"/>
  <c r="S268" i="2"/>
  <c r="U268" i="2"/>
  <c r="S264" i="2"/>
  <c r="U264" i="2"/>
  <c r="S260" i="2"/>
  <c r="U260" i="2"/>
  <c r="S256" i="2"/>
  <c r="U256" i="2"/>
  <c r="S252" i="2"/>
  <c r="U252" i="2"/>
  <c r="S363" i="2"/>
  <c r="S361" i="2"/>
  <c r="S359" i="2"/>
  <c r="S357" i="2"/>
  <c r="S355" i="2"/>
  <c r="S353" i="2"/>
  <c r="S351" i="2"/>
  <c r="S349" i="2"/>
  <c r="S347" i="2"/>
  <c r="S345" i="2"/>
  <c r="S343" i="2"/>
  <c r="S341" i="2"/>
  <c r="U337" i="2"/>
  <c r="S337" i="2"/>
  <c r="U333" i="2"/>
  <c r="S333" i="2"/>
  <c r="U329" i="2"/>
  <c r="S329" i="2"/>
  <c r="U325" i="2"/>
  <c r="S325" i="2"/>
  <c r="U321" i="2"/>
  <c r="S321" i="2"/>
  <c r="U317" i="2"/>
  <c r="S317" i="2"/>
  <c r="U313" i="2"/>
  <c r="S313" i="2"/>
  <c r="U309" i="2"/>
  <c r="S309" i="2"/>
  <c r="U305" i="2"/>
  <c r="S305" i="2"/>
  <c r="U301" i="2"/>
  <c r="S301" i="2"/>
  <c r="U297" i="2"/>
  <c r="S297" i="2"/>
  <c r="U293" i="2"/>
  <c r="S293" i="2"/>
  <c r="U289" i="2"/>
  <c r="S289" i="2"/>
  <c r="U285" i="2"/>
  <c r="S285" i="2"/>
  <c r="U281" i="2"/>
  <c r="S281" i="2"/>
  <c r="U277" i="2"/>
  <c r="S277" i="2"/>
  <c r="U273" i="2"/>
  <c r="S273" i="2"/>
  <c r="U269" i="2"/>
  <c r="S269" i="2"/>
  <c r="U265" i="2"/>
  <c r="S265" i="2"/>
  <c r="U261" i="2"/>
  <c r="S261" i="2"/>
  <c r="U257" i="2"/>
  <c r="S257" i="2"/>
  <c r="U253" i="2"/>
  <c r="S253" i="2"/>
  <c r="U225" i="2"/>
  <c r="U217" i="2"/>
  <c r="U209" i="2"/>
  <c r="U201" i="2"/>
  <c r="U249" i="2"/>
  <c r="U245" i="2"/>
  <c r="U239" i="2"/>
  <c r="U231" i="2"/>
  <c r="U223" i="2"/>
  <c r="U215" i="2"/>
  <c r="U207" i="2"/>
  <c r="U199" i="2"/>
  <c r="U197" i="2"/>
  <c r="U195" i="2"/>
  <c r="U193" i="2"/>
  <c r="U191" i="2"/>
  <c r="U189" i="2"/>
  <c r="U187" i="2"/>
  <c r="U185" i="2"/>
  <c r="U183" i="2"/>
  <c r="U181" i="2"/>
  <c r="U179" i="2"/>
  <c r="U177" i="2"/>
  <c r="U237" i="2"/>
  <c r="U229" i="2"/>
  <c r="U221" i="2"/>
  <c r="U213" i="2"/>
  <c r="U205" i="2"/>
  <c r="S198" i="2"/>
  <c r="S196" i="2"/>
  <c r="S194" i="2"/>
  <c r="S192" i="2"/>
  <c r="S190" i="2"/>
  <c r="S188" i="2"/>
  <c r="S186" i="2"/>
  <c r="S184" i="2"/>
  <c r="S182" i="2"/>
  <c r="S180" i="2"/>
  <c r="S178" i="2"/>
  <c r="S176" i="2"/>
  <c r="S174" i="2"/>
  <c r="U173" i="2"/>
  <c r="U170" i="2"/>
  <c r="S170" i="2"/>
  <c r="S169" i="2"/>
  <c r="U169" i="2"/>
  <c r="U162" i="2"/>
  <c r="S162" i="2"/>
  <c r="S161" i="2"/>
  <c r="U161" i="2"/>
  <c r="U154" i="2"/>
  <c r="S154" i="2"/>
  <c r="S153" i="2"/>
  <c r="U153" i="2"/>
  <c r="U146" i="2"/>
  <c r="S146" i="2"/>
  <c r="S145" i="2"/>
  <c r="U145" i="2"/>
  <c r="U138" i="2"/>
  <c r="S138" i="2"/>
  <c r="S137" i="2"/>
  <c r="U137" i="2"/>
  <c r="U130" i="2"/>
  <c r="S130" i="2"/>
  <c r="S129" i="2"/>
  <c r="U129" i="2"/>
  <c r="U122" i="2"/>
  <c r="S122" i="2"/>
  <c r="S121" i="2"/>
  <c r="U121" i="2"/>
  <c r="U114" i="2"/>
  <c r="S114" i="2"/>
  <c r="S113" i="2"/>
  <c r="U113" i="2"/>
  <c r="U106" i="2"/>
  <c r="S106" i="2"/>
  <c r="S105" i="2"/>
  <c r="U105" i="2"/>
  <c r="U98" i="2"/>
  <c r="S98" i="2"/>
  <c r="S97" i="2"/>
  <c r="U97" i="2"/>
  <c r="U90" i="2"/>
  <c r="S90" i="2"/>
  <c r="U88" i="2"/>
  <c r="U172" i="2"/>
  <c r="S172" i="2"/>
  <c r="S171" i="2"/>
  <c r="U171" i="2"/>
  <c r="U164" i="2"/>
  <c r="S164" i="2"/>
  <c r="S163" i="2"/>
  <c r="U163" i="2"/>
  <c r="U156" i="2"/>
  <c r="S156" i="2"/>
  <c r="S155" i="2"/>
  <c r="U155" i="2"/>
  <c r="U148" i="2"/>
  <c r="S148" i="2"/>
  <c r="S147" i="2"/>
  <c r="U147" i="2"/>
  <c r="U140" i="2"/>
  <c r="S140" i="2"/>
  <c r="S139" i="2"/>
  <c r="U139" i="2"/>
  <c r="U132" i="2"/>
  <c r="S132" i="2"/>
  <c r="S131" i="2"/>
  <c r="U131" i="2"/>
  <c r="U124" i="2"/>
  <c r="S124" i="2"/>
  <c r="S123" i="2"/>
  <c r="U123" i="2"/>
  <c r="U116" i="2"/>
  <c r="S116" i="2"/>
  <c r="S115" i="2"/>
  <c r="U115" i="2"/>
  <c r="U108" i="2"/>
  <c r="S108" i="2"/>
  <c r="S107" i="2"/>
  <c r="U107" i="2"/>
  <c r="U100" i="2"/>
  <c r="S100" i="2"/>
  <c r="S99" i="2"/>
  <c r="U99" i="2"/>
  <c r="U92" i="2"/>
  <c r="S92" i="2"/>
  <c r="S91" i="2"/>
  <c r="U91" i="2"/>
  <c r="S86" i="2"/>
  <c r="U86" i="2"/>
  <c r="U166" i="2"/>
  <c r="S166" i="2"/>
  <c r="S165" i="2"/>
  <c r="U165" i="2"/>
  <c r="U158" i="2"/>
  <c r="S158" i="2"/>
  <c r="S157" i="2"/>
  <c r="U157" i="2"/>
  <c r="U150" i="2"/>
  <c r="S150" i="2"/>
  <c r="S149" i="2"/>
  <c r="U149" i="2"/>
  <c r="U142" i="2"/>
  <c r="S142" i="2"/>
  <c r="S141" i="2"/>
  <c r="U141" i="2"/>
  <c r="U134" i="2"/>
  <c r="S134" i="2"/>
  <c r="S133" i="2"/>
  <c r="U133" i="2"/>
  <c r="U126" i="2"/>
  <c r="S126" i="2"/>
  <c r="S125" i="2"/>
  <c r="U125" i="2"/>
  <c r="U118" i="2"/>
  <c r="S118" i="2"/>
  <c r="S117" i="2"/>
  <c r="U117" i="2"/>
  <c r="U110" i="2"/>
  <c r="S110" i="2"/>
  <c r="S109" i="2"/>
  <c r="U109" i="2"/>
  <c r="U102" i="2"/>
  <c r="S102" i="2"/>
  <c r="S101" i="2"/>
  <c r="U101" i="2"/>
  <c r="U94" i="2"/>
  <c r="S94" i="2"/>
  <c r="S93" i="2"/>
  <c r="U93" i="2"/>
  <c r="S82" i="2"/>
  <c r="U82" i="2"/>
  <c r="U81" i="2"/>
  <c r="S81" i="2"/>
  <c r="U79" i="2"/>
  <c r="S79" i="2"/>
  <c r="U77" i="2"/>
  <c r="S77" i="2"/>
  <c r="U75" i="2"/>
  <c r="S75" i="2"/>
  <c r="U73" i="2"/>
  <c r="S73" i="2"/>
  <c r="U71" i="2"/>
  <c r="S71" i="2"/>
  <c r="U69" i="2"/>
  <c r="S69" i="2"/>
  <c r="U67" i="2"/>
  <c r="S67" i="2"/>
  <c r="U65" i="2"/>
  <c r="S65" i="2"/>
  <c r="U63" i="2"/>
  <c r="S63" i="2"/>
  <c r="U61" i="2"/>
  <c r="S61" i="2"/>
  <c r="U168" i="2"/>
  <c r="S168" i="2"/>
  <c r="S167" i="2"/>
  <c r="U167" i="2"/>
  <c r="U160" i="2"/>
  <c r="S160" i="2"/>
  <c r="S159" i="2"/>
  <c r="U159" i="2"/>
  <c r="U152" i="2"/>
  <c r="S152" i="2"/>
  <c r="S151" i="2"/>
  <c r="U151" i="2"/>
  <c r="U144" i="2"/>
  <c r="S144" i="2"/>
  <c r="S143" i="2"/>
  <c r="U143" i="2"/>
  <c r="U136" i="2"/>
  <c r="S136" i="2"/>
  <c r="S135" i="2"/>
  <c r="U135" i="2"/>
  <c r="U128" i="2"/>
  <c r="S128" i="2"/>
  <c r="S127" i="2"/>
  <c r="U127" i="2"/>
  <c r="U120" i="2"/>
  <c r="S120" i="2"/>
  <c r="S119" i="2"/>
  <c r="U119" i="2"/>
  <c r="U112" i="2"/>
  <c r="S112" i="2"/>
  <c r="S111" i="2"/>
  <c r="U111" i="2"/>
  <c r="U104" i="2"/>
  <c r="S104" i="2"/>
  <c r="S103" i="2"/>
  <c r="U103" i="2"/>
  <c r="U96" i="2"/>
  <c r="S96" i="2"/>
  <c r="S95" i="2"/>
  <c r="U95" i="2"/>
  <c r="S87" i="2"/>
  <c r="S83" i="2"/>
  <c r="U5" i="2"/>
  <c r="S5" i="2"/>
  <c r="U80" i="2"/>
  <c r="U78" i="2"/>
  <c r="U76" i="2"/>
  <c r="U74" i="2"/>
  <c r="U72" i="2"/>
  <c r="U70" i="2"/>
  <c r="U68" i="2"/>
  <c r="U66" i="2"/>
  <c r="U64" i="2"/>
  <c r="U62" i="2"/>
  <c r="U60" i="2"/>
  <c r="S59" i="2"/>
  <c r="U58" i="2"/>
  <c r="S57" i="2"/>
  <c r="U56" i="2"/>
  <c r="S55" i="2"/>
  <c r="U54" i="2"/>
  <c r="S53" i="2"/>
  <c r="U52" i="2"/>
  <c r="S51" i="2"/>
  <c r="U50" i="2"/>
  <c r="S49" i="2"/>
  <c r="U48" i="2"/>
  <c r="S47" i="2"/>
  <c r="U46" i="2"/>
  <c r="S45" i="2"/>
  <c r="U44" i="2"/>
  <c r="S43" i="2"/>
  <c r="U42" i="2"/>
  <c r="S41" i="2"/>
  <c r="U40" i="2"/>
  <c r="S39" i="2"/>
  <c r="U38" i="2"/>
  <c r="S37" i="2"/>
  <c r="U36" i="2"/>
  <c r="S35" i="2"/>
  <c r="U34" i="2"/>
  <c r="S33" i="2"/>
  <c r="U32" i="2"/>
  <c r="S31" i="2"/>
  <c r="U30" i="2"/>
  <c r="S29" i="2"/>
  <c r="U28" i="2"/>
  <c r="S27" i="2"/>
  <c r="U26" i="2"/>
  <c r="S25" i="2"/>
  <c r="U24" i="2"/>
  <c r="S23" i="2"/>
  <c r="U22" i="2"/>
  <c r="S21" i="2"/>
  <c r="U20" i="2"/>
  <c r="S19" i="2"/>
  <c r="U18" i="2"/>
  <c r="S17" i="2"/>
  <c r="U16" i="2"/>
  <c r="S15" i="2"/>
  <c r="U14" i="2"/>
  <c r="S13" i="2"/>
  <c r="U12" i="2"/>
  <c r="S11" i="2"/>
  <c r="U10" i="2"/>
  <c r="S9" i="2"/>
  <c r="U8" i="2"/>
  <c r="S7" i="2"/>
  <c r="U6" i="2"/>
  <c r="O4" i="2"/>
  <c r="O8" i="2"/>
  <c r="O12" i="2"/>
  <c r="O16" i="2"/>
  <c r="O20" i="2"/>
  <c r="O24" i="2"/>
  <c r="O28" i="2"/>
  <c r="O32" i="2"/>
  <c r="O36" i="2"/>
  <c r="O40" i="2"/>
  <c r="O44" i="2"/>
  <c r="O48" i="2"/>
  <c r="O52" i="2"/>
  <c r="O56" i="2"/>
  <c r="O60" i="2"/>
  <c r="O64" i="2"/>
  <c r="O68" i="2"/>
  <c r="O72" i="2"/>
  <c r="O76" i="2"/>
  <c r="O80" i="2"/>
  <c r="O84" i="2"/>
  <c r="O88" i="2"/>
  <c r="O92" i="2"/>
  <c r="O96" i="2"/>
  <c r="O100" i="2"/>
  <c r="O104" i="2"/>
  <c r="O108" i="2"/>
  <c r="O112" i="2"/>
  <c r="O116" i="2"/>
  <c r="O120" i="2"/>
  <c r="O124" i="2"/>
  <c r="O128" i="2"/>
  <c r="O132" i="2"/>
  <c r="O136" i="2"/>
  <c r="O140" i="2"/>
  <c r="O144" i="2"/>
  <c r="O148" i="2"/>
  <c r="O152" i="2"/>
  <c r="O156" i="2"/>
  <c r="O160" i="2"/>
  <c r="O164" i="2"/>
  <c r="O168" i="2"/>
  <c r="O172" i="2"/>
  <c r="O176" i="2"/>
  <c r="O180" i="2"/>
  <c r="O184" i="2"/>
  <c r="O188" i="2"/>
  <c r="O192" i="2"/>
  <c r="O196" i="2"/>
  <c r="O200" i="2"/>
  <c r="O204" i="2"/>
  <c r="O208" i="2"/>
  <c r="O212" i="2"/>
  <c r="O216" i="2"/>
  <c r="O220" i="2"/>
  <c r="O224" i="2"/>
  <c r="O228" i="2"/>
  <c r="O232" i="2"/>
  <c r="O236" i="2"/>
  <c r="O240" i="2"/>
  <c r="O244" i="2"/>
  <c r="O248" i="2"/>
  <c r="O252" i="2"/>
  <c r="O256" i="2"/>
  <c r="O260" i="2"/>
  <c r="O264" i="2"/>
  <c r="O268" i="2"/>
  <c r="O272" i="2"/>
  <c r="O276" i="2"/>
  <c r="O280" i="2"/>
  <c r="O284" i="2"/>
  <c r="O288" i="2"/>
  <c r="O292" i="2"/>
  <c r="O296" i="2"/>
  <c r="O300" i="2"/>
  <c r="O304" i="2"/>
  <c r="O308" i="2"/>
  <c r="O312" i="2"/>
  <c r="O316" i="2"/>
  <c r="O320" i="2"/>
  <c r="O324" i="2"/>
  <c r="O328" i="2"/>
  <c r="O332" i="2"/>
  <c r="O336" i="2"/>
  <c r="O340" i="2"/>
  <c r="O6" i="2"/>
  <c r="O10" i="2"/>
  <c r="O14" i="2"/>
  <c r="O18" i="2"/>
  <c r="O22" i="2"/>
  <c r="O26" i="2"/>
  <c r="O30" i="2"/>
  <c r="O34" i="2"/>
  <c r="O38" i="2"/>
  <c r="O42" i="2"/>
  <c r="O46" i="2"/>
  <c r="O50" i="2"/>
  <c r="O54" i="2"/>
  <c r="O58" i="2"/>
  <c r="O62" i="2"/>
  <c r="O66" i="2"/>
  <c r="O70" i="2"/>
  <c r="O74" i="2"/>
  <c r="O78" i="2"/>
  <c r="O82" i="2"/>
  <c r="O86" i="2"/>
  <c r="O90" i="2"/>
  <c r="O94" i="2"/>
  <c r="O98" i="2"/>
  <c r="O102" i="2"/>
  <c r="O106" i="2"/>
  <c r="O110" i="2"/>
  <c r="O114" i="2"/>
  <c r="O118" i="2"/>
  <c r="O122" i="2"/>
  <c r="O126" i="2"/>
  <c r="O130" i="2"/>
  <c r="O134" i="2"/>
  <c r="O138" i="2"/>
  <c r="O142" i="2"/>
  <c r="O146" i="2"/>
  <c r="O150" i="2"/>
  <c r="O154" i="2"/>
  <c r="O158" i="2"/>
  <c r="O162" i="2"/>
  <c r="O166" i="2"/>
  <c r="O170" i="2"/>
  <c r="O174" i="2"/>
  <c r="O178" i="2"/>
  <c r="O182" i="2"/>
  <c r="O186" i="2"/>
  <c r="O190" i="2"/>
  <c r="O194" i="2"/>
  <c r="O198" i="2"/>
  <c r="O202" i="2"/>
  <c r="O206" i="2"/>
  <c r="O210" i="2"/>
  <c r="O214" i="2"/>
  <c r="O218" i="2"/>
  <c r="O222" i="2"/>
  <c r="O226" i="2"/>
  <c r="O230" i="2"/>
  <c r="O234" i="2"/>
  <c r="O238" i="2"/>
  <c r="O242" i="2"/>
  <c r="O246" i="2"/>
  <c r="O250" i="2"/>
  <c r="O254" i="2"/>
  <c r="O258" i="2"/>
  <c r="O262" i="2"/>
  <c r="O266" i="2"/>
  <c r="O270" i="2"/>
  <c r="O274" i="2"/>
  <c r="O278" i="2"/>
  <c r="O282" i="2"/>
  <c r="O286" i="2"/>
  <c r="O290" i="2"/>
  <c r="O294" i="2"/>
  <c r="O298" i="2"/>
  <c r="O302" i="2"/>
  <c r="O306" i="2"/>
  <c r="O310" i="2"/>
  <c r="O314" i="2"/>
  <c r="O318" i="2"/>
  <c r="O322" i="2"/>
  <c r="O326" i="2"/>
  <c r="O330" i="2"/>
  <c r="O334" i="2"/>
  <c r="O338" i="2"/>
  <c r="O342" i="2"/>
  <c r="O5" i="2"/>
  <c r="O13" i="2"/>
  <c r="O21" i="2"/>
  <c r="O29" i="2"/>
  <c r="O37" i="2"/>
  <c r="O45" i="2"/>
  <c r="O53" i="2"/>
  <c r="O61" i="2"/>
  <c r="O69" i="2"/>
  <c r="O77" i="2"/>
  <c r="O85" i="2"/>
  <c r="O93" i="2"/>
  <c r="O101" i="2"/>
  <c r="O109" i="2"/>
  <c r="O117" i="2"/>
  <c r="O125" i="2"/>
  <c r="O133" i="2"/>
  <c r="O141" i="2"/>
  <c r="O149" i="2"/>
  <c r="O157" i="2"/>
  <c r="O165" i="2"/>
  <c r="O173" i="2"/>
  <c r="O181" i="2"/>
  <c r="O189" i="2"/>
  <c r="O197" i="2"/>
  <c r="O205" i="2"/>
  <c r="O213" i="2"/>
  <c r="O221" i="2"/>
  <c r="O229" i="2"/>
  <c r="O237" i="2"/>
  <c r="O245" i="2"/>
  <c r="O253" i="2"/>
  <c r="O261" i="2"/>
  <c r="O269" i="2"/>
  <c r="O277" i="2"/>
  <c r="O285" i="2"/>
  <c r="O293" i="2"/>
  <c r="O301" i="2"/>
  <c r="O309" i="2"/>
  <c r="O317" i="2"/>
  <c r="O325" i="2"/>
  <c r="O333" i="2"/>
  <c r="O341" i="2"/>
  <c r="O346" i="2"/>
  <c r="O350" i="2"/>
  <c r="O354" i="2"/>
  <c r="O358" i="2"/>
  <c r="O362" i="2"/>
  <c r="O366" i="2"/>
  <c r="O370" i="2"/>
  <c r="O374" i="2"/>
  <c r="O378" i="2"/>
  <c r="O382" i="2"/>
  <c r="O386" i="2"/>
  <c r="O390" i="2"/>
  <c r="O394" i="2"/>
  <c r="O398" i="2"/>
  <c r="O402" i="2"/>
  <c r="O406" i="2"/>
  <c r="O410" i="2"/>
  <c r="O414" i="2"/>
  <c r="O418" i="2"/>
  <c r="O7" i="2"/>
  <c r="O15" i="2"/>
  <c r="O23" i="2"/>
  <c r="O31" i="2"/>
  <c r="O39" i="2"/>
  <c r="O47" i="2"/>
  <c r="O55" i="2"/>
  <c r="O63" i="2"/>
  <c r="O71" i="2"/>
  <c r="O79" i="2"/>
  <c r="O87" i="2"/>
  <c r="O95" i="2"/>
  <c r="O103" i="2"/>
  <c r="O111" i="2"/>
  <c r="O119" i="2"/>
  <c r="O127" i="2"/>
  <c r="O135" i="2"/>
  <c r="O143" i="2"/>
  <c r="O151" i="2"/>
  <c r="O159" i="2"/>
  <c r="O167" i="2"/>
  <c r="O175" i="2"/>
  <c r="O183" i="2"/>
  <c r="O191" i="2"/>
  <c r="O199" i="2"/>
  <c r="O207" i="2"/>
  <c r="O215" i="2"/>
  <c r="O223" i="2"/>
  <c r="O231" i="2"/>
  <c r="O239" i="2"/>
  <c r="O247" i="2"/>
  <c r="O255" i="2"/>
  <c r="O263" i="2"/>
  <c r="O271" i="2"/>
  <c r="O279" i="2"/>
  <c r="O287" i="2"/>
  <c r="O295" i="2"/>
  <c r="O303" i="2"/>
  <c r="O311" i="2"/>
  <c r="O319" i="2"/>
  <c r="O327" i="2"/>
  <c r="O335" i="2"/>
  <c r="O343" i="2"/>
  <c r="O347" i="2"/>
  <c r="O351" i="2"/>
  <c r="O355" i="2"/>
  <c r="O359" i="2"/>
  <c r="O363" i="2"/>
  <c r="O367" i="2"/>
  <c r="O371" i="2"/>
  <c r="O375" i="2"/>
  <c r="O379" i="2"/>
  <c r="O383" i="2"/>
  <c r="O387" i="2"/>
  <c r="O391" i="2"/>
  <c r="O395" i="2"/>
  <c r="O399" i="2"/>
  <c r="O403" i="2"/>
  <c r="O407" i="2"/>
  <c r="O411" i="2"/>
  <c r="O415" i="2"/>
  <c r="O419" i="2"/>
  <c r="O423" i="2"/>
  <c r="O427" i="2"/>
  <c r="O431" i="2"/>
  <c r="O435" i="2"/>
  <c r="O439" i="2"/>
  <c r="O443" i="2"/>
  <c r="O447" i="2"/>
  <c r="O451" i="2"/>
  <c r="O455" i="2"/>
  <c r="O459" i="2"/>
  <c r="O463" i="2"/>
  <c r="O467" i="2"/>
  <c r="O471" i="2"/>
  <c r="O475" i="2"/>
  <c r="O479" i="2"/>
  <c r="O483" i="2"/>
  <c r="O487" i="2"/>
  <c r="O491" i="2"/>
  <c r="O495" i="2"/>
  <c r="O499" i="2"/>
  <c r="O503" i="2"/>
  <c r="O507" i="2"/>
  <c r="O511" i="2"/>
  <c r="O9" i="2"/>
  <c r="O17" i="2"/>
  <c r="O25" i="2"/>
  <c r="O33" i="2"/>
  <c r="O41" i="2"/>
  <c r="O49" i="2"/>
  <c r="O57" i="2"/>
  <c r="O65" i="2"/>
  <c r="O73" i="2"/>
  <c r="O81" i="2"/>
  <c r="O89" i="2"/>
  <c r="O97" i="2"/>
  <c r="O105" i="2"/>
  <c r="O113" i="2"/>
  <c r="O121" i="2"/>
  <c r="O129" i="2"/>
  <c r="O137" i="2"/>
  <c r="O145" i="2"/>
  <c r="O153" i="2"/>
  <c r="O161" i="2"/>
  <c r="O169" i="2"/>
  <c r="O177" i="2"/>
  <c r="O185" i="2"/>
  <c r="O193" i="2"/>
  <c r="O201" i="2"/>
  <c r="O209" i="2"/>
  <c r="O217" i="2"/>
  <c r="O225" i="2"/>
  <c r="O233" i="2"/>
  <c r="O241" i="2"/>
  <c r="O249" i="2"/>
  <c r="O257" i="2"/>
  <c r="O265" i="2"/>
  <c r="O273" i="2"/>
  <c r="O281" i="2"/>
  <c r="O289" i="2"/>
  <c r="O297" i="2"/>
  <c r="O305" i="2"/>
  <c r="O313" i="2"/>
  <c r="O321" i="2"/>
  <c r="O329" i="2"/>
  <c r="O337" i="2"/>
  <c r="O344" i="2"/>
  <c r="O348" i="2"/>
  <c r="O352" i="2"/>
  <c r="O356" i="2"/>
  <c r="O360" i="2"/>
  <c r="O364" i="2"/>
  <c r="O368" i="2"/>
  <c r="O372" i="2"/>
  <c r="O376" i="2"/>
  <c r="O380" i="2"/>
  <c r="O384" i="2"/>
  <c r="O388" i="2"/>
  <c r="O392" i="2"/>
  <c r="O396" i="2"/>
  <c r="O400" i="2"/>
  <c r="O404" i="2"/>
  <c r="O408" i="2"/>
  <c r="O412" i="2"/>
  <c r="O416" i="2"/>
  <c r="O420" i="2"/>
  <c r="O424" i="2"/>
  <c r="O428" i="2"/>
  <c r="O432" i="2"/>
  <c r="O436" i="2"/>
  <c r="O440" i="2"/>
  <c r="O444" i="2"/>
  <c r="O448" i="2"/>
  <c r="O452" i="2"/>
  <c r="O456" i="2"/>
  <c r="O460" i="2"/>
  <c r="O464" i="2"/>
  <c r="O468" i="2"/>
  <c r="O472" i="2"/>
  <c r="O476" i="2"/>
  <c r="O480" i="2"/>
  <c r="O484" i="2"/>
  <c r="O488" i="2"/>
  <c r="O492" i="2"/>
  <c r="O496" i="2"/>
  <c r="O500" i="2"/>
  <c r="O504" i="2"/>
  <c r="O508" i="2"/>
  <c r="O512" i="2"/>
  <c r="O516" i="2"/>
  <c r="O520" i="2"/>
  <c r="O524" i="2"/>
  <c r="O11" i="2"/>
  <c r="O43" i="2"/>
  <c r="O75" i="2"/>
  <c r="O107" i="2"/>
  <c r="O139" i="2"/>
  <c r="O171" i="2"/>
  <c r="O203" i="2"/>
  <c r="O235" i="2"/>
  <c r="O267" i="2"/>
  <c r="O299" i="2"/>
  <c r="O331" i="2"/>
  <c r="O353" i="2"/>
  <c r="O369" i="2"/>
  <c r="O385" i="2"/>
  <c r="O401" i="2"/>
  <c r="O417" i="2"/>
  <c r="O426" i="2"/>
  <c r="O434" i="2"/>
  <c r="O442" i="2"/>
  <c r="O450" i="2"/>
  <c r="O458" i="2"/>
  <c r="O466" i="2"/>
  <c r="O474" i="2"/>
  <c r="O482" i="2"/>
  <c r="O490" i="2"/>
  <c r="O498" i="2"/>
  <c r="O506" i="2"/>
  <c r="O514" i="2"/>
  <c r="O519" i="2"/>
  <c r="O525" i="2"/>
  <c r="O529" i="2"/>
  <c r="O533" i="2"/>
  <c r="O537" i="2"/>
  <c r="O541" i="2"/>
  <c r="O545" i="2"/>
  <c r="O549" i="2"/>
  <c r="O553" i="2"/>
  <c r="O557" i="2"/>
  <c r="O561" i="2"/>
  <c r="O565" i="2"/>
  <c r="O569" i="2"/>
  <c r="O573" i="2"/>
  <c r="O577" i="2"/>
  <c r="O581" i="2"/>
  <c r="O585" i="2"/>
  <c r="O589" i="2"/>
  <c r="O593" i="2"/>
  <c r="O597" i="2"/>
  <c r="O601" i="2"/>
  <c r="O605" i="2"/>
  <c r="O609" i="2"/>
  <c r="O613" i="2"/>
  <c r="O617" i="2"/>
  <c r="O621" i="2"/>
  <c r="O625" i="2"/>
  <c r="O629" i="2"/>
  <c r="O633" i="2"/>
  <c r="O637" i="2"/>
  <c r="O641" i="2"/>
  <c r="O645" i="2"/>
  <c r="O649" i="2"/>
  <c r="O653" i="2"/>
  <c r="O657" i="2"/>
  <c r="O661" i="2"/>
  <c r="O665" i="2"/>
  <c r="O669" i="2"/>
  <c r="O673" i="2"/>
  <c r="O677" i="2"/>
  <c r="O681" i="2"/>
  <c r="O685" i="2"/>
  <c r="O689" i="2"/>
  <c r="O693" i="2"/>
  <c r="O697" i="2"/>
  <c r="O701" i="2"/>
  <c r="O705" i="2"/>
  <c r="O709" i="2"/>
  <c r="O713" i="2"/>
  <c r="O717" i="2"/>
  <c r="O721" i="2"/>
  <c r="O725" i="2"/>
  <c r="O729" i="2"/>
  <c r="O733" i="2"/>
  <c r="O737" i="2"/>
  <c r="O741" i="2"/>
  <c r="O745" i="2"/>
  <c r="O19" i="2"/>
  <c r="O51" i="2"/>
  <c r="O83" i="2"/>
  <c r="O115" i="2"/>
  <c r="O147" i="2"/>
  <c r="O179" i="2"/>
  <c r="O211" i="2"/>
  <c r="O243" i="2"/>
  <c r="O275" i="2"/>
  <c r="O307" i="2"/>
  <c r="O339" i="2"/>
  <c r="O357" i="2"/>
  <c r="O373" i="2"/>
  <c r="O389" i="2"/>
  <c r="O405" i="2"/>
  <c r="O421" i="2"/>
  <c r="O429" i="2"/>
  <c r="O437" i="2"/>
  <c r="O445" i="2"/>
  <c r="O453" i="2"/>
  <c r="O461" i="2"/>
  <c r="O469" i="2"/>
  <c r="O477" i="2"/>
  <c r="O485" i="2"/>
  <c r="O493" i="2"/>
  <c r="O501" i="2"/>
  <c r="O509" i="2"/>
  <c r="O515" i="2"/>
  <c r="O521" i="2"/>
  <c r="O526" i="2"/>
  <c r="O530" i="2"/>
  <c r="O534" i="2"/>
  <c r="O538" i="2"/>
  <c r="O542" i="2"/>
  <c r="O546" i="2"/>
  <c r="O550" i="2"/>
  <c r="O554" i="2"/>
  <c r="O558" i="2"/>
  <c r="O562" i="2"/>
  <c r="O566" i="2"/>
  <c r="O570" i="2"/>
  <c r="O574" i="2"/>
  <c r="O578" i="2"/>
  <c r="O582" i="2"/>
  <c r="O586" i="2"/>
  <c r="O590" i="2"/>
  <c r="O594" i="2"/>
  <c r="O598" i="2"/>
  <c r="O602" i="2"/>
  <c r="O606" i="2"/>
  <c r="O610" i="2"/>
  <c r="O614" i="2"/>
  <c r="O618" i="2"/>
  <c r="O622" i="2"/>
  <c r="O626" i="2"/>
  <c r="O630" i="2"/>
  <c r="O634" i="2"/>
  <c r="O638" i="2"/>
  <c r="O642" i="2"/>
  <c r="O646" i="2"/>
  <c r="O650" i="2"/>
  <c r="O654" i="2"/>
  <c r="O35" i="2"/>
  <c r="O67" i="2"/>
  <c r="O99" i="2"/>
  <c r="O131" i="2"/>
  <c r="O163" i="2"/>
  <c r="O195" i="2"/>
  <c r="O227" i="2"/>
  <c r="O259" i="2"/>
  <c r="O291" i="2"/>
  <c r="O323" i="2"/>
  <c r="O349" i="2"/>
  <c r="O365" i="2"/>
  <c r="O381" i="2"/>
  <c r="O397" i="2"/>
  <c r="O413" i="2"/>
  <c r="O425" i="2"/>
  <c r="O433" i="2"/>
  <c r="O441" i="2"/>
  <c r="O449" i="2"/>
  <c r="O457" i="2"/>
  <c r="O465" i="2"/>
  <c r="O473" i="2"/>
  <c r="O481" i="2"/>
  <c r="O489" i="2"/>
  <c r="O497" i="2"/>
  <c r="O505" i="2"/>
  <c r="O513" i="2"/>
  <c r="O518" i="2"/>
  <c r="O523" i="2"/>
  <c r="O528" i="2"/>
  <c r="O532" i="2"/>
  <c r="O536" i="2"/>
  <c r="O540" i="2"/>
  <c r="O544" i="2"/>
  <c r="O548" i="2"/>
  <c r="O552" i="2"/>
  <c r="O556" i="2"/>
  <c r="O560" i="2"/>
  <c r="O564" i="2"/>
  <c r="O568" i="2"/>
  <c r="O572" i="2"/>
  <c r="O576" i="2"/>
  <c r="O580" i="2"/>
  <c r="O584" i="2"/>
  <c r="O588" i="2"/>
  <c r="O592" i="2"/>
  <c r="O596" i="2"/>
  <c r="O600" i="2"/>
  <c r="O604" i="2"/>
  <c r="O608" i="2"/>
  <c r="O612" i="2"/>
  <c r="O616" i="2"/>
  <c r="O620" i="2"/>
  <c r="O624" i="2"/>
  <c r="O628" i="2"/>
  <c r="O632" i="2"/>
  <c r="O636" i="2"/>
  <c r="O640" i="2"/>
  <c r="O644" i="2"/>
  <c r="O648" i="2"/>
  <c r="O652" i="2"/>
  <c r="O656" i="2"/>
  <c r="O660" i="2"/>
  <c r="O664" i="2"/>
  <c r="O668" i="2"/>
  <c r="O672" i="2"/>
  <c r="O27" i="2"/>
  <c r="O155" i="2"/>
  <c r="O283" i="2"/>
  <c r="O377" i="2"/>
  <c r="O430" i="2"/>
  <c r="O462" i="2"/>
  <c r="O494" i="2"/>
  <c r="O522" i="2"/>
  <c r="O539" i="2"/>
  <c r="O555" i="2"/>
  <c r="O571" i="2"/>
  <c r="O587" i="2"/>
  <c r="O603" i="2"/>
  <c r="O619" i="2"/>
  <c r="O635" i="2"/>
  <c r="O651" i="2"/>
  <c r="O662" i="2"/>
  <c r="O670" i="2"/>
  <c r="O676" i="2"/>
  <c r="O682" i="2"/>
  <c r="O687" i="2"/>
  <c r="O692" i="2"/>
  <c r="O698" i="2"/>
  <c r="O703" i="2"/>
  <c r="O708" i="2"/>
  <c r="O714" i="2"/>
  <c r="O719" i="2"/>
  <c r="O724" i="2"/>
  <c r="O730" i="2"/>
  <c r="O735" i="2"/>
  <c r="O740" i="2"/>
  <c r="O746" i="2"/>
  <c r="O750" i="2"/>
  <c r="O754" i="2"/>
  <c r="O758" i="2"/>
  <c r="O762" i="2"/>
  <c r="O766" i="2"/>
  <c r="O770" i="2"/>
  <c r="O774" i="2"/>
  <c r="O778" i="2"/>
  <c r="O782" i="2"/>
  <c r="O786" i="2"/>
  <c r="O790" i="2"/>
  <c r="O794" i="2"/>
  <c r="O798" i="2"/>
  <c r="O802" i="2"/>
  <c r="O806" i="2"/>
  <c r="O810" i="2"/>
  <c r="O814" i="2"/>
  <c r="O818" i="2"/>
  <c r="O822" i="2"/>
  <c r="O826" i="2"/>
  <c r="O830" i="2"/>
  <c r="O834" i="2"/>
  <c r="O838" i="2"/>
  <c r="O842" i="2"/>
  <c r="O846" i="2"/>
  <c r="O850" i="2"/>
  <c r="O854" i="2"/>
  <c r="O858" i="2"/>
  <c r="O862" i="2"/>
  <c r="O866" i="2"/>
  <c r="O870" i="2"/>
  <c r="O874" i="2"/>
  <c r="O878" i="2"/>
  <c r="O882" i="2"/>
  <c r="O886" i="2"/>
  <c r="O890" i="2"/>
  <c r="O894" i="2"/>
  <c r="O898" i="2"/>
  <c r="O902" i="2"/>
  <c r="O906" i="2"/>
  <c r="O910" i="2"/>
  <c r="O914" i="2"/>
  <c r="O918" i="2"/>
  <c r="O922" i="2"/>
  <c r="O926" i="2"/>
  <c r="O930" i="2"/>
  <c r="O934" i="2"/>
  <c r="O938" i="2"/>
  <c r="O942" i="2"/>
  <c r="O946" i="2"/>
  <c r="O950" i="2"/>
  <c r="O954" i="2"/>
  <c r="O958" i="2"/>
  <c r="O962" i="2"/>
  <c r="O966" i="2"/>
  <c r="O970" i="2"/>
  <c r="O974" i="2"/>
  <c r="O978" i="2"/>
  <c r="O982" i="2"/>
  <c r="O986" i="2"/>
  <c r="O990" i="2"/>
  <c r="O994" i="2"/>
  <c r="O998" i="2"/>
  <c r="O1002" i="2"/>
  <c r="O1006" i="2"/>
  <c r="O1010" i="2"/>
  <c r="O1014" i="2"/>
  <c r="O1018" i="2"/>
  <c r="O1022" i="2"/>
  <c r="O1026" i="2"/>
  <c r="O1030" i="2"/>
  <c r="O1034" i="2"/>
  <c r="O1038" i="2"/>
  <c r="O1042" i="2"/>
  <c r="O1046" i="2"/>
  <c r="O1050" i="2"/>
  <c r="O1054" i="2"/>
  <c r="O1058" i="2"/>
  <c r="O1062" i="2"/>
  <c r="O1066" i="2"/>
  <c r="O1070" i="2"/>
  <c r="O1074" i="2"/>
  <c r="O1078" i="2"/>
  <c r="O1082" i="2"/>
  <c r="O1086" i="2"/>
  <c r="O1090" i="2"/>
  <c r="O1094" i="2"/>
  <c r="O1098" i="2"/>
  <c r="O1102" i="2"/>
  <c r="O1106" i="2"/>
  <c r="O1110" i="2"/>
  <c r="O1114" i="2"/>
  <c r="O1118" i="2"/>
  <c r="O1122" i="2"/>
  <c r="O1126" i="2"/>
  <c r="O1130" i="2"/>
  <c r="O1134" i="2"/>
  <c r="O1138" i="2"/>
  <c r="O1142" i="2"/>
  <c r="O1146" i="2"/>
  <c r="O1150" i="2"/>
  <c r="O1154" i="2"/>
  <c r="O1158" i="2"/>
  <c r="O1162" i="2"/>
  <c r="O1166" i="2"/>
  <c r="O1170" i="2"/>
  <c r="O1174" i="2"/>
  <c r="O1178" i="2"/>
  <c r="O1182" i="2"/>
  <c r="O1186" i="2"/>
  <c r="O1190" i="2"/>
  <c r="O1194" i="2"/>
  <c r="O1198" i="2"/>
  <c r="O1202" i="2"/>
  <c r="O1206" i="2"/>
  <c r="O1210" i="2"/>
  <c r="O1214" i="2"/>
  <c r="O1218" i="2"/>
  <c r="O1222" i="2"/>
  <c r="O1226" i="2"/>
  <c r="O1230" i="2"/>
  <c r="O1234" i="2"/>
  <c r="O1238" i="2"/>
  <c r="O1242" i="2"/>
  <c r="O1246" i="2"/>
  <c r="O1250" i="2"/>
  <c r="O1254" i="2"/>
  <c r="O1258" i="2"/>
  <c r="O1262" i="2"/>
  <c r="O1266" i="2"/>
  <c r="O1270" i="2"/>
  <c r="O1274" i="2"/>
  <c r="O1278" i="2"/>
  <c r="O1282" i="2"/>
  <c r="O1286" i="2"/>
  <c r="O1290" i="2"/>
  <c r="O1294" i="2"/>
  <c r="O1298" i="2"/>
  <c r="O59" i="2"/>
  <c r="O187" i="2"/>
  <c r="O315" i="2"/>
  <c r="O393" i="2"/>
  <c r="O438" i="2"/>
  <c r="O470" i="2"/>
  <c r="O502" i="2"/>
  <c r="O527" i="2"/>
  <c r="O543" i="2"/>
  <c r="O559" i="2"/>
  <c r="O575" i="2"/>
  <c r="O591" i="2"/>
  <c r="O607" i="2"/>
  <c r="O623" i="2"/>
  <c r="O639" i="2"/>
  <c r="O655" i="2"/>
  <c r="O663" i="2"/>
  <c r="O671" i="2"/>
  <c r="O678" i="2"/>
  <c r="O683" i="2"/>
  <c r="O688" i="2"/>
  <c r="O694" i="2"/>
  <c r="O699" i="2"/>
  <c r="O704" i="2"/>
  <c r="O710" i="2"/>
  <c r="O715" i="2"/>
  <c r="O720" i="2"/>
  <c r="O726" i="2"/>
  <c r="O731" i="2"/>
  <c r="O736" i="2"/>
  <c r="O742" i="2"/>
  <c r="O747" i="2"/>
  <c r="O751" i="2"/>
  <c r="O755" i="2"/>
  <c r="O759" i="2"/>
  <c r="O763" i="2"/>
  <c r="O767" i="2"/>
  <c r="O771" i="2"/>
  <c r="O775" i="2"/>
  <c r="O779" i="2"/>
  <c r="O783" i="2"/>
  <c r="O787" i="2"/>
  <c r="O791" i="2"/>
  <c r="O795" i="2"/>
  <c r="O799" i="2"/>
  <c r="O803" i="2"/>
  <c r="O807" i="2"/>
  <c r="O811" i="2"/>
  <c r="O815" i="2"/>
  <c r="O819" i="2"/>
  <c r="O823" i="2"/>
  <c r="O827" i="2"/>
  <c r="O831" i="2"/>
  <c r="O835" i="2"/>
  <c r="O839" i="2"/>
  <c r="O843" i="2"/>
  <c r="O847" i="2"/>
  <c r="O851" i="2"/>
  <c r="O855" i="2"/>
  <c r="O859" i="2"/>
  <c r="O863" i="2"/>
  <c r="O867" i="2"/>
  <c r="O871" i="2"/>
  <c r="O875" i="2"/>
  <c r="O879" i="2"/>
  <c r="O883" i="2"/>
  <c r="O887" i="2"/>
  <c r="O891" i="2"/>
  <c r="O895" i="2"/>
  <c r="O899" i="2"/>
  <c r="O903" i="2"/>
  <c r="O907" i="2"/>
  <c r="O911" i="2"/>
  <c r="O915" i="2"/>
  <c r="O919" i="2"/>
  <c r="O923" i="2"/>
  <c r="O927" i="2"/>
  <c r="O931" i="2"/>
  <c r="O935" i="2"/>
  <c r="O939" i="2"/>
  <c r="O943" i="2"/>
  <c r="O947" i="2"/>
  <c r="O951" i="2"/>
  <c r="O955" i="2"/>
  <c r="O959" i="2"/>
  <c r="O963" i="2"/>
  <c r="O967" i="2"/>
  <c r="O971" i="2"/>
  <c r="O975" i="2"/>
  <c r="O979" i="2"/>
  <c r="O983" i="2"/>
  <c r="O987" i="2"/>
  <c r="O991" i="2"/>
  <c r="O995" i="2"/>
  <c r="O999" i="2"/>
  <c r="O1003" i="2"/>
  <c r="O1007" i="2"/>
  <c r="O1011" i="2"/>
  <c r="O1015" i="2"/>
  <c r="O1019" i="2"/>
  <c r="O1023" i="2"/>
  <c r="O1027" i="2"/>
  <c r="O1031" i="2"/>
  <c r="O1035" i="2"/>
  <c r="O1039" i="2"/>
  <c r="O1043" i="2"/>
  <c r="O1047" i="2"/>
  <c r="O1051" i="2"/>
  <c r="O1055" i="2"/>
  <c r="O1059" i="2"/>
  <c r="O1063" i="2"/>
  <c r="O1067" i="2"/>
  <c r="O1071" i="2"/>
  <c r="O1075" i="2"/>
  <c r="O1079" i="2"/>
  <c r="O1083" i="2"/>
  <c r="O1087" i="2"/>
  <c r="O1091" i="2"/>
  <c r="O1095" i="2"/>
  <c r="O1099" i="2"/>
  <c r="O1103" i="2"/>
  <c r="O1107" i="2"/>
  <c r="O1111" i="2"/>
  <c r="O1115" i="2"/>
  <c r="O1119" i="2"/>
  <c r="O1123" i="2"/>
  <c r="O1127" i="2"/>
  <c r="O1131" i="2"/>
  <c r="O1135" i="2"/>
  <c r="O1139" i="2"/>
  <c r="O1143" i="2"/>
  <c r="O1147" i="2"/>
  <c r="O1151" i="2"/>
  <c r="O1155" i="2"/>
  <c r="O1159" i="2"/>
  <c r="O1163" i="2"/>
  <c r="O1167" i="2"/>
  <c r="O1171" i="2"/>
  <c r="O1175" i="2"/>
  <c r="O1179" i="2"/>
  <c r="O1183" i="2"/>
  <c r="O1187" i="2"/>
  <c r="O1191" i="2"/>
  <c r="O1195" i="2"/>
  <c r="O1199" i="2"/>
  <c r="O1203" i="2"/>
  <c r="O1207" i="2"/>
  <c r="O1211" i="2"/>
  <c r="O1215" i="2"/>
  <c r="O1219" i="2"/>
  <c r="O91" i="2"/>
  <c r="O219" i="2"/>
  <c r="O345" i="2"/>
  <c r="O409" i="2"/>
  <c r="O446" i="2"/>
  <c r="O478" i="2"/>
  <c r="O510" i="2"/>
  <c r="O531" i="2"/>
  <c r="O547" i="2"/>
  <c r="O563" i="2"/>
  <c r="O579" i="2"/>
  <c r="O595" i="2"/>
  <c r="O611" i="2"/>
  <c r="O627" i="2"/>
  <c r="O643" i="2"/>
  <c r="O658" i="2"/>
  <c r="O666" i="2"/>
  <c r="O674" i="2"/>
  <c r="O679" i="2"/>
  <c r="O684" i="2"/>
  <c r="O690" i="2"/>
  <c r="O695" i="2"/>
  <c r="O700" i="2"/>
  <c r="O706" i="2"/>
  <c r="O711" i="2"/>
  <c r="O716" i="2"/>
  <c r="O722" i="2"/>
  <c r="O727" i="2"/>
  <c r="O732" i="2"/>
  <c r="O738" i="2"/>
  <c r="O743" i="2"/>
  <c r="O748" i="2"/>
  <c r="O752" i="2"/>
  <c r="O756" i="2"/>
  <c r="O760" i="2"/>
  <c r="O764" i="2"/>
  <c r="O768" i="2"/>
  <c r="O772" i="2"/>
  <c r="O776" i="2"/>
  <c r="O780" i="2"/>
  <c r="O784" i="2"/>
  <c r="O788" i="2"/>
  <c r="O792" i="2"/>
  <c r="O796" i="2"/>
  <c r="O800" i="2"/>
  <c r="O804" i="2"/>
  <c r="O808" i="2"/>
  <c r="O812" i="2"/>
  <c r="O816" i="2"/>
  <c r="O820" i="2"/>
  <c r="O824" i="2"/>
  <c r="O828" i="2"/>
  <c r="O832" i="2"/>
  <c r="O836" i="2"/>
  <c r="O840" i="2"/>
  <c r="O844" i="2"/>
  <c r="O848" i="2"/>
  <c r="O852" i="2"/>
  <c r="O856" i="2"/>
  <c r="O860" i="2"/>
  <c r="O864" i="2"/>
  <c r="O868" i="2"/>
  <c r="O872" i="2"/>
  <c r="O876" i="2"/>
  <c r="O880" i="2"/>
  <c r="O884" i="2"/>
  <c r="O888" i="2"/>
  <c r="O892" i="2"/>
  <c r="O896" i="2"/>
  <c r="O123" i="2"/>
  <c r="O251" i="2"/>
  <c r="O361" i="2"/>
  <c r="O422" i="2"/>
  <c r="O454" i="2"/>
  <c r="O486" i="2"/>
  <c r="O517" i="2"/>
  <c r="O535" i="2"/>
  <c r="O551" i="2"/>
  <c r="O567" i="2"/>
  <c r="O583" i="2"/>
  <c r="O599" i="2"/>
  <c r="O615" i="2"/>
  <c r="O631" i="2"/>
  <c r="O647" i="2"/>
  <c r="O659" i="2"/>
  <c r="O667" i="2"/>
  <c r="O675" i="2"/>
  <c r="O680" i="2"/>
  <c r="O686" i="2"/>
  <c r="O691" i="2"/>
  <c r="O696" i="2"/>
  <c r="O702" i="2"/>
  <c r="O707" i="2"/>
  <c r="O712" i="2"/>
  <c r="O718" i="2"/>
  <c r="O723" i="2"/>
  <c r="O728" i="2"/>
  <c r="O734" i="2"/>
  <c r="O739" i="2"/>
  <c r="O744" i="2"/>
  <c r="O749" i="2"/>
  <c r="O753" i="2"/>
  <c r="O757" i="2"/>
  <c r="O761" i="2"/>
  <c r="O765" i="2"/>
  <c r="O769" i="2"/>
  <c r="O773" i="2"/>
  <c r="O777" i="2"/>
  <c r="O781" i="2"/>
  <c r="O785" i="2"/>
  <c r="O789" i="2"/>
  <c r="O793" i="2"/>
  <c r="O797" i="2"/>
  <c r="O801" i="2"/>
  <c r="O805" i="2"/>
  <c r="O809" i="2"/>
  <c r="O813" i="2"/>
  <c r="O817" i="2"/>
  <c r="O821" i="2"/>
  <c r="O825" i="2"/>
  <c r="O829" i="2"/>
  <c r="O833" i="2"/>
  <c r="O837" i="2"/>
  <c r="O841" i="2"/>
  <c r="O845" i="2"/>
  <c r="O849" i="2"/>
  <c r="O853" i="2"/>
  <c r="O857" i="2"/>
  <c r="O861" i="2"/>
  <c r="O865" i="2"/>
  <c r="O869" i="2"/>
  <c r="O873" i="2"/>
  <c r="O877" i="2"/>
  <c r="O881" i="2"/>
  <c r="O885" i="2"/>
  <c r="O889" i="2"/>
  <c r="O893" i="2"/>
  <c r="O897" i="2"/>
  <c r="O901" i="2"/>
  <c r="O905" i="2"/>
  <c r="O909" i="2"/>
  <c r="O913" i="2"/>
  <c r="O917" i="2"/>
  <c r="O921" i="2"/>
  <c r="O925" i="2"/>
  <c r="O929" i="2"/>
  <c r="O933" i="2"/>
  <c r="O937" i="2"/>
  <c r="O941" i="2"/>
  <c r="O945" i="2"/>
  <c r="O949" i="2"/>
  <c r="O953" i="2"/>
  <c r="O957" i="2"/>
  <c r="O961" i="2"/>
  <c r="O965" i="2"/>
  <c r="O969" i="2"/>
  <c r="O973" i="2"/>
  <c r="O977" i="2"/>
  <c r="O981" i="2"/>
  <c r="O985" i="2"/>
  <c r="O989" i="2"/>
  <c r="O993" i="2"/>
  <c r="O997" i="2"/>
  <c r="O1001" i="2"/>
  <c r="O1005" i="2"/>
  <c r="O1009" i="2"/>
  <c r="O1013" i="2"/>
  <c r="O1017" i="2"/>
  <c r="O1021" i="2"/>
  <c r="O1025" i="2"/>
  <c r="O1029" i="2"/>
  <c r="O1033" i="2"/>
  <c r="O1037" i="2"/>
  <c r="O1041" i="2"/>
  <c r="O1045" i="2"/>
  <c r="O1049" i="2"/>
  <c r="O1053" i="2"/>
  <c r="O1057" i="2"/>
  <c r="O1061" i="2"/>
  <c r="O1065" i="2"/>
  <c r="O1069" i="2"/>
  <c r="O1073" i="2"/>
  <c r="O1077" i="2"/>
  <c r="O1081" i="2"/>
  <c r="O1085" i="2"/>
  <c r="O1089" i="2"/>
  <c r="O1093" i="2"/>
  <c r="O1097" i="2"/>
  <c r="O1101" i="2"/>
  <c r="O1105" i="2"/>
  <c r="O1109" i="2"/>
  <c r="O1113" i="2"/>
  <c r="O1117" i="2"/>
  <c r="O1121" i="2"/>
  <c r="O1125" i="2"/>
  <c r="O1129" i="2"/>
  <c r="O1133" i="2"/>
  <c r="O1137" i="2"/>
  <c r="O1141" i="2"/>
  <c r="O1145" i="2"/>
  <c r="O1149" i="2"/>
  <c r="O1153" i="2"/>
  <c r="O1157" i="2"/>
  <c r="O1161" i="2"/>
  <c r="O900" i="2"/>
  <c r="O916" i="2"/>
  <c r="O932" i="2"/>
  <c r="O948" i="2"/>
  <c r="O964" i="2"/>
  <c r="O980" i="2"/>
  <c r="O996" i="2"/>
  <c r="O1012" i="2"/>
  <c r="O1028" i="2"/>
  <c r="O1044" i="2"/>
  <c r="O1060" i="2"/>
  <c r="O1076" i="2"/>
  <c r="O1092" i="2"/>
  <c r="O1108" i="2"/>
  <c r="O1124" i="2"/>
  <c r="O1140" i="2"/>
  <c r="O1156" i="2"/>
  <c r="O1168" i="2"/>
  <c r="O1176" i="2"/>
  <c r="O1184" i="2"/>
  <c r="O1192" i="2"/>
  <c r="O1200" i="2"/>
  <c r="O1208" i="2"/>
  <c r="O1216" i="2"/>
  <c r="O1223" i="2"/>
  <c r="O1228" i="2"/>
  <c r="O1233" i="2"/>
  <c r="O1239" i="2"/>
  <c r="O1244" i="2"/>
  <c r="O1249" i="2"/>
  <c r="O1255" i="2"/>
  <c r="O1260" i="2"/>
  <c r="O1265" i="2"/>
  <c r="O1271" i="2"/>
  <c r="O1276" i="2"/>
  <c r="O1281" i="2"/>
  <c r="O1287" i="2"/>
  <c r="O1292" i="2"/>
  <c r="O1297" i="2"/>
  <c r="O1302" i="2"/>
  <c r="O1306" i="2"/>
  <c r="O1310" i="2"/>
  <c r="O1314" i="2"/>
  <c r="O1318" i="2"/>
  <c r="O1322" i="2"/>
  <c r="O1326" i="2"/>
  <c r="O1330" i="2"/>
  <c r="O1334" i="2"/>
  <c r="O1338" i="2"/>
  <c r="O1342" i="2"/>
  <c r="O1346" i="2"/>
  <c r="O1350" i="2"/>
  <c r="O1354" i="2"/>
  <c r="O1358" i="2"/>
  <c r="O1362" i="2"/>
  <c r="O1366" i="2"/>
  <c r="O1370" i="2"/>
  <c r="O1374" i="2"/>
  <c r="O1378" i="2"/>
  <c r="O1382" i="2"/>
  <c r="O1386" i="2"/>
  <c r="O1390" i="2"/>
  <c r="O1394" i="2"/>
  <c r="O1398" i="2"/>
  <c r="O1402" i="2"/>
  <c r="O1406" i="2"/>
  <c r="O1410" i="2"/>
  <c r="O1414" i="2"/>
  <c r="O1418" i="2"/>
  <c r="O1422" i="2"/>
  <c r="O1426" i="2"/>
  <c r="O1430" i="2"/>
  <c r="O1434" i="2"/>
  <c r="O1438" i="2"/>
  <c r="O1442" i="2"/>
  <c r="O1446" i="2"/>
  <c r="O1450" i="2"/>
  <c r="O1454" i="2"/>
  <c r="O1458" i="2"/>
  <c r="O1462" i="2"/>
  <c r="O1466" i="2"/>
  <c r="O1470" i="2"/>
  <c r="O1474" i="2"/>
  <c r="O1478" i="2"/>
  <c r="O1482" i="2"/>
  <c r="O1486" i="2"/>
  <c r="O1490" i="2"/>
  <c r="O1494" i="2"/>
  <c r="O1498" i="2"/>
  <c r="O1502" i="2"/>
  <c r="O1506" i="2"/>
  <c r="O1510" i="2"/>
  <c r="O1514" i="2"/>
  <c r="O1518" i="2"/>
  <c r="O1522" i="2"/>
  <c r="O1526" i="2"/>
  <c r="O1530" i="2"/>
  <c r="O1534" i="2"/>
  <c r="O1538" i="2"/>
  <c r="O1542" i="2"/>
  <c r="O1546" i="2"/>
  <c r="O1550" i="2"/>
  <c r="O1554" i="2"/>
  <c r="O1558" i="2"/>
  <c r="O1562" i="2"/>
  <c r="O1566" i="2"/>
  <c r="O1570" i="2"/>
  <c r="O1574" i="2"/>
  <c r="O1578" i="2"/>
  <c r="O1582" i="2"/>
  <c r="O1586" i="2"/>
  <c r="O1590" i="2"/>
  <c r="O1594" i="2"/>
  <c r="O1598" i="2"/>
  <c r="O1602" i="2"/>
  <c r="O1606" i="2"/>
  <c r="O1610" i="2"/>
  <c r="O1614" i="2"/>
  <c r="O1618" i="2"/>
  <c r="O1622" i="2"/>
  <c r="O1626" i="2"/>
  <c r="O1630" i="2"/>
  <c r="O1634" i="2"/>
  <c r="O1638" i="2"/>
  <c r="O1642" i="2"/>
  <c r="O1646" i="2"/>
  <c r="O1650" i="2"/>
  <c r="O1654" i="2"/>
  <c r="O1658" i="2"/>
  <c r="O1662" i="2"/>
  <c r="O1666" i="2"/>
  <c r="O1670" i="2"/>
  <c r="O1674" i="2"/>
  <c r="O1678" i="2"/>
  <c r="O1682" i="2"/>
  <c r="O1686" i="2"/>
  <c r="O1690" i="2"/>
  <c r="O1694" i="2"/>
  <c r="O1698" i="2"/>
  <c r="O1702" i="2"/>
  <c r="O1706" i="2"/>
  <c r="O1710" i="2"/>
  <c r="O1714" i="2"/>
  <c r="O1718" i="2"/>
  <c r="O1722" i="2"/>
  <c r="O1726" i="2"/>
  <c r="O1730" i="2"/>
  <c r="O1734" i="2"/>
  <c r="O1738" i="2"/>
  <c r="O1742" i="2"/>
  <c r="O1746" i="2"/>
  <c r="O1750" i="2"/>
  <c r="O1754" i="2"/>
  <c r="O1758" i="2"/>
  <c r="O1762" i="2"/>
  <c r="O1766" i="2"/>
  <c r="O1770" i="2"/>
  <c r="O1774" i="2"/>
  <c r="O1778" i="2"/>
  <c r="O1782" i="2"/>
  <c r="O1786" i="2"/>
  <c r="O1790" i="2"/>
  <c r="O1794" i="2"/>
  <c r="O1798" i="2"/>
  <c r="O1802" i="2"/>
  <c r="O1806" i="2"/>
  <c r="O1810" i="2"/>
  <c r="O1814" i="2"/>
  <c r="O1818" i="2"/>
  <c r="O1822" i="2"/>
  <c r="O1826" i="2"/>
  <c r="O1830" i="2"/>
  <c r="O1834" i="2"/>
  <c r="O1838" i="2"/>
  <c r="O1842" i="2"/>
  <c r="O1846" i="2"/>
  <c r="O1850" i="2"/>
  <c r="O1854" i="2"/>
  <c r="O1858" i="2"/>
  <c r="O1862" i="2"/>
  <c r="O1866" i="2"/>
  <c r="O1870" i="2"/>
  <c r="O1874" i="2"/>
  <c r="O1878" i="2"/>
  <c r="O1882" i="2"/>
  <c r="O1886" i="2"/>
  <c r="O1890" i="2"/>
  <c r="O1894" i="2"/>
  <c r="O1898" i="2"/>
  <c r="O1902" i="2"/>
  <c r="O1906" i="2"/>
  <c r="O1910" i="2"/>
  <c r="O1914" i="2"/>
  <c r="O1918" i="2"/>
  <c r="O1922" i="2"/>
  <c r="O904" i="2"/>
  <c r="O920" i="2"/>
  <c r="O936" i="2"/>
  <c r="O952" i="2"/>
  <c r="O968" i="2"/>
  <c r="O984" i="2"/>
  <c r="O1000" i="2"/>
  <c r="O1016" i="2"/>
  <c r="O1032" i="2"/>
  <c r="O1048" i="2"/>
  <c r="O1064" i="2"/>
  <c r="O1080" i="2"/>
  <c r="O1096" i="2"/>
  <c r="O1112" i="2"/>
  <c r="O1128" i="2"/>
  <c r="O1144" i="2"/>
  <c r="O1160" i="2"/>
  <c r="O1169" i="2"/>
  <c r="O1177" i="2"/>
  <c r="O1185" i="2"/>
  <c r="O1193" i="2"/>
  <c r="O1201" i="2"/>
  <c r="O1209" i="2"/>
  <c r="O1217" i="2"/>
  <c r="O1224" i="2"/>
  <c r="O1229" i="2"/>
  <c r="O1235" i="2"/>
  <c r="O1240" i="2"/>
  <c r="O1245" i="2"/>
  <c r="O1251" i="2"/>
  <c r="O1256" i="2"/>
  <c r="O1261" i="2"/>
  <c r="O1267" i="2"/>
  <c r="O1272" i="2"/>
  <c r="O1277" i="2"/>
  <c r="O1283" i="2"/>
  <c r="O1288" i="2"/>
  <c r="O1293" i="2"/>
  <c r="O1299" i="2"/>
  <c r="O1303" i="2"/>
  <c r="O1307" i="2"/>
  <c r="O1311" i="2"/>
  <c r="O1315" i="2"/>
  <c r="O1319" i="2"/>
  <c r="O1323" i="2"/>
  <c r="O1327" i="2"/>
  <c r="O1331" i="2"/>
  <c r="O1335" i="2"/>
  <c r="O1339" i="2"/>
  <c r="O1343" i="2"/>
  <c r="O1347" i="2"/>
  <c r="O1351" i="2"/>
  <c r="O1355" i="2"/>
  <c r="O1359" i="2"/>
  <c r="O1363" i="2"/>
  <c r="O1367" i="2"/>
  <c r="O1371" i="2"/>
  <c r="O1375" i="2"/>
  <c r="O1379" i="2"/>
  <c r="O1383" i="2"/>
  <c r="O1387" i="2"/>
  <c r="O1391" i="2"/>
  <c r="O1395" i="2"/>
  <c r="O1399" i="2"/>
  <c r="O1403" i="2"/>
  <c r="O1407" i="2"/>
  <c r="O1411" i="2"/>
  <c r="O1415" i="2"/>
  <c r="O1419" i="2"/>
  <c r="O1423" i="2"/>
  <c r="O1427" i="2"/>
  <c r="O1431" i="2"/>
  <c r="O1435" i="2"/>
  <c r="O1439" i="2"/>
  <c r="O1443" i="2"/>
  <c r="O1447" i="2"/>
  <c r="O1451" i="2"/>
  <c r="O1455" i="2"/>
  <c r="O1459" i="2"/>
  <c r="O1463" i="2"/>
  <c r="O1467" i="2"/>
  <c r="O1471" i="2"/>
  <c r="O1475" i="2"/>
  <c r="O1479" i="2"/>
  <c r="O1483" i="2"/>
  <c r="O1487" i="2"/>
  <c r="O1491" i="2"/>
  <c r="O1495" i="2"/>
  <c r="O1499" i="2"/>
  <c r="O1503" i="2"/>
  <c r="O1507" i="2"/>
  <c r="O1511" i="2"/>
  <c r="O1515" i="2"/>
  <c r="O1519" i="2"/>
  <c r="O1523" i="2"/>
  <c r="O1527" i="2"/>
  <c r="O1531" i="2"/>
  <c r="O1535" i="2"/>
  <c r="O1539" i="2"/>
  <c r="O1543" i="2"/>
  <c r="O1547" i="2"/>
  <c r="O1551" i="2"/>
  <c r="O1555" i="2"/>
  <c r="O1559" i="2"/>
  <c r="O1563" i="2"/>
  <c r="O1567" i="2"/>
  <c r="O1571" i="2"/>
  <c r="O1575" i="2"/>
  <c r="O1579" i="2"/>
  <c r="O1583" i="2"/>
  <c r="O1587" i="2"/>
  <c r="O1591" i="2"/>
  <c r="O1595" i="2"/>
  <c r="O1599" i="2"/>
  <c r="O1603" i="2"/>
  <c r="O1607" i="2"/>
  <c r="O1611" i="2"/>
  <c r="O1615" i="2"/>
  <c r="O1619" i="2"/>
  <c r="O1623" i="2"/>
  <c r="O1627" i="2"/>
  <c r="O1631" i="2"/>
  <c r="O1635" i="2"/>
  <c r="O1639" i="2"/>
  <c r="O1643" i="2"/>
  <c r="O1647" i="2"/>
  <c r="O1651" i="2"/>
  <c r="O1655" i="2"/>
  <c r="O1659" i="2"/>
  <c r="O1663" i="2"/>
  <c r="O1667" i="2"/>
  <c r="O1671" i="2"/>
  <c r="O1675" i="2"/>
  <c r="O1679" i="2"/>
  <c r="O1683" i="2"/>
  <c r="O1687" i="2"/>
  <c r="O1691" i="2"/>
  <c r="O1695" i="2"/>
  <c r="O1699" i="2"/>
  <c r="O1703" i="2"/>
  <c r="O1707" i="2"/>
  <c r="O1711" i="2"/>
  <c r="O1715" i="2"/>
  <c r="O1719" i="2"/>
  <c r="O1723" i="2"/>
  <c r="O1727" i="2"/>
  <c r="O1731" i="2"/>
  <c r="O1735" i="2"/>
  <c r="O1739" i="2"/>
  <c r="O1743" i="2"/>
  <c r="O1747" i="2"/>
  <c r="O1751" i="2"/>
  <c r="O1755" i="2"/>
  <c r="O1759" i="2"/>
  <c r="O1763" i="2"/>
  <c r="O1767" i="2"/>
  <c r="O1771" i="2"/>
  <c r="O1775" i="2"/>
  <c r="O1779" i="2"/>
  <c r="O1783" i="2"/>
  <c r="O1787" i="2"/>
  <c r="O1791" i="2"/>
  <c r="O1795" i="2"/>
  <c r="O1799" i="2"/>
  <c r="O1803" i="2"/>
  <c r="O1807" i="2"/>
  <c r="O1811" i="2"/>
  <c r="O1815" i="2"/>
  <c r="O1819" i="2"/>
  <c r="O1823" i="2"/>
  <c r="O908" i="2"/>
  <c r="O924" i="2"/>
  <c r="O940" i="2"/>
  <c r="O956" i="2"/>
  <c r="O972" i="2"/>
  <c r="O988" i="2"/>
  <c r="O1004" i="2"/>
  <c r="O1020" i="2"/>
  <c r="O1036" i="2"/>
  <c r="O1052" i="2"/>
  <c r="O1068" i="2"/>
  <c r="O1084" i="2"/>
  <c r="O1100" i="2"/>
  <c r="O1116" i="2"/>
  <c r="O1132" i="2"/>
  <c r="O1148" i="2"/>
  <c r="O1164" i="2"/>
  <c r="O1172" i="2"/>
  <c r="O1180" i="2"/>
  <c r="O1188" i="2"/>
  <c r="O1196" i="2"/>
  <c r="O1204" i="2"/>
  <c r="O1212" i="2"/>
  <c r="O1220" i="2"/>
  <c r="O1225" i="2"/>
  <c r="O1231" i="2"/>
  <c r="O1236" i="2"/>
  <c r="O1241" i="2"/>
  <c r="O1247" i="2"/>
  <c r="O1252" i="2"/>
  <c r="O1257" i="2"/>
  <c r="O1263" i="2"/>
  <c r="O1268" i="2"/>
  <c r="O1273" i="2"/>
  <c r="O1279" i="2"/>
  <c r="O1284" i="2"/>
  <c r="O1289" i="2"/>
  <c r="O1295" i="2"/>
  <c r="O1300" i="2"/>
  <c r="O1304" i="2"/>
  <c r="O1308" i="2"/>
  <c r="O1312" i="2"/>
  <c r="O1316" i="2"/>
  <c r="O1320" i="2"/>
  <c r="O1324" i="2"/>
  <c r="O1328" i="2"/>
  <c r="O1332" i="2"/>
  <c r="O1336" i="2"/>
  <c r="O1340" i="2"/>
  <c r="O1344" i="2"/>
  <c r="O1348" i="2"/>
  <c r="O1352" i="2"/>
  <c r="O1356" i="2"/>
  <c r="O1360" i="2"/>
  <c r="O1364" i="2"/>
  <c r="O1368" i="2"/>
  <c r="O1372" i="2"/>
  <c r="O1376" i="2"/>
  <c r="O1380" i="2"/>
  <c r="O1384" i="2"/>
  <c r="O1388" i="2"/>
  <c r="O1392" i="2"/>
  <c r="O1396" i="2"/>
  <c r="O1400" i="2"/>
  <c r="O1404" i="2"/>
  <c r="O1408" i="2"/>
  <c r="O1412" i="2"/>
  <c r="O1416" i="2"/>
  <c r="O1420" i="2"/>
  <c r="O1424" i="2"/>
  <c r="O1428" i="2"/>
  <c r="O1432" i="2"/>
  <c r="O1436" i="2"/>
  <c r="O1440" i="2"/>
  <c r="O1444" i="2"/>
  <c r="O1448" i="2"/>
  <c r="O1452" i="2"/>
  <c r="O1456" i="2"/>
  <c r="O1460" i="2"/>
  <c r="O1464" i="2"/>
  <c r="O1468" i="2"/>
  <c r="O1472" i="2"/>
  <c r="O1476" i="2"/>
  <c r="O1480" i="2"/>
  <c r="O1484" i="2"/>
  <c r="O1488" i="2"/>
  <c r="O1492" i="2"/>
  <c r="O1496" i="2"/>
  <c r="O1500" i="2"/>
  <c r="O1504" i="2"/>
  <c r="O1508" i="2"/>
  <c r="O1512" i="2"/>
  <c r="O1516" i="2"/>
  <c r="O1520" i="2"/>
  <c r="O1524" i="2"/>
  <c r="O1528" i="2"/>
  <c r="O1532" i="2"/>
  <c r="O1536" i="2"/>
  <c r="O1540" i="2"/>
  <c r="O1544" i="2"/>
  <c r="O1548" i="2"/>
  <c r="O1552" i="2"/>
  <c r="O1556" i="2"/>
  <c r="O1560" i="2"/>
  <c r="O1564" i="2"/>
  <c r="O1568" i="2"/>
  <c r="O1572" i="2"/>
  <c r="O1576" i="2"/>
  <c r="O1580" i="2"/>
  <c r="O1584" i="2"/>
  <c r="O1588" i="2"/>
  <c r="O1592" i="2"/>
  <c r="O1596" i="2"/>
  <c r="O1600" i="2"/>
  <c r="O1604" i="2"/>
  <c r="O1608" i="2"/>
  <c r="O1612" i="2"/>
  <c r="O1616" i="2"/>
  <c r="O1620" i="2"/>
  <c r="O1624" i="2"/>
  <c r="O1628" i="2"/>
  <c r="O1632" i="2"/>
  <c r="O1636" i="2"/>
  <c r="O1640" i="2"/>
  <c r="O1644" i="2"/>
  <c r="O1648" i="2"/>
  <c r="O1652" i="2"/>
  <c r="O1656" i="2"/>
  <c r="O1660" i="2"/>
  <c r="O1664" i="2"/>
  <c r="O1668" i="2"/>
  <c r="O1672" i="2"/>
  <c r="O1676" i="2"/>
  <c r="O1680" i="2"/>
  <c r="O1684" i="2"/>
  <c r="O1688" i="2"/>
  <c r="O1692" i="2"/>
  <c r="O1696" i="2"/>
  <c r="O1700" i="2"/>
  <c r="O1704" i="2"/>
  <c r="O1708" i="2"/>
  <c r="O1712" i="2"/>
  <c r="O1716" i="2"/>
  <c r="O1720" i="2"/>
  <c r="O1724" i="2"/>
  <c r="O1728" i="2"/>
  <c r="O1732" i="2"/>
  <c r="O1736" i="2"/>
  <c r="O1740" i="2"/>
  <c r="O1744" i="2"/>
  <c r="O1748" i="2"/>
  <c r="O1752" i="2"/>
  <c r="O1756" i="2"/>
  <c r="O1760" i="2"/>
  <c r="O1764" i="2"/>
  <c r="O1768" i="2"/>
  <c r="O1772" i="2"/>
  <c r="O1776" i="2"/>
  <c r="O1780" i="2"/>
  <c r="O1784" i="2"/>
  <c r="O1788" i="2"/>
  <c r="O1792" i="2"/>
  <c r="O1796" i="2"/>
  <c r="O1800" i="2"/>
  <c r="O912" i="2"/>
  <c r="O928" i="2"/>
  <c r="O944" i="2"/>
  <c r="O960" i="2"/>
  <c r="O976" i="2"/>
  <c r="O992" i="2"/>
  <c r="O1008" i="2"/>
  <c r="O1024" i="2"/>
  <c r="O1040" i="2"/>
  <c r="O1056" i="2"/>
  <c r="O1072" i="2"/>
  <c r="O1088" i="2"/>
  <c r="O1104" i="2"/>
  <c r="O1120" i="2"/>
  <c r="O1136" i="2"/>
  <c r="O1152" i="2"/>
  <c r="O1165" i="2"/>
  <c r="O1173" i="2"/>
  <c r="O1181" i="2"/>
  <c r="O1189" i="2"/>
  <c r="O1197" i="2"/>
  <c r="O1205" i="2"/>
  <c r="O1213" i="2"/>
  <c r="O1221" i="2"/>
  <c r="O1227" i="2"/>
  <c r="O1232" i="2"/>
  <c r="O1237" i="2"/>
  <c r="O1243" i="2"/>
  <c r="O1248" i="2"/>
  <c r="O1253" i="2"/>
  <c r="O1259" i="2"/>
  <c r="O1264" i="2"/>
  <c r="O1269" i="2"/>
  <c r="O1275" i="2"/>
  <c r="O1280" i="2"/>
  <c r="O1285" i="2"/>
  <c r="O1291" i="2"/>
  <c r="O1296" i="2"/>
  <c r="O1301" i="2"/>
  <c r="O1305" i="2"/>
  <c r="O1309" i="2"/>
  <c r="O1313" i="2"/>
  <c r="O1317" i="2"/>
  <c r="O1321" i="2"/>
  <c r="O1325" i="2"/>
  <c r="O1329" i="2"/>
  <c r="O1333" i="2"/>
  <c r="O1337" i="2"/>
  <c r="O1341" i="2"/>
  <c r="O1345" i="2"/>
  <c r="O1349" i="2"/>
  <c r="O1353" i="2"/>
  <c r="O1357" i="2"/>
  <c r="O1361" i="2"/>
  <c r="O1365" i="2"/>
  <c r="O1369" i="2"/>
  <c r="O1373" i="2"/>
  <c r="O1377" i="2"/>
  <c r="O1381" i="2"/>
  <c r="O1385" i="2"/>
  <c r="O1389" i="2"/>
  <c r="O1393" i="2"/>
  <c r="O1397" i="2"/>
  <c r="O1401" i="2"/>
  <c r="O1405" i="2"/>
  <c r="O1409" i="2"/>
  <c r="O1413" i="2"/>
  <c r="O1417" i="2"/>
  <c r="O1421" i="2"/>
  <c r="O1425" i="2"/>
  <c r="O1429" i="2"/>
  <c r="O1433" i="2"/>
  <c r="O1437" i="2"/>
  <c r="O1441" i="2"/>
  <c r="O1445" i="2"/>
  <c r="O1449" i="2"/>
  <c r="O1453" i="2"/>
  <c r="O1457" i="2"/>
  <c r="O1461" i="2"/>
  <c r="O1465" i="2"/>
  <c r="O1469" i="2"/>
  <c r="O1473" i="2"/>
  <c r="O1477" i="2"/>
  <c r="O1481" i="2"/>
  <c r="O1485" i="2"/>
  <c r="O1489" i="2"/>
  <c r="O1493" i="2"/>
  <c r="O1497" i="2"/>
  <c r="O1501" i="2"/>
  <c r="O1505" i="2"/>
  <c r="O1509" i="2"/>
  <c r="O1513" i="2"/>
  <c r="O1517" i="2"/>
  <c r="O1521" i="2"/>
  <c r="O1525" i="2"/>
  <c r="O1529" i="2"/>
  <c r="O1533" i="2"/>
  <c r="O1537" i="2"/>
  <c r="O1541" i="2"/>
  <c r="O1545" i="2"/>
  <c r="O1549" i="2"/>
  <c r="O1553" i="2"/>
  <c r="O1557" i="2"/>
  <c r="O1561" i="2"/>
  <c r="O1565" i="2"/>
  <c r="O1569" i="2"/>
  <c r="O1573" i="2"/>
  <c r="O1577" i="2"/>
  <c r="O1581" i="2"/>
  <c r="O1585" i="2"/>
  <c r="O1589" i="2"/>
  <c r="O1593" i="2"/>
  <c r="O1597" i="2"/>
  <c r="O1601" i="2"/>
  <c r="O1605" i="2"/>
  <c r="O1609" i="2"/>
  <c r="O1613" i="2"/>
  <c r="O1617" i="2"/>
  <c r="O1621" i="2"/>
  <c r="O1625" i="2"/>
  <c r="O1629" i="2"/>
  <c r="O1633" i="2"/>
  <c r="O1637" i="2"/>
  <c r="O1641" i="2"/>
  <c r="O1645" i="2"/>
  <c r="O1649" i="2"/>
  <c r="O1653" i="2"/>
  <c r="O1657" i="2"/>
  <c r="O1661" i="2"/>
  <c r="O1665" i="2"/>
  <c r="O1669" i="2"/>
  <c r="O1673" i="2"/>
  <c r="O1677" i="2"/>
  <c r="O1681" i="2"/>
  <c r="O1685" i="2"/>
  <c r="O1689" i="2"/>
  <c r="O1693" i="2"/>
  <c r="O1697" i="2"/>
  <c r="O1701" i="2"/>
  <c r="O1705" i="2"/>
  <c r="O1709" i="2"/>
  <c r="O1713" i="2"/>
  <c r="O1717" i="2"/>
  <c r="O1721" i="2"/>
  <c r="O1725" i="2"/>
  <c r="O1729" i="2"/>
  <c r="O1733" i="2"/>
  <c r="O1737" i="2"/>
  <c r="O1741" i="2"/>
  <c r="O1745" i="2"/>
  <c r="O1749" i="2"/>
  <c r="O1753" i="2"/>
  <c r="O1757" i="2"/>
  <c r="O1761" i="2"/>
  <c r="O1765" i="2"/>
  <c r="O1769" i="2"/>
  <c r="O1773" i="2"/>
  <c r="O1777" i="2"/>
  <c r="O1781" i="2"/>
  <c r="O1785" i="2"/>
  <c r="O1789" i="2"/>
  <c r="O1793" i="2"/>
  <c r="O1797" i="2"/>
  <c r="O1801" i="2"/>
  <c r="O1805" i="2"/>
  <c r="O1809" i="2"/>
  <c r="O1813" i="2"/>
  <c r="O1817" i="2"/>
  <c r="O1821" i="2"/>
  <c r="O1825" i="2"/>
  <c r="O1804" i="2"/>
  <c r="O1820" i="2"/>
  <c r="O1829" i="2"/>
  <c r="O1835" i="2"/>
  <c r="O1840" i="2"/>
  <c r="O1845" i="2"/>
  <c r="O1851" i="2"/>
  <c r="O1856" i="2"/>
  <c r="O1861" i="2"/>
  <c r="O1867" i="2"/>
  <c r="O1872" i="2"/>
  <c r="O1877" i="2"/>
  <c r="O1883" i="2"/>
  <c r="O1888" i="2"/>
  <c r="O1893" i="2"/>
  <c r="O1899" i="2"/>
  <c r="O1904" i="2"/>
  <c r="O1909" i="2"/>
  <c r="O1915" i="2"/>
  <c r="O1920" i="2"/>
  <c r="O1896" i="2"/>
  <c r="O1808" i="2"/>
  <c r="O1824" i="2"/>
  <c r="O1831" i="2"/>
  <c r="O1836" i="2"/>
  <c r="O1841" i="2"/>
  <c r="O1847" i="2"/>
  <c r="O1852" i="2"/>
  <c r="O1857" i="2"/>
  <c r="O1863" i="2"/>
  <c r="O1868" i="2"/>
  <c r="O1873" i="2"/>
  <c r="O1879" i="2"/>
  <c r="O1884" i="2"/>
  <c r="O1889" i="2"/>
  <c r="O1895" i="2"/>
  <c r="O1900" i="2"/>
  <c r="O1905" i="2"/>
  <c r="O1911" i="2"/>
  <c r="O1916" i="2"/>
  <c r="O1921" i="2"/>
  <c r="O1891" i="2"/>
  <c r="O1812" i="2"/>
  <c r="O1827" i="2"/>
  <c r="O1832" i="2"/>
  <c r="O1837" i="2"/>
  <c r="O1843" i="2"/>
  <c r="O1848" i="2"/>
  <c r="O1853" i="2"/>
  <c r="O1859" i="2"/>
  <c r="O1864" i="2"/>
  <c r="O1869" i="2"/>
  <c r="O1875" i="2"/>
  <c r="O1880" i="2"/>
  <c r="O1885" i="2"/>
  <c r="O1901" i="2"/>
  <c r="O1907" i="2"/>
  <c r="O1912" i="2"/>
  <c r="O1917" i="2"/>
  <c r="O1923" i="2"/>
  <c r="O1816" i="2"/>
  <c r="O1828" i="2"/>
  <c r="O1833" i="2"/>
  <c r="O1839" i="2"/>
  <c r="O1844" i="2"/>
  <c r="O1849" i="2"/>
  <c r="O1855" i="2"/>
  <c r="O1860" i="2"/>
  <c r="O1865" i="2"/>
  <c r="O1871" i="2"/>
  <c r="O1876" i="2"/>
  <c r="O1881" i="2"/>
  <c r="O1887" i="2"/>
  <c r="O1892" i="2"/>
  <c r="O1897" i="2"/>
  <c r="O1903" i="2"/>
  <c r="O1908" i="2"/>
  <c r="O1913" i="2"/>
  <c r="O1919" i="2"/>
  <c r="O1924" i="2"/>
  <c r="M1924" i="2"/>
  <c r="M1920" i="2"/>
  <c r="M1916" i="2"/>
  <c r="M1912" i="2"/>
  <c r="M1908" i="2"/>
  <c r="M1904" i="2"/>
  <c r="M1900" i="2"/>
  <c r="M1896" i="2"/>
  <c r="M1892" i="2"/>
  <c r="M1888" i="2"/>
  <c r="M1884" i="2"/>
  <c r="M1880" i="2"/>
  <c r="M1876" i="2"/>
  <c r="M1872" i="2"/>
  <c r="M1868" i="2"/>
  <c r="M1864" i="2"/>
  <c r="M1860" i="2"/>
  <c r="M1856" i="2"/>
  <c r="M1852" i="2"/>
  <c r="M1848" i="2"/>
  <c r="M1844" i="2"/>
  <c r="M1840" i="2"/>
  <c r="M1836" i="2"/>
  <c r="M1832" i="2"/>
  <c r="M1828" i="2"/>
  <c r="M1824" i="2"/>
  <c r="M1820" i="2"/>
  <c r="M1816" i="2"/>
  <c r="M1812" i="2"/>
  <c r="M1808" i="2"/>
  <c r="M1804" i="2"/>
  <c r="M1800" i="2"/>
  <c r="M1796" i="2"/>
  <c r="M1792" i="2"/>
  <c r="M1788" i="2"/>
  <c r="M1784" i="2"/>
  <c r="M1780" i="2"/>
  <c r="M1776" i="2"/>
  <c r="M1772" i="2"/>
  <c r="M1768" i="2"/>
  <c r="M1764" i="2"/>
  <c r="M1760" i="2"/>
  <c r="M1756" i="2"/>
  <c r="M1752" i="2"/>
  <c r="M1748" i="2"/>
  <c r="M1744" i="2"/>
  <c r="M1740" i="2"/>
  <c r="M1736" i="2"/>
  <c r="M1732" i="2"/>
  <c r="M1728" i="2"/>
  <c r="M1724" i="2"/>
  <c r="M1720" i="2"/>
  <c r="M1716" i="2"/>
  <c r="M1712" i="2"/>
  <c r="M1708" i="2"/>
  <c r="M1704" i="2"/>
  <c r="M1700" i="2"/>
  <c r="M1696" i="2"/>
  <c r="M1692" i="2"/>
  <c r="M1688" i="2"/>
  <c r="M1684" i="2"/>
  <c r="M1680" i="2"/>
  <c r="M1676" i="2"/>
  <c r="M1672" i="2"/>
  <c r="M1668" i="2"/>
  <c r="M1664" i="2"/>
  <c r="M1660" i="2"/>
  <c r="M1656" i="2"/>
  <c r="M1652" i="2"/>
  <c r="M1648" i="2"/>
  <c r="M1644" i="2"/>
  <c r="M1640" i="2"/>
  <c r="M1636" i="2"/>
  <c r="M1632" i="2"/>
  <c r="M1628" i="2"/>
  <c r="M1624" i="2"/>
  <c r="M1620" i="2"/>
  <c r="M1616" i="2"/>
  <c r="M1612" i="2"/>
  <c r="M1608" i="2"/>
  <c r="M1604" i="2"/>
  <c r="M1600" i="2"/>
  <c r="M1596" i="2"/>
  <c r="M1592" i="2"/>
  <c r="M1588" i="2"/>
  <c r="M1584" i="2"/>
  <c r="M1580" i="2"/>
  <c r="M1576" i="2"/>
  <c r="M1572" i="2"/>
  <c r="M1568" i="2"/>
  <c r="M1564" i="2"/>
  <c r="M1560" i="2"/>
  <c r="M1556" i="2"/>
  <c r="M1552" i="2"/>
  <c r="M1548" i="2"/>
  <c r="M1544" i="2"/>
  <c r="M1540" i="2"/>
  <c r="M1536" i="2"/>
  <c r="M1532" i="2"/>
  <c r="M1528" i="2"/>
  <c r="M1524" i="2"/>
  <c r="M1520" i="2"/>
  <c r="M1516" i="2"/>
  <c r="M1512" i="2"/>
  <c r="M1508" i="2"/>
  <c r="M1504" i="2"/>
  <c r="M1500" i="2"/>
  <c r="M1496" i="2"/>
  <c r="M1492" i="2"/>
  <c r="M1488" i="2"/>
  <c r="M1484" i="2"/>
  <c r="M1480" i="2"/>
  <c r="M1476" i="2"/>
  <c r="M1472" i="2"/>
  <c r="M1468" i="2"/>
  <c r="M1464" i="2"/>
  <c r="M1460" i="2"/>
  <c r="M1456" i="2"/>
  <c r="M1452" i="2"/>
  <c r="M1448" i="2"/>
  <c r="M1444" i="2"/>
  <c r="M1440" i="2"/>
  <c r="M1436" i="2"/>
  <c r="M1432" i="2"/>
  <c r="M1428" i="2"/>
  <c r="M1424" i="2"/>
  <c r="M1420" i="2"/>
  <c r="M1416" i="2"/>
  <c r="M1412" i="2"/>
  <c r="M1408" i="2"/>
  <c r="M1404" i="2"/>
  <c r="M1400" i="2"/>
  <c r="M1396" i="2"/>
  <c r="M1392" i="2"/>
  <c r="M1388" i="2"/>
  <c r="M1384" i="2"/>
  <c r="M1380" i="2"/>
  <c r="M1376" i="2"/>
  <c r="M1372" i="2"/>
  <c r="M1368" i="2"/>
  <c r="M1364" i="2"/>
  <c r="M1360" i="2"/>
  <c r="M1356" i="2"/>
  <c r="M1352" i="2"/>
  <c r="M1348" i="2"/>
  <c r="M1344" i="2"/>
  <c r="M1340" i="2"/>
  <c r="M1336" i="2"/>
  <c r="M1332" i="2"/>
  <c r="M1328" i="2"/>
  <c r="M1324" i="2"/>
  <c r="M1320" i="2"/>
  <c r="M1316" i="2"/>
  <c r="M1312" i="2"/>
  <c r="M1308" i="2"/>
  <c r="M1304" i="2"/>
  <c r="M1300" i="2"/>
  <c r="M1296" i="2"/>
  <c r="M1292" i="2"/>
  <c r="M1288" i="2"/>
  <c r="M1284" i="2"/>
  <c r="M1280" i="2"/>
  <c r="M1276" i="2"/>
  <c r="M1272" i="2"/>
  <c r="M1268" i="2"/>
  <c r="M1264" i="2"/>
  <c r="M1260" i="2"/>
  <c r="M1256" i="2"/>
  <c r="M1252" i="2"/>
  <c r="M1248" i="2"/>
  <c r="M1244" i="2"/>
  <c r="M1240" i="2"/>
  <c r="M1236" i="2"/>
  <c r="M1232" i="2"/>
  <c r="M1228" i="2"/>
  <c r="M1224" i="2"/>
  <c r="M1220" i="2"/>
  <c r="M1216" i="2"/>
  <c r="M1212" i="2"/>
  <c r="M1208" i="2"/>
  <c r="M1204" i="2"/>
  <c r="M1200" i="2"/>
  <c r="M1196" i="2"/>
  <c r="M1190" i="2"/>
  <c r="M1182" i="2"/>
  <c r="M1174" i="2"/>
  <c r="M1166" i="2"/>
  <c r="M1158" i="2"/>
  <c r="M1150" i="2"/>
  <c r="M1142" i="2"/>
  <c r="M1134" i="2"/>
  <c r="M1126" i="2"/>
  <c r="M1118" i="2"/>
  <c r="M1110" i="2"/>
  <c r="M1102" i="2"/>
  <c r="M1094" i="2"/>
  <c r="M1086" i="2"/>
  <c r="M1078" i="2"/>
  <c r="M1070" i="2"/>
  <c r="M1062" i="2"/>
  <c r="M1054" i="2"/>
  <c r="M1046" i="2"/>
  <c r="M1038" i="2"/>
  <c r="M1030" i="2"/>
  <c r="M1022" i="2"/>
  <c r="M1014" i="2"/>
  <c r="M1006" i="2"/>
  <c r="M998" i="2"/>
  <c r="M990" i="2"/>
  <c r="M982" i="2"/>
  <c r="M974" i="2"/>
  <c r="M966" i="2"/>
  <c r="M958" i="2"/>
  <c r="M950" i="2"/>
  <c r="M942" i="2"/>
  <c r="M934" i="2"/>
  <c r="M926" i="2"/>
  <c r="M918" i="2"/>
  <c r="M910" i="2"/>
  <c r="M902" i="2"/>
  <c r="M894" i="2"/>
  <c r="M886" i="2"/>
  <c r="M878" i="2"/>
  <c r="M870" i="2"/>
  <c r="M862" i="2"/>
  <c r="M854" i="2"/>
  <c r="M841" i="2"/>
  <c r="M825" i="2"/>
  <c r="M809" i="2"/>
  <c r="M793" i="2"/>
  <c r="M777" i="2"/>
  <c r="M761" i="2"/>
  <c r="M745" i="2"/>
  <c r="M729" i="2"/>
  <c r="M713" i="2"/>
  <c r="M697" i="2"/>
  <c r="M681" i="2"/>
  <c r="M665" i="2"/>
  <c r="M649" i="2"/>
  <c r="M633" i="2"/>
  <c r="M617" i="2"/>
  <c r="M601" i="2"/>
  <c r="M585" i="2"/>
  <c r="M569" i="2"/>
  <c r="M553" i="2"/>
  <c r="M537" i="2"/>
  <c r="M521" i="2"/>
  <c r="M505" i="2"/>
  <c r="M489" i="2"/>
  <c r="M473" i="2"/>
  <c r="M457" i="2"/>
  <c r="M441" i="2"/>
  <c r="M425" i="2"/>
  <c r="M409" i="2"/>
  <c r="M393" i="2"/>
  <c r="M377" i="2"/>
  <c r="M361" i="2"/>
  <c r="M345" i="2"/>
  <c r="M315" i="2"/>
  <c r="M283" i="2"/>
  <c r="M251" i="2"/>
  <c r="M219" i="2"/>
  <c r="M187" i="2"/>
  <c r="M155" i="2"/>
  <c r="M123" i="2"/>
  <c r="M91" i="2"/>
  <c r="M59" i="2"/>
  <c r="M27" i="2"/>
  <c r="M1188" i="2"/>
  <c r="M1180" i="2"/>
  <c r="M1172" i="2"/>
  <c r="M1164" i="2"/>
  <c r="M1156" i="2"/>
  <c r="M1148" i="2"/>
  <c r="M1140" i="2"/>
  <c r="M1132" i="2"/>
  <c r="M1124" i="2"/>
  <c r="M1116" i="2"/>
  <c r="M1108" i="2"/>
  <c r="M1100" i="2"/>
  <c r="M1092" i="2"/>
  <c r="M1084" i="2"/>
  <c r="M1076" i="2"/>
  <c r="M1068" i="2"/>
  <c r="M1060" i="2"/>
  <c r="M1052" i="2"/>
  <c r="M1044" i="2"/>
  <c r="M1036" i="2"/>
  <c r="M1028" i="2"/>
  <c r="M1020" i="2"/>
  <c r="M1012" i="2"/>
  <c r="M1004" i="2"/>
  <c r="M996" i="2"/>
  <c r="M988" i="2"/>
  <c r="M980" i="2"/>
  <c r="M972" i="2"/>
  <c r="M964" i="2"/>
  <c r="M956" i="2"/>
  <c r="M948" i="2"/>
  <c r="M940" i="2"/>
  <c r="M932" i="2"/>
  <c r="M924" i="2"/>
  <c r="M916" i="2"/>
  <c r="M908" i="2"/>
  <c r="M900" i="2"/>
  <c r="M892" i="2"/>
  <c r="M884" i="2"/>
  <c r="M876" i="2"/>
  <c r="M868" i="2"/>
  <c r="M860" i="2"/>
  <c r="M851" i="2"/>
  <c r="M837" i="2"/>
  <c r="M821" i="2"/>
  <c r="M805" i="2"/>
  <c r="M789" i="2"/>
  <c r="M773" i="2"/>
  <c r="M757" i="2"/>
  <c r="M741" i="2"/>
  <c r="M725" i="2"/>
  <c r="M709" i="2"/>
  <c r="M693" i="2"/>
  <c r="M677" i="2"/>
  <c r="M661" i="2"/>
  <c r="M645" i="2"/>
  <c r="M629" i="2"/>
  <c r="M613" i="2"/>
  <c r="M597" i="2"/>
  <c r="M581" i="2"/>
  <c r="M565" i="2"/>
  <c r="M549" i="2"/>
  <c r="M533" i="2"/>
  <c r="M517" i="2"/>
  <c r="M501" i="2"/>
  <c r="M485" i="2"/>
  <c r="M469" i="2"/>
  <c r="M453" i="2"/>
  <c r="M437" i="2"/>
  <c r="M421" i="2"/>
  <c r="M405" i="2"/>
  <c r="M389" i="2"/>
  <c r="M373" i="2"/>
  <c r="M357" i="2"/>
  <c r="M339" i="2"/>
  <c r="M307" i="2"/>
  <c r="M275" i="2"/>
  <c r="M243" i="2"/>
  <c r="M211" i="2"/>
  <c r="M179" i="2"/>
  <c r="M147" i="2"/>
  <c r="M115" i="2"/>
  <c r="M83" i="2"/>
  <c r="M51" i="2"/>
  <c r="M19" i="2"/>
  <c r="M1922" i="2"/>
  <c r="M1918" i="2"/>
  <c r="M1914" i="2"/>
  <c r="M1910" i="2"/>
  <c r="M1906" i="2"/>
  <c r="M1902" i="2"/>
  <c r="M1898" i="2"/>
  <c r="M1894" i="2"/>
  <c r="M1890" i="2"/>
  <c r="M1886" i="2"/>
  <c r="M1882" i="2"/>
  <c r="M1878" i="2"/>
  <c r="M1874" i="2"/>
  <c r="M1870" i="2"/>
  <c r="M1866" i="2"/>
  <c r="M1862" i="2"/>
  <c r="M1858" i="2"/>
  <c r="M1854" i="2"/>
  <c r="M1850" i="2"/>
  <c r="M1846" i="2"/>
  <c r="M1842" i="2"/>
  <c r="M1838" i="2"/>
  <c r="M1834" i="2"/>
  <c r="M1830" i="2"/>
  <c r="M1826" i="2"/>
  <c r="M1822" i="2"/>
  <c r="M1818" i="2"/>
  <c r="M1814" i="2"/>
  <c r="M1810" i="2"/>
  <c r="M1806" i="2"/>
  <c r="M1802" i="2"/>
  <c r="M1798" i="2"/>
  <c r="M1794" i="2"/>
  <c r="M1790" i="2"/>
  <c r="M1786" i="2"/>
  <c r="M1782" i="2"/>
  <c r="M1778" i="2"/>
  <c r="M1774" i="2"/>
  <c r="M1770" i="2"/>
  <c r="M1766" i="2"/>
  <c r="M1762" i="2"/>
  <c r="M1758" i="2"/>
  <c r="M1754" i="2"/>
  <c r="M1750" i="2"/>
  <c r="M1746" i="2"/>
  <c r="M1742" i="2"/>
  <c r="M1738" i="2"/>
  <c r="M1734" i="2"/>
  <c r="M1730" i="2"/>
  <c r="M1726" i="2"/>
  <c r="M1722" i="2"/>
  <c r="M1718" i="2"/>
  <c r="M1714" i="2"/>
  <c r="M1710" i="2"/>
  <c r="M1706" i="2"/>
  <c r="M1702" i="2"/>
  <c r="M1698" i="2"/>
  <c r="M1694" i="2"/>
  <c r="M1690" i="2"/>
  <c r="M1686" i="2"/>
  <c r="M1682" i="2"/>
  <c r="M1678" i="2"/>
  <c r="M1674" i="2"/>
  <c r="M1670" i="2"/>
  <c r="M1666" i="2"/>
  <c r="M1662" i="2"/>
  <c r="M1658" i="2"/>
  <c r="M1654" i="2"/>
  <c r="M1650" i="2"/>
  <c r="M1646" i="2"/>
  <c r="M1642" i="2"/>
  <c r="M1638" i="2"/>
  <c r="M1634" i="2"/>
  <c r="M1630" i="2"/>
  <c r="M1626" i="2"/>
  <c r="M1622" i="2"/>
  <c r="M1618" i="2"/>
  <c r="M1614" i="2"/>
  <c r="M1610" i="2"/>
  <c r="M1606" i="2"/>
  <c r="M1602" i="2"/>
  <c r="M1598" i="2"/>
  <c r="M1594" i="2"/>
  <c r="M1590" i="2"/>
  <c r="M1586" i="2"/>
  <c r="M1582" i="2"/>
  <c r="M1578" i="2"/>
  <c r="M1574" i="2"/>
  <c r="M1570" i="2"/>
  <c r="M1566" i="2"/>
  <c r="M1562" i="2"/>
  <c r="M1558" i="2"/>
  <c r="M1554" i="2"/>
  <c r="M1550" i="2"/>
  <c r="M1546" i="2"/>
  <c r="M1542" i="2"/>
  <c r="M1538" i="2"/>
  <c r="M1534" i="2"/>
  <c r="M1530" i="2"/>
  <c r="M1526" i="2"/>
  <c r="M1522" i="2"/>
  <c r="M1518" i="2"/>
  <c r="M1514" i="2"/>
  <c r="M1510" i="2"/>
  <c r="M1506" i="2"/>
  <c r="M1502" i="2"/>
  <c r="M1498" i="2"/>
  <c r="M1494" i="2"/>
  <c r="M1490" i="2"/>
  <c r="M1486" i="2"/>
  <c r="M1482" i="2"/>
  <c r="M1478" i="2"/>
  <c r="M1474" i="2"/>
  <c r="M1470" i="2"/>
  <c r="M1466" i="2"/>
  <c r="M1462" i="2"/>
  <c r="M1458" i="2"/>
  <c r="M1454" i="2"/>
  <c r="M1450" i="2"/>
  <c r="M1446" i="2"/>
  <c r="M1442" i="2"/>
  <c r="M1438" i="2"/>
  <c r="M1434" i="2"/>
  <c r="M1430" i="2"/>
  <c r="M1426" i="2"/>
  <c r="M1422" i="2"/>
  <c r="M1418" i="2"/>
  <c r="M1414" i="2"/>
  <c r="M1410" i="2"/>
  <c r="M1406" i="2"/>
  <c r="M1402" i="2"/>
  <c r="M1398" i="2"/>
  <c r="M1394" i="2"/>
  <c r="M1390" i="2"/>
  <c r="M1386" i="2"/>
  <c r="M1382" i="2"/>
  <c r="M1378" i="2"/>
  <c r="M1374" i="2"/>
  <c r="M1370" i="2"/>
  <c r="M1366" i="2"/>
  <c r="M1362" i="2"/>
  <c r="M1358" i="2"/>
  <c r="M1354" i="2"/>
  <c r="M1350" i="2"/>
  <c r="M1346" i="2"/>
  <c r="M1342" i="2"/>
  <c r="M1338" i="2"/>
  <c r="M1334" i="2"/>
  <c r="M1330" i="2"/>
  <c r="M1326" i="2"/>
  <c r="M1322" i="2"/>
  <c r="M1318" i="2"/>
  <c r="M1314" i="2"/>
  <c r="M1310" i="2"/>
  <c r="M1306" i="2"/>
  <c r="M1302" i="2"/>
  <c r="M1298" i="2"/>
  <c r="M1294" i="2"/>
  <c r="M1290" i="2"/>
  <c r="M1286" i="2"/>
  <c r="M1282" i="2"/>
  <c r="M1278" i="2"/>
  <c r="M1274" i="2"/>
  <c r="M1270" i="2"/>
  <c r="M1266" i="2"/>
  <c r="M1262" i="2"/>
  <c r="M1258" i="2"/>
  <c r="M1254" i="2"/>
  <c r="M1250" i="2"/>
  <c r="M1246" i="2"/>
  <c r="M1242" i="2"/>
  <c r="M1238" i="2"/>
  <c r="M1234" i="2"/>
  <c r="M1230" i="2"/>
  <c r="M1226" i="2"/>
  <c r="M1222" i="2"/>
  <c r="M1218" i="2"/>
  <c r="M1214" i="2"/>
  <c r="M1210" i="2"/>
  <c r="M1206" i="2"/>
  <c r="M1202" i="2"/>
  <c r="M1198" i="2"/>
  <c r="M1193" i="2"/>
  <c r="M1186" i="2"/>
  <c r="M1178" i="2"/>
  <c r="M1170" i="2"/>
  <c r="M1162" i="2"/>
  <c r="M1154" i="2"/>
  <c r="M1146" i="2"/>
  <c r="M1138" i="2"/>
  <c r="M1130" i="2"/>
  <c r="M1122" i="2"/>
  <c r="M1114" i="2"/>
  <c r="M1106" i="2"/>
  <c r="M1098" i="2"/>
  <c r="M1090" i="2"/>
  <c r="M1082" i="2"/>
  <c r="M1074" i="2"/>
  <c r="M1066" i="2"/>
  <c r="M1058" i="2"/>
  <c r="M1050" i="2"/>
  <c r="M1042" i="2"/>
  <c r="M1034" i="2"/>
  <c r="M1026" i="2"/>
  <c r="M1018" i="2"/>
  <c r="M1010" i="2"/>
  <c r="M1002" i="2"/>
  <c r="M994" i="2"/>
  <c r="M986" i="2"/>
  <c r="M978" i="2"/>
  <c r="M970" i="2"/>
  <c r="M962" i="2"/>
  <c r="M954" i="2"/>
  <c r="M946" i="2"/>
  <c r="M938" i="2"/>
  <c r="M930" i="2"/>
  <c r="M922" i="2"/>
  <c r="M914" i="2"/>
  <c r="M906" i="2"/>
  <c r="M898" i="2"/>
  <c r="M890" i="2"/>
  <c r="M882" i="2"/>
  <c r="M874" i="2"/>
  <c r="M866" i="2"/>
  <c r="M858" i="2"/>
  <c r="M849" i="2"/>
  <c r="M833" i="2"/>
  <c r="M817" i="2"/>
  <c r="M801" i="2"/>
  <c r="M785" i="2"/>
  <c r="M769" i="2"/>
  <c r="M753" i="2"/>
  <c r="M737" i="2"/>
  <c r="M721" i="2"/>
  <c r="M705" i="2"/>
  <c r="M689" i="2"/>
  <c r="M673" i="2"/>
  <c r="M657" i="2"/>
  <c r="M641" i="2"/>
  <c r="M625" i="2"/>
  <c r="M609" i="2"/>
  <c r="M593" i="2"/>
  <c r="M577" i="2"/>
  <c r="M561" i="2"/>
  <c r="M545" i="2"/>
  <c r="M529" i="2"/>
  <c r="M513" i="2"/>
  <c r="M497" i="2"/>
  <c r="M481" i="2"/>
  <c r="M465" i="2"/>
  <c r="M449" i="2"/>
  <c r="M433" i="2"/>
  <c r="M417" i="2"/>
  <c r="M401" i="2"/>
  <c r="M385" i="2"/>
  <c r="M369" i="2"/>
  <c r="M353" i="2"/>
  <c r="M331" i="2"/>
  <c r="M299" i="2"/>
  <c r="M267" i="2"/>
  <c r="M235" i="2"/>
  <c r="M203" i="2"/>
  <c r="M171" i="2"/>
  <c r="M139" i="2"/>
  <c r="M107" i="2"/>
  <c r="M75" i="2"/>
  <c r="M43" i="2"/>
  <c r="M4" i="2"/>
  <c r="M8" i="2"/>
  <c r="M12" i="2"/>
  <c r="M16" i="2"/>
  <c r="M20" i="2"/>
  <c r="M24" i="2"/>
  <c r="M28" i="2"/>
  <c r="M32" i="2"/>
  <c r="M36" i="2"/>
  <c r="M40" i="2"/>
  <c r="M44" i="2"/>
  <c r="M48" i="2"/>
  <c r="M52" i="2"/>
  <c r="M56" i="2"/>
  <c r="M60" i="2"/>
  <c r="M64" i="2"/>
  <c r="M68" i="2"/>
  <c r="M72" i="2"/>
  <c r="M76" i="2"/>
  <c r="M80" i="2"/>
  <c r="M84" i="2"/>
  <c r="M88" i="2"/>
  <c r="M92" i="2"/>
  <c r="M96" i="2"/>
  <c r="M100" i="2"/>
  <c r="M104" i="2"/>
  <c r="M108" i="2"/>
  <c r="M112" i="2"/>
  <c r="M116" i="2"/>
  <c r="M120" i="2"/>
  <c r="M124" i="2"/>
  <c r="M128" i="2"/>
  <c r="M132" i="2"/>
  <c r="M136" i="2"/>
  <c r="M140" i="2"/>
  <c r="M144" i="2"/>
  <c r="M148" i="2"/>
  <c r="M152" i="2"/>
  <c r="M156" i="2"/>
  <c r="M160" i="2"/>
  <c r="M164" i="2"/>
  <c r="M168" i="2"/>
  <c r="M172" i="2"/>
  <c r="M176" i="2"/>
  <c r="M180" i="2"/>
  <c r="M184" i="2"/>
  <c r="M188" i="2"/>
  <c r="M192" i="2"/>
  <c r="M196" i="2"/>
  <c r="M200" i="2"/>
  <c r="M204" i="2"/>
  <c r="M208" i="2"/>
  <c r="M212" i="2"/>
  <c r="M216" i="2"/>
  <c r="M220" i="2"/>
  <c r="M224" i="2"/>
  <c r="M228" i="2"/>
  <c r="M232" i="2"/>
  <c r="M236" i="2"/>
  <c r="M240" i="2"/>
  <c r="M244" i="2"/>
  <c r="M248" i="2"/>
  <c r="M252" i="2"/>
  <c r="M256" i="2"/>
  <c r="M260" i="2"/>
  <c r="M264" i="2"/>
  <c r="M268" i="2"/>
  <c r="M272" i="2"/>
  <c r="M276" i="2"/>
  <c r="M280" i="2"/>
  <c r="M284" i="2"/>
  <c r="M288" i="2"/>
  <c r="M292" i="2"/>
  <c r="M296" i="2"/>
  <c r="M300" i="2"/>
  <c r="M304" i="2"/>
  <c r="M308" i="2"/>
  <c r="M312" i="2"/>
  <c r="M316" i="2"/>
  <c r="M320" i="2"/>
  <c r="M324" i="2"/>
  <c r="M328" i="2"/>
  <c r="M332" i="2"/>
  <c r="M336" i="2"/>
  <c r="M340" i="2"/>
  <c r="M6" i="2"/>
  <c r="M10" i="2"/>
  <c r="M14" i="2"/>
  <c r="M18" i="2"/>
  <c r="M22" i="2"/>
  <c r="M26" i="2"/>
  <c r="M30" i="2"/>
  <c r="M34" i="2"/>
  <c r="M38" i="2"/>
  <c r="M42" i="2"/>
  <c r="M46" i="2"/>
  <c r="M50" i="2"/>
  <c r="M54" i="2"/>
  <c r="M58" i="2"/>
  <c r="M62" i="2"/>
  <c r="M66" i="2"/>
  <c r="M70" i="2"/>
  <c r="M74" i="2"/>
  <c r="M78" i="2"/>
  <c r="M82" i="2"/>
  <c r="M86" i="2"/>
  <c r="M90" i="2"/>
  <c r="M94" i="2"/>
  <c r="M98" i="2"/>
  <c r="M102" i="2"/>
  <c r="M106" i="2"/>
  <c r="M110" i="2"/>
  <c r="M114" i="2"/>
  <c r="M118" i="2"/>
  <c r="M122" i="2"/>
  <c r="M126" i="2"/>
  <c r="M130" i="2"/>
  <c r="M134" i="2"/>
  <c r="M138" i="2"/>
  <c r="M142" i="2"/>
  <c r="M146" i="2"/>
  <c r="M150" i="2"/>
  <c r="M154" i="2"/>
  <c r="M158" i="2"/>
  <c r="M162" i="2"/>
  <c r="M166" i="2"/>
  <c r="M170" i="2"/>
  <c r="M174" i="2"/>
  <c r="M178" i="2"/>
  <c r="M182" i="2"/>
  <c r="M186" i="2"/>
  <c r="M190" i="2"/>
  <c r="M194" i="2"/>
  <c r="M198" i="2"/>
  <c r="M202" i="2"/>
  <c r="M206" i="2"/>
  <c r="M210" i="2"/>
  <c r="M214" i="2"/>
  <c r="M218" i="2"/>
  <c r="M222" i="2"/>
  <c r="M226" i="2"/>
  <c r="M230" i="2"/>
  <c r="M234" i="2"/>
  <c r="M238" i="2"/>
  <c r="M242" i="2"/>
  <c r="M246" i="2"/>
  <c r="M250" i="2"/>
  <c r="M254" i="2"/>
  <c r="M258" i="2"/>
  <c r="M262" i="2"/>
  <c r="M266" i="2"/>
  <c r="M270" i="2"/>
  <c r="M274" i="2"/>
  <c r="M278" i="2"/>
  <c r="M282" i="2"/>
  <c r="M286" i="2"/>
  <c r="M290" i="2"/>
  <c r="M294" i="2"/>
  <c r="M298" i="2"/>
  <c r="M302" i="2"/>
  <c r="M306" i="2"/>
  <c r="M310" i="2"/>
  <c r="M314" i="2"/>
  <c r="M318" i="2"/>
  <c r="M322" i="2"/>
  <c r="M326" i="2"/>
  <c r="M330" i="2"/>
  <c r="M334" i="2"/>
  <c r="M338" i="2"/>
  <c r="M342" i="2"/>
  <c r="M5" i="2"/>
  <c r="M13" i="2"/>
  <c r="M21" i="2"/>
  <c r="M29" i="2"/>
  <c r="M37" i="2"/>
  <c r="M45" i="2"/>
  <c r="M53" i="2"/>
  <c r="M61" i="2"/>
  <c r="M69" i="2"/>
  <c r="M77" i="2"/>
  <c r="M85" i="2"/>
  <c r="M93" i="2"/>
  <c r="M101" i="2"/>
  <c r="M109" i="2"/>
  <c r="M117" i="2"/>
  <c r="M125" i="2"/>
  <c r="M133" i="2"/>
  <c r="M141" i="2"/>
  <c r="M149" i="2"/>
  <c r="M157" i="2"/>
  <c r="M165" i="2"/>
  <c r="M173" i="2"/>
  <c r="M181" i="2"/>
  <c r="M189" i="2"/>
  <c r="M197" i="2"/>
  <c r="M205" i="2"/>
  <c r="M213" i="2"/>
  <c r="M221" i="2"/>
  <c r="M229" i="2"/>
  <c r="M237" i="2"/>
  <c r="M245" i="2"/>
  <c r="M253" i="2"/>
  <c r="M261" i="2"/>
  <c r="M269" i="2"/>
  <c r="M277" i="2"/>
  <c r="M285" i="2"/>
  <c r="M293" i="2"/>
  <c r="M301" i="2"/>
  <c r="M309" i="2"/>
  <c r="M317" i="2"/>
  <c r="M325" i="2"/>
  <c r="M333" i="2"/>
  <c r="M341" i="2"/>
  <c r="M346" i="2"/>
  <c r="M350" i="2"/>
  <c r="M354" i="2"/>
  <c r="M358" i="2"/>
  <c r="M362" i="2"/>
  <c r="M366" i="2"/>
  <c r="M370" i="2"/>
  <c r="M374" i="2"/>
  <c r="M378" i="2"/>
  <c r="M382" i="2"/>
  <c r="M386" i="2"/>
  <c r="M390" i="2"/>
  <c r="M394" i="2"/>
  <c r="M398" i="2"/>
  <c r="M402" i="2"/>
  <c r="M406" i="2"/>
  <c r="M410" i="2"/>
  <c r="M414" i="2"/>
  <c r="M418" i="2"/>
  <c r="M422" i="2"/>
  <c r="M426" i="2"/>
  <c r="M430" i="2"/>
  <c r="M434" i="2"/>
  <c r="M438" i="2"/>
  <c r="M442" i="2"/>
  <c r="M446" i="2"/>
  <c r="M450" i="2"/>
  <c r="M454" i="2"/>
  <c r="M458" i="2"/>
  <c r="M462" i="2"/>
  <c r="M466" i="2"/>
  <c r="M470" i="2"/>
  <c r="M474" i="2"/>
  <c r="M478" i="2"/>
  <c r="M482" i="2"/>
  <c r="M486" i="2"/>
  <c r="M490" i="2"/>
  <c r="M494" i="2"/>
  <c r="M498" i="2"/>
  <c r="M502" i="2"/>
  <c r="M506" i="2"/>
  <c r="M510" i="2"/>
  <c r="M514" i="2"/>
  <c r="M518" i="2"/>
  <c r="M522" i="2"/>
  <c r="M526" i="2"/>
  <c r="M530" i="2"/>
  <c r="M534" i="2"/>
  <c r="M538" i="2"/>
  <c r="M542" i="2"/>
  <c r="M546" i="2"/>
  <c r="M550" i="2"/>
  <c r="M554" i="2"/>
  <c r="M558" i="2"/>
  <c r="M562" i="2"/>
  <c r="M566" i="2"/>
  <c r="M570" i="2"/>
  <c r="M574" i="2"/>
  <c r="M578" i="2"/>
  <c r="M582" i="2"/>
  <c r="M586" i="2"/>
  <c r="M590" i="2"/>
  <c r="M594" i="2"/>
  <c r="M598" i="2"/>
  <c r="M602" i="2"/>
  <c r="M606" i="2"/>
  <c r="M610" i="2"/>
  <c r="M614" i="2"/>
  <c r="M618" i="2"/>
  <c r="M622" i="2"/>
  <c r="M626" i="2"/>
  <c r="M630" i="2"/>
  <c r="M634" i="2"/>
  <c r="M638" i="2"/>
  <c r="M642" i="2"/>
  <c r="M646" i="2"/>
  <c r="M650" i="2"/>
  <c r="M654" i="2"/>
  <c r="M658" i="2"/>
  <c r="M662" i="2"/>
  <c r="M666" i="2"/>
  <c r="M670" i="2"/>
  <c r="M674" i="2"/>
  <c r="M678" i="2"/>
  <c r="M682" i="2"/>
  <c r="M686" i="2"/>
  <c r="M690" i="2"/>
  <c r="M694" i="2"/>
  <c r="M698" i="2"/>
  <c r="M702" i="2"/>
  <c r="M706" i="2"/>
  <c r="M710" i="2"/>
  <c r="M714" i="2"/>
  <c r="M718" i="2"/>
  <c r="M722" i="2"/>
  <c r="M726" i="2"/>
  <c r="M730" i="2"/>
  <c r="M734" i="2"/>
  <c r="M738" i="2"/>
  <c r="M742" i="2"/>
  <c r="M746" i="2"/>
  <c r="M750" i="2"/>
  <c r="M754" i="2"/>
  <c r="M758" i="2"/>
  <c r="M762" i="2"/>
  <c r="M766" i="2"/>
  <c r="M770" i="2"/>
  <c r="M774" i="2"/>
  <c r="M778" i="2"/>
  <c r="M782" i="2"/>
  <c r="M786" i="2"/>
  <c r="M790" i="2"/>
  <c r="M794" i="2"/>
  <c r="M798" i="2"/>
  <c r="M802" i="2"/>
  <c r="M806" i="2"/>
  <c r="M810" i="2"/>
  <c r="M814" i="2"/>
  <c r="M818" i="2"/>
  <c r="M822" i="2"/>
  <c r="M826" i="2"/>
  <c r="M830" i="2"/>
  <c r="M834" i="2"/>
  <c r="M838" i="2"/>
  <c r="M842" i="2"/>
  <c r="M846" i="2"/>
  <c r="M9" i="2"/>
  <c r="M17" i="2"/>
  <c r="M25" i="2"/>
  <c r="M33" i="2"/>
  <c r="M41" i="2"/>
  <c r="M49" i="2"/>
  <c r="M57" i="2"/>
  <c r="M65" i="2"/>
  <c r="M73" i="2"/>
  <c r="M81" i="2"/>
  <c r="M89" i="2"/>
  <c r="M97" i="2"/>
  <c r="M105" i="2"/>
  <c r="M113" i="2"/>
  <c r="M121" i="2"/>
  <c r="M129" i="2"/>
  <c r="M137" i="2"/>
  <c r="M145" i="2"/>
  <c r="M153" i="2"/>
  <c r="M161" i="2"/>
  <c r="M169" i="2"/>
  <c r="M177" i="2"/>
  <c r="M185" i="2"/>
  <c r="M193" i="2"/>
  <c r="M201" i="2"/>
  <c r="M209" i="2"/>
  <c r="M217" i="2"/>
  <c r="M225" i="2"/>
  <c r="M233" i="2"/>
  <c r="M241" i="2"/>
  <c r="M249" i="2"/>
  <c r="M257" i="2"/>
  <c r="M265" i="2"/>
  <c r="M273" i="2"/>
  <c r="M281" i="2"/>
  <c r="M289" i="2"/>
  <c r="M297" i="2"/>
  <c r="M305" i="2"/>
  <c r="M313" i="2"/>
  <c r="M321" i="2"/>
  <c r="M329" i="2"/>
  <c r="M337" i="2"/>
  <c r="M344" i="2"/>
  <c r="M348" i="2"/>
  <c r="M352" i="2"/>
  <c r="M356" i="2"/>
  <c r="M360" i="2"/>
  <c r="M364" i="2"/>
  <c r="M368" i="2"/>
  <c r="M372" i="2"/>
  <c r="M376" i="2"/>
  <c r="M380" i="2"/>
  <c r="M384" i="2"/>
  <c r="M388" i="2"/>
  <c r="M392" i="2"/>
  <c r="M396" i="2"/>
  <c r="M400" i="2"/>
  <c r="M404" i="2"/>
  <c r="M408" i="2"/>
  <c r="M412" i="2"/>
  <c r="M416" i="2"/>
  <c r="M420" i="2"/>
  <c r="M424" i="2"/>
  <c r="M428" i="2"/>
  <c r="M432" i="2"/>
  <c r="M436" i="2"/>
  <c r="M440" i="2"/>
  <c r="M444" i="2"/>
  <c r="M448" i="2"/>
  <c r="M452" i="2"/>
  <c r="M456" i="2"/>
  <c r="M460" i="2"/>
  <c r="M464" i="2"/>
  <c r="M468" i="2"/>
  <c r="M472" i="2"/>
  <c r="M476" i="2"/>
  <c r="M480" i="2"/>
  <c r="M484" i="2"/>
  <c r="M488" i="2"/>
  <c r="M492" i="2"/>
  <c r="M496" i="2"/>
  <c r="M500" i="2"/>
  <c r="M504" i="2"/>
  <c r="M508" i="2"/>
  <c r="M512" i="2"/>
  <c r="M516" i="2"/>
  <c r="M520" i="2"/>
  <c r="M524" i="2"/>
  <c r="M528" i="2"/>
  <c r="M532" i="2"/>
  <c r="M536" i="2"/>
  <c r="M540" i="2"/>
  <c r="M544" i="2"/>
  <c r="M548" i="2"/>
  <c r="M552" i="2"/>
  <c r="M556" i="2"/>
  <c r="M560" i="2"/>
  <c r="M564" i="2"/>
  <c r="M568" i="2"/>
  <c r="M572" i="2"/>
  <c r="M576" i="2"/>
  <c r="M580" i="2"/>
  <c r="M584" i="2"/>
  <c r="M588" i="2"/>
  <c r="M592" i="2"/>
  <c r="M596" i="2"/>
  <c r="M600" i="2"/>
  <c r="M604" i="2"/>
  <c r="M608" i="2"/>
  <c r="M612" i="2"/>
  <c r="M616" i="2"/>
  <c r="M620" i="2"/>
  <c r="M624" i="2"/>
  <c r="M628" i="2"/>
  <c r="M632" i="2"/>
  <c r="M636" i="2"/>
  <c r="M640" i="2"/>
  <c r="M644" i="2"/>
  <c r="M648" i="2"/>
  <c r="M652" i="2"/>
  <c r="M656" i="2"/>
  <c r="M660" i="2"/>
  <c r="M664" i="2"/>
  <c r="M668" i="2"/>
  <c r="M672" i="2"/>
  <c r="M676" i="2"/>
  <c r="M680" i="2"/>
  <c r="M684" i="2"/>
  <c r="M688" i="2"/>
  <c r="M692" i="2"/>
  <c r="M696" i="2"/>
  <c r="M700" i="2"/>
  <c r="M704" i="2"/>
  <c r="M708" i="2"/>
  <c r="M712" i="2"/>
  <c r="M716" i="2"/>
  <c r="M720" i="2"/>
  <c r="M724" i="2"/>
  <c r="M728" i="2"/>
  <c r="M732" i="2"/>
  <c r="M736" i="2"/>
  <c r="M740" i="2"/>
  <c r="M744" i="2"/>
  <c r="M748" i="2"/>
  <c r="M752" i="2"/>
  <c r="M756" i="2"/>
  <c r="M760" i="2"/>
  <c r="M764" i="2"/>
  <c r="M768" i="2"/>
  <c r="M772" i="2"/>
  <c r="M776" i="2"/>
  <c r="M780" i="2"/>
  <c r="M784" i="2"/>
  <c r="M788" i="2"/>
  <c r="M792" i="2"/>
  <c r="M796" i="2"/>
  <c r="M800" i="2"/>
  <c r="M804" i="2"/>
  <c r="M808" i="2"/>
  <c r="M812" i="2"/>
  <c r="M816" i="2"/>
  <c r="M820" i="2"/>
  <c r="M824" i="2"/>
  <c r="M828" i="2"/>
  <c r="M832" i="2"/>
  <c r="M836" i="2"/>
  <c r="M840" i="2"/>
  <c r="M844" i="2"/>
  <c r="M848" i="2"/>
  <c r="M852" i="2"/>
  <c r="M7" i="2"/>
  <c r="M23" i="2"/>
  <c r="M39" i="2"/>
  <c r="M55" i="2"/>
  <c r="M71" i="2"/>
  <c r="M87" i="2"/>
  <c r="M103" i="2"/>
  <c r="M119" i="2"/>
  <c r="M135" i="2"/>
  <c r="M151" i="2"/>
  <c r="M167" i="2"/>
  <c r="M183" i="2"/>
  <c r="M199" i="2"/>
  <c r="M215" i="2"/>
  <c r="M231" i="2"/>
  <c r="M247" i="2"/>
  <c r="M263" i="2"/>
  <c r="M279" i="2"/>
  <c r="M295" i="2"/>
  <c r="M311" i="2"/>
  <c r="M327" i="2"/>
  <c r="M343" i="2"/>
  <c r="M351" i="2"/>
  <c r="M359" i="2"/>
  <c r="M367" i="2"/>
  <c r="M375" i="2"/>
  <c r="M383" i="2"/>
  <c r="M391" i="2"/>
  <c r="M399" i="2"/>
  <c r="M407" i="2"/>
  <c r="M415" i="2"/>
  <c r="M423" i="2"/>
  <c r="M431" i="2"/>
  <c r="M439" i="2"/>
  <c r="M447" i="2"/>
  <c r="M455" i="2"/>
  <c r="M463" i="2"/>
  <c r="M471" i="2"/>
  <c r="M479" i="2"/>
  <c r="M487" i="2"/>
  <c r="M495" i="2"/>
  <c r="M503" i="2"/>
  <c r="M511" i="2"/>
  <c r="M519" i="2"/>
  <c r="M527" i="2"/>
  <c r="M535" i="2"/>
  <c r="M543" i="2"/>
  <c r="M551" i="2"/>
  <c r="M559" i="2"/>
  <c r="M567" i="2"/>
  <c r="M575" i="2"/>
  <c r="M583" i="2"/>
  <c r="M591" i="2"/>
  <c r="M599" i="2"/>
  <c r="M607" i="2"/>
  <c r="M615" i="2"/>
  <c r="M623" i="2"/>
  <c r="M631" i="2"/>
  <c r="M639" i="2"/>
  <c r="M647" i="2"/>
  <c r="M655" i="2"/>
  <c r="M663" i="2"/>
  <c r="M671" i="2"/>
  <c r="M679" i="2"/>
  <c r="M687" i="2"/>
  <c r="M695" i="2"/>
  <c r="M703" i="2"/>
  <c r="M711" i="2"/>
  <c r="M719" i="2"/>
  <c r="M727" i="2"/>
  <c r="M735" i="2"/>
  <c r="M743" i="2"/>
  <c r="M751" i="2"/>
  <c r="M759" i="2"/>
  <c r="M767" i="2"/>
  <c r="M775" i="2"/>
  <c r="M783" i="2"/>
  <c r="M791" i="2"/>
  <c r="M799" i="2"/>
  <c r="M807" i="2"/>
  <c r="M815" i="2"/>
  <c r="M823" i="2"/>
  <c r="M831" i="2"/>
  <c r="M839" i="2"/>
  <c r="M847" i="2"/>
  <c r="M853" i="2"/>
  <c r="M857" i="2"/>
  <c r="M861" i="2"/>
  <c r="M865" i="2"/>
  <c r="M869" i="2"/>
  <c r="M873" i="2"/>
  <c r="M877" i="2"/>
  <c r="M881" i="2"/>
  <c r="M885" i="2"/>
  <c r="M889" i="2"/>
  <c r="M893" i="2"/>
  <c r="M897" i="2"/>
  <c r="M901" i="2"/>
  <c r="M905" i="2"/>
  <c r="M909" i="2"/>
  <c r="M913" i="2"/>
  <c r="M917" i="2"/>
  <c r="M921" i="2"/>
  <c r="M925" i="2"/>
  <c r="M929" i="2"/>
  <c r="M933" i="2"/>
  <c r="M937" i="2"/>
  <c r="M941" i="2"/>
  <c r="M945" i="2"/>
  <c r="M949" i="2"/>
  <c r="M953" i="2"/>
  <c r="M957" i="2"/>
  <c r="M961" i="2"/>
  <c r="M965" i="2"/>
  <c r="M969" i="2"/>
  <c r="M973" i="2"/>
  <c r="M977" i="2"/>
  <c r="M981" i="2"/>
  <c r="M985" i="2"/>
  <c r="M989" i="2"/>
  <c r="M993" i="2"/>
  <c r="M997" i="2"/>
  <c r="M1001" i="2"/>
  <c r="M1005" i="2"/>
  <c r="M1009" i="2"/>
  <c r="M1013" i="2"/>
  <c r="M1017" i="2"/>
  <c r="M1021" i="2"/>
  <c r="M1025" i="2"/>
  <c r="M1029" i="2"/>
  <c r="M1033" i="2"/>
  <c r="M1037" i="2"/>
  <c r="M1041" i="2"/>
  <c r="M1045" i="2"/>
  <c r="M1049" i="2"/>
  <c r="M1053" i="2"/>
  <c r="M1057" i="2"/>
  <c r="M1061" i="2"/>
  <c r="M1065" i="2"/>
  <c r="M1069" i="2"/>
  <c r="M1073" i="2"/>
  <c r="M1077" i="2"/>
  <c r="M1081" i="2"/>
  <c r="M1085" i="2"/>
  <c r="M1089" i="2"/>
  <c r="M1093" i="2"/>
  <c r="M1097" i="2"/>
  <c r="M1101" i="2"/>
  <c r="M1105" i="2"/>
  <c r="M1109" i="2"/>
  <c r="M1113" i="2"/>
  <c r="M1117" i="2"/>
  <c r="M1121" i="2"/>
  <c r="M1125" i="2"/>
  <c r="M1129" i="2"/>
  <c r="M1133" i="2"/>
  <c r="M1137" i="2"/>
  <c r="M1141" i="2"/>
  <c r="M1145" i="2"/>
  <c r="M1149" i="2"/>
  <c r="M1153" i="2"/>
  <c r="M1157" i="2"/>
  <c r="M1161" i="2"/>
  <c r="M1165" i="2"/>
  <c r="M1169" i="2"/>
  <c r="M1173" i="2"/>
  <c r="M1177" i="2"/>
  <c r="M1181" i="2"/>
  <c r="M1185" i="2"/>
  <c r="M1189" i="2"/>
  <c r="M15" i="2"/>
  <c r="M31" i="2"/>
  <c r="M47" i="2"/>
  <c r="M63" i="2"/>
  <c r="M79" i="2"/>
  <c r="M95" i="2"/>
  <c r="M111" i="2"/>
  <c r="M127" i="2"/>
  <c r="M143" i="2"/>
  <c r="M159" i="2"/>
  <c r="M175" i="2"/>
  <c r="M191" i="2"/>
  <c r="M207" i="2"/>
  <c r="M223" i="2"/>
  <c r="M239" i="2"/>
  <c r="M255" i="2"/>
  <c r="M271" i="2"/>
  <c r="M287" i="2"/>
  <c r="M303" i="2"/>
  <c r="M319" i="2"/>
  <c r="M335" i="2"/>
  <c r="M347" i="2"/>
  <c r="M355" i="2"/>
  <c r="M363" i="2"/>
  <c r="M371" i="2"/>
  <c r="M379" i="2"/>
  <c r="M387" i="2"/>
  <c r="M395" i="2"/>
  <c r="M403" i="2"/>
  <c r="M411" i="2"/>
  <c r="M419" i="2"/>
  <c r="M427" i="2"/>
  <c r="M435" i="2"/>
  <c r="M443" i="2"/>
  <c r="M451" i="2"/>
  <c r="M459" i="2"/>
  <c r="M467" i="2"/>
  <c r="M475" i="2"/>
  <c r="M483" i="2"/>
  <c r="M491" i="2"/>
  <c r="M499" i="2"/>
  <c r="M507" i="2"/>
  <c r="M515" i="2"/>
  <c r="M523" i="2"/>
  <c r="M531" i="2"/>
  <c r="M539" i="2"/>
  <c r="M547" i="2"/>
  <c r="M555" i="2"/>
  <c r="M563" i="2"/>
  <c r="M571" i="2"/>
  <c r="M579" i="2"/>
  <c r="M587" i="2"/>
  <c r="M595" i="2"/>
  <c r="M603" i="2"/>
  <c r="M611" i="2"/>
  <c r="M619" i="2"/>
  <c r="M627" i="2"/>
  <c r="M635" i="2"/>
  <c r="M643" i="2"/>
  <c r="M651" i="2"/>
  <c r="M659" i="2"/>
  <c r="M667" i="2"/>
  <c r="M675" i="2"/>
  <c r="M683" i="2"/>
  <c r="M691" i="2"/>
  <c r="M699" i="2"/>
  <c r="M707" i="2"/>
  <c r="M715" i="2"/>
  <c r="M723" i="2"/>
  <c r="M731" i="2"/>
  <c r="M739" i="2"/>
  <c r="M747" i="2"/>
  <c r="M755" i="2"/>
  <c r="M763" i="2"/>
  <c r="M771" i="2"/>
  <c r="M779" i="2"/>
  <c r="M787" i="2"/>
  <c r="M795" i="2"/>
  <c r="M803" i="2"/>
  <c r="M811" i="2"/>
  <c r="M819" i="2"/>
  <c r="M827" i="2"/>
  <c r="M835" i="2"/>
  <c r="M843" i="2"/>
  <c r="M850" i="2"/>
  <c r="M855" i="2"/>
  <c r="M859" i="2"/>
  <c r="M863" i="2"/>
  <c r="M867" i="2"/>
  <c r="M871" i="2"/>
  <c r="M875" i="2"/>
  <c r="M879" i="2"/>
  <c r="M883" i="2"/>
  <c r="M887" i="2"/>
  <c r="M891" i="2"/>
  <c r="M895" i="2"/>
  <c r="M899" i="2"/>
  <c r="M903" i="2"/>
  <c r="M907" i="2"/>
  <c r="M911" i="2"/>
  <c r="M915" i="2"/>
  <c r="M919" i="2"/>
  <c r="M923" i="2"/>
  <c r="M927" i="2"/>
  <c r="M931" i="2"/>
  <c r="M935" i="2"/>
  <c r="M939" i="2"/>
  <c r="M943" i="2"/>
  <c r="M947" i="2"/>
  <c r="M951" i="2"/>
  <c r="M955" i="2"/>
  <c r="M959" i="2"/>
  <c r="M963" i="2"/>
  <c r="M967" i="2"/>
  <c r="M971" i="2"/>
  <c r="M975" i="2"/>
  <c r="M979" i="2"/>
  <c r="M983" i="2"/>
  <c r="M987" i="2"/>
  <c r="M991" i="2"/>
  <c r="M995" i="2"/>
  <c r="M999" i="2"/>
  <c r="M1003" i="2"/>
  <c r="M1007" i="2"/>
  <c r="M1011" i="2"/>
  <c r="M1015" i="2"/>
  <c r="M1019" i="2"/>
  <c r="M1023" i="2"/>
  <c r="M1027" i="2"/>
  <c r="M1031" i="2"/>
  <c r="M1035" i="2"/>
  <c r="M1039" i="2"/>
  <c r="M1043" i="2"/>
  <c r="M1047" i="2"/>
  <c r="M1051" i="2"/>
  <c r="M1055" i="2"/>
  <c r="M1059" i="2"/>
  <c r="M1063" i="2"/>
  <c r="M1067" i="2"/>
  <c r="M1071" i="2"/>
  <c r="M1075" i="2"/>
  <c r="M1079" i="2"/>
  <c r="M1083" i="2"/>
  <c r="M1087" i="2"/>
  <c r="M1091" i="2"/>
  <c r="M1095" i="2"/>
  <c r="M1099" i="2"/>
  <c r="M1103" i="2"/>
  <c r="M1107" i="2"/>
  <c r="M1111" i="2"/>
  <c r="M1115" i="2"/>
  <c r="M1119" i="2"/>
  <c r="M1123" i="2"/>
  <c r="M1127" i="2"/>
  <c r="M1131" i="2"/>
  <c r="M1135" i="2"/>
  <c r="M1139" i="2"/>
  <c r="M1143" i="2"/>
  <c r="M1147" i="2"/>
  <c r="M1151" i="2"/>
  <c r="M1155" i="2"/>
  <c r="M1159" i="2"/>
  <c r="M1163" i="2"/>
  <c r="M1167" i="2"/>
  <c r="M1171" i="2"/>
  <c r="M1175" i="2"/>
  <c r="M1179" i="2"/>
  <c r="M1183" i="2"/>
  <c r="M1187" i="2"/>
  <c r="M1191" i="2"/>
  <c r="M1195" i="2"/>
  <c r="B17" i="2"/>
  <c r="C17" i="2"/>
  <c r="B18" i="2"/>
  <c r="C18" i="2"/>
  <c r="C12" i="2" l="1"/>
  <c r="D12" i="2"/>
  <c r="B5" i="2"/>
  <c r="B4" i="2"/>
  <c r="C13" i="2"/>
  <c r="D13" i="2"/>
  <c r="E12" i="2"/>
  <c r="F12" i="2"/>
  <c r="G12" i="2"/>
  <c r="E6" i="2"/>
  <c r="E4" i="2"/>
  <c r="E5" i="2"/>
  <c r="B7" i="2"/>
  <c r="B6" i="2"/>
</calcChain>
</file>

<file path=xl/sharedStrings.xml><?xml version="1.0" encoding="utf-8"?>
<sst xmlns="http://schemas.openxmlformats.org/spreadsheetml/2006/main" count="11593" uniqueCount="852">
  <si>
    <t>fecha</t>
  </si>
  <si>
    <t>hora</t>
  </si>
  <si>
    <t>ruta</t>
  </si>
  <si>
    <t>alumnos_esperando</t>
  </si>
  <si>
    <t>llegadas_intervalo</t>
  </si>
  <si>
    <t>hora_salida</t>
  </si>
  <si>
    <t>pasajeros_al_salir</t>
  </si>
  <si>
    <t>tipo_salida</t>
  </si>
  <si>
    <t>tiempo_espera_acum</t>
  </si>
  <si>
    <t>tiempo_recorrido</t>
  </si>
  <si>
    <t>paradas_intermedias</t>
  </si>
  <si>
    <t>alumnos_recogidos_intermedias</t>
  </si>
  <si>
    <t>total_pasajeros_final</t>
  </si>
  <si>
    <t>hora_llegada_upp</t>
  </si>
  <si>
    <t>2026-08-01</t>
  </si>
  <si>
    <t>06:00</t>
  </si>
  <si>
    <t>Las vías</t>
  </si>
  <si>
    <t>06:03</t>
  </si>
  <si>
    <t>Llena</t>
  </si>
  <si>
    <t>06:32</t>
  </si>
  <si>
    <t>06:04</t>
  </si>
  <si>
    <t>06:06</t>
  </si>
  <si>
    <t>06:34</t>
  </si>
  <si>
    <t>06:07</t>
  </si>
  <si>
    <t>06:10</t>
  </si>
  <si>
    <t>06:37</t>
  </si>
  <si>
    <t>06:11</t>
  </si>
  <si>
    <t>06:16</t>
  </si>
  <si>
    <t>06:41</t>
  </si>
  <si>
    <t>Puente Tuzos</t>
  </si>
  <si>
    <t>06:17</t>
  </si>
  <si>
    <t>06:20</t>
  </si>
  <si>
    <t>06:51</t>
  </si>
  <si>
    <t>06:21</t>
  </si>
  <si>
    <t>06:25</t>
  </si>
  <si>
    <t>06:53</t>
  </si>
  <si>
    <t>06:27</t>
  </si>
  <si>
    <t>06:49</t>
  </si>
  <si>
    <t>06:26</t>
  </si>
  <si>
    <t>06:29</t>
  </si>
  <si>
    <t>06:55</t>
  </si>
  <si>
    <t>06:30</t>
  </si>
  <si>
    <t>06:47</t>
  </si>
  <si>
    <t>07:13</t>
  </si>
  <si>
    <t>06:48</t>
  </si>
  <si>
    <t>06:57</t>
  </si>
  <si>
    <t>07:23</t>
  </si>
  <si>
    <t>06:58</t>
  </si>
  <si>
    <t>07:03</t>
  </si>
  <si>
    <t>07:27</t>
  </si>
  <si>
    <t>06:28</t>
  </si>
  <si>
    <t>07:22</t>
  </si>
  <si>
    <t>07:04</t>
  </si>
  <si>
    <t>07:09</t>
  </si>
  <si>
    <t>07:39</t>
  </si>
  <si>
    <t>07:10</t>
  </si>
  <si>
    <t>07:12</t>
  </si>
  <si>
    <t>07:40</t>
  </si>
  <si>
    <t>07:35</t>
  </si>
  <si>
    <t>07:16</t>
  </si>
  <si>
    <t>07:48</t>
  </si>
  <si>
    <t>07:17</t>
  </si>
  <si>
    <t>07:19</t>
  </si>
  <si>
    <t>07:20</t>
  </si>
  <si>
    <t>07:51</t>
  </si>
  <si>
    <t>07:25</t>
  </si>
  <si>
    <t>07:49</t>
  </si>
  <si>
    <t>07:24</t>
  </si>
  <si>
    <t>07:26</t>
  </si>
  <si>
    <t>07:53</t>
  </si>
  <si>
    <t>07:34</t>
  </si>
  <si>
    <t>08:00</t>
  </si>
  <si>
    <t>07:45</t>
  </si>
  <si>
    <t>08:17</t>
  </si>
  <si>
    <t>08:29</t>
  </si>
  <si>
    <t>08:01</t>
  </si>
  <si>
    <t>08:24</t>
  </si>
  <si>
    <t>08:05</t>
  </si>
  <si>
    <t>08:32</t>
  </si>
  <si>
    <t>08:06</t>
  </si>
  <si>
    <t>08:09</t>
  </si>
  <si>
    <t>08:36</t>
  </si>
  <si>
    <t>08:10</t>
  </si>
  <si>
    <t>08:13</t>
  </si>
  <si>
    <t>08:42</t>
  </si>
  <si>
    <t>08:14</t>
  </si>
  <si>
    <t>08:50</t>
  </si>
  <si>
    <t>08:18</t>
  </si>
  <si>
    <t>08:20</t>
  </si>
  <si>
    <t>08:47</t>
  </si>
  <si>
    <t>08:02</t>
  </si>
  <si>
    <t>08:23</t>
  </si>
  <si>
    <t>08:46</t>
  </si>
  <si>
    <t>08:21</t>
  </si>
  <si>
    <t>08:26</t>
  </si>
  <si>
    <t>08:53</t>
  </si>
  <si>
    <t>08:27</t>
  </si>
  <si>
    <t>08:54</t>
  </si>
  <si>
    <t>08:30</t>
  </si>
  <si>
    <t>08:39</t>
  </si>
  <si>
    <t>09:09</t>
  </si>
  <si>
    <t>08:45</t>
  </si>
  <si>
    <t>09:07</t>
  </si>
  <si>
    <t>08:40</t>
  </si>
  <si>
    <t>08:56</t>
  </si>
  <si>
    <t>09:21</t>
  </si>
  <si>
    <t>08:57</t>
  </si>
  <si>
    <t>09:18</t>
  </si>
  <si>
    <t>09:48</t>
  </si>
  <si>
    <t>09:36</t>
  </si>
  <si>
    <t>09:58</t>
  </si>
  <si>
    <t>09:19</t>
  </si>
  <si>
    <t>09:40</t>
  </si>
  <si>
    <t>10:08</t>
  </si>
  <si>
    <t>09:41</t>
  </si>
  <si>
    <t>09:59</t>
  </si>
  <si>
    <t>10:31</t>
  </si>
  <si>
    <t>10:00</t>
  </si>
  <si>
    <t>10:26</t>
  </si>
  <si>
    <t>10:57</t>
  </si>
  <si>
    <t>10:27</t>
  </si>
  <si>
    <t>10:48</t>
  </si>
  <si>
    <t>11:20</t>
  </si>
  <si>
    <t>09:39</t>
  </si>
  <si>
    <t>11:00</t>
  </si>
  <si>
    <t>10:49</t>
  </si>
  <si>
    <t>11:02</t>
  </si>
  <si>
    <t>11:31</t>
  </si>
  <si>
    <t>11:03</t>
  </si>
  <si>
    <t>11:07</t>
  </si>
  <si>
    <t>11:36</t>
  </si>
  <si>
    <t>11:08</t>
  </si>
  <si>
    <t>11:09</t>
  </si>
  <si>
    <t>11:38</t>
  </si>
  <si>
    <t>11:10</t>
  </si>
  <si>
    <t>11:14</t>
  </si>
  <si>
    <t>11:43</t>
  </si>
  <si>
    <t>11:01</t>
  </si>
  <si>
    <t>11:15</t>
  </si>
  <si>
    <t>11:16</t>
  </si>
  <si>
    <t>11:50</t>
  </si>
  <si>
    <t>11:17</t>
  </si>
  <si>
    <t>11:21</t>
  </si>
  <si>
    <t>11:56</t>
  </si>
  <si>
    <t>11:22</t>
  </si>
  <si>
    <t>11:25</t>
  </si>
  <si>
    <t>11:54</t>
  </si>
  <si>
    <t>11:26</t>
  </si>
  <si>
    <t>11:45</t>
  </si>
  <si>
    <t>11:30</t>
  </si>
  <si>
    <t>12:02</t>
  </si>
  <si>
    <t>11:33</t>
  </si>
  <si>
    <t>11:44</t>
  </si>
  <si>
    <t>12:11</t>
  </si>
  <si>
    <t>12:26</t>
  </si>
  <si>
    <t>11:27</t>
  </si>
  <si>
    <t>12:00</t>
  </si>
  <si>
    <t>Parcial</t>
  </si>
  <si>
    <t>12:22</t>
  </si>
  <si>
    <t>11:58</t>
  </si>
  <si>
    <t>12:05</t>
  </si>
  <si>
    <t>12:31</t>
  </si>
  <si>
    <t>12:06</t>
  </si>
  <si>
    <t>12:09</t>
  </si>
  <si>
    <t>12:39</t>
  </si>
  <si>
    <t>12:10</t>
  </si>
  <si>
    <t>12:13</t>
  </si>
  <si>
    <t>12:35</t>
  </si>
  <si>
    <t>12:14</t>
  </si>
  <si>
    <t>12:19</t>
  </si>
  <si>
    <t>12:47</t>
  </si>
  <si>
    <t>12:20</t>
  </si>
  <si>
    <t>12:53</t>
  </si>
  <si>
    <t>12:25</t>
  </si>
  <si>
    <t>12:51</t>
  </si>
  <si>
    <t>12:23</t>
  </si>
  <si>
    <t>12:27</t>
  </si>
  <si>
    <t>12:52</t>
  </si>
  <si>
    <t>12:28</t>
  </si>
  <si>
    <t>12:36</t>
  </si>
  <si>
    <t>13:05</t>
  </si>
  <si>
    <t>12:41</t>
  </si>
  <si>
    <t>13:03</t>
  </si>
  <si>
    <t>12:37</t>
  </si>
  <si>
    <t>12:46</t>
  </si>
  <si>
    <t>13:14</t>
  </si>
  <si>
    <t>12:42</t>
  </si>
  <si>
    <t>12:57</t>
  </si>
  <si>
    <t>13:24</t>
  </si>
  <si>
    <t>12:49</t>
  </si>
  <si>
    <t>13:02</t>
  </si>
  <si>
    <t>13:27</t>
  </si>
  <si>
    <t>13:18</t>
  </si>
  <si>
    <t>13:41</t>
  </si>
  <si>
    <t>13:20</t>
  </si>
  <si>
    <t>13:21</t>
  </si>
  <si>
    <t>13:36</t>
  </si>
  <si>
    <t>14:06</t>
  </si>
  <si>
    <t>13:31</t>
  </si>
  <si>
    <t>13:46</t>
  </si>
  <si>
    <t>14:03</t>
  </si>
  <si>
    <t>13:38</t>
  </si>
  <si>
    <t>13:53</t>
  </si>
  <si>
    <t>14:21</t>
  </si>
  <si>
    <t>13:54</t>
  </si>
  <si>
    <t>14:09</t>
  </si>
  <si>
    <t>14:36</t>
  </si>
  <si>
    <t>14:10</t>
  </si>
  <si>
    <t>14:25</t>
  </si>
  <si>
    <t>14:50</t>
  </si>
  <si>
    <t>14:27</t>
  </si>
  <si>
    <t>14:42</t>
  </si>
  <si>
    <t>15:06</t>
  </si>
  <si>
    <t>14:46</t>
  </si>
  <si>
    <t>14:59</t>
  </si>
  <si>
    <t>15:26</t>
  </si>
  <si>
    <t>15:00</t>
  </si>
  <si>
    <t>15:15</t>
  </si>
  <si>
    <t>15:45</t>
  </si>
  <si>
    <t>15:17</t>
  </si>
  <si>
    <t>15:32</t>
  </si>
  <si>
    <t>15:58</t>
  </si>
  <si>
    <t>15:33</t>
  </si>
  <si>
    <t>15:48</t>
  </si>
  <si>
    <t>16:14</t>
  </si>
  <si>
    <t>15:49</t>
  </si>
  <si>
    <t>16:04</t>
  </si>
  <si>
    <t>16:29</t>
  </si>
  <si>
    <t>16:05</t>
  </si>
  <si>
    <t>16:20</t>
  </si>
  <si>
    <t>16:43</t>
  </si>
  <si>
    <t>16:21</t>
  </si>
  <si>
    <t>16:36</t>
  </si>
  <si>
    <t>17:04</t>
  </si>
  <si>
    <t>16:38</t>
  </si>
  <si>
    <t>16:53</t>
  </si>
  <si>
    <t>17:20</t>
  </si>
  <si>
    <t>16:56</t>
  </si>
  <si>
    <t>17:11</t>
  </si>
  <si>
    <t>17:37</t>
  </si>
  <si>
    <t>17:12</t>
  </si>
  <si>
    <t>17:23</t>
  </si>
  <si>
    <t>17:47</t>
  </si>
  <si>
    <t>17:25</t>
  </si>
  <si>
    <t>17:40</t>
  </si>
  <si>
    <t>18:07</t>
  </si>
  <si>
    <t>17:41</t>
  </si>
  <si>
    <t>17:56</t>
  </si>
  <si>
    <t>18:22</t>
  </si>
  <si>
    <t>17:59</t>
  </si>
  <si>
    <t>18:14</t>
  </si>
  <si>
    <t>18:43</t>
  </si>
  <si>
    <t>2026-08-02</t>
  </si>
  <si>
    <t>06:31</t>
  </si>
  <si>
    <t>06:05</t>
  </si>
  <si>
    <t>06:40</t>
  </si>
  <si>
    <t>06:13</t>
  </si>
  <si>
    <t>06:35</t>
  </si>
  <si>
    <t>06:15</t>
  </si>
  <si>
    <t>06:45</t>
  </si>
  <si>
    <t>06:19</t>
  </si>
  <si>
    <t>06:24</t>
  </si>
  <si>
    <t>06:50</t>
  </si>
  <si>
    <t>06:14</t>
  </si>
  <si>
    <t>06:39</t>
  </si>
  <si>
    <t>07:05</t>
  </si>
  <si>
    <t>06:52</t>
  </si>
  <si>
    <t>07:01</t>
  </si>
  <si>
    <t>07:31</t>
  </si>
  <si>
    <t>07:02</t>
  </si>
  <si>
    <t>07:07</t>
  </si>
  <si>
    <t>07:36</t>
  </si>
  <si>
    <t>07:08</t>
  </si>
  <si>
    <t>07:11</t>
  </si>
  <si>
    <t>07:15</t>
  </si>
  <si>
    <t>07:46</t>
  </si>
  <si>
    <t>07:50</t>
  </si>
  <si>
    <t>07:21</t>
  </si>
  <si>
    <t>07:59</t>
  </si>
  <si>
    <t>07:29</t>
  </si>
  <si>
    <t>07:30</t>
  </si>
  <si>
    <t>07:43</t>
  </si>
  <si>
    <t>08:11</t>
  </si>
  <si>
    <t>07:44</t>
  </si>
  <si>
    <t>07:56</t>
  </si>
  <si>
    <t>08:22</t>
  </si>
  <si>
    <t>07:57</t>
  </si>
  <si>
    <t>08:04</t>
  </si>
  <si>
    <t>08:08</t>
  </si>
  <si>
    <t>08:37</t>
  </si>
  <si>
    <t>08:12</t>
  </si>
  <si>
    <t>08:41</t>
  </si>
  <si>
    <t>08:15</t>
  </si>
  <si>
    <t>08:19</t>
  </si>
  <si>
    <t>08:49</t>
  </si>
  <si>
    <t>08:28</t>
  </si>
  <si>
    <t>08:31</t>
  </si>
  <si>
    <t>08:58</t>
  </si>
  <si>
    <t>08:43</t>
  </si>
  <si>
    <t>08:44</t>
  </si>
  <si>
    <t>09:27</t>
  </si>
  <si>
    <t>08:33</t>
  </si>
  <si>
    <t>09:04</t>
  </si>
  <si>
    <t>09:32</t>
  </si>
  <si>
    <t>09:22</t>
  </si>
  <si>
    <t>09:46</t>
  </si>
  <si>
    <t>09:23</t>
  </si>
  <si>
    <t>09:44</t>
  </si>
  <si>
    <t>10:12</t>
  </si>
  <si>
    <t>09:45</t>
  </si>
  <si>
    <t>10:06</t>
  </si>
  <si>
    <t>10:34</t>
  </si>
  <si>
    <t>10:07</t>
  </si>
  <si>
    <t>10:28</t>
  </si>
  <si>
    <t>10:54</t>
  </si>
  <si>
    <t>09:13</t>
  </si>
  <si>
    <t>10:38</t>
  </si>
  <si>
    <t>10:50</t>
  </si>
  <si>
    <t>10:52</t>
  </si>
  <si>
    <t>11:29</t>
  </si>
  <si>
    <t>11:06</t>
  </si>
  <si>
    <t>11:35</t>
  </si>
  <si>
    <t>11:11</t>
  </si>
  <si>
    <t>10:46</t>
  </si>
  <si>
    <t>11:12</t>
  </si>
  <si>
    <t>11:51</t>
  </si>
  <si>
    <t>11:48</t>
  </si>
  <si>
    <t>11:32</t>
  </si>
  <si>
    <t>12:01</t>
  </si>
  <si>
    <t>12:07</t>
  </si>
  <si>
    <t>12:34</t>
  </si>
  <si>
    <t>12:08</t>
  </si>
  <si>
    <t>12:12</t>
  </si>
  <si>
    <t>12:15</t>
  </si>
  <si>
    <t>12:44</t>
  </si>
  <si>
    <t>12:16</t>
  </si>
  <si>
    <t>12:24</t>
  </si>
  <si>
    <t>12:50</t>
  </si>
  <si>
    <t>12:54</t>
  </si>
  <si>
    <t>12:29</t>
  </si>
  <si>
    <t>12:43</t>
  </si>
  <si>
    <t>13:13</t>
  </si>
  <si>
    <t>13:19</t>
  </si>
  <si>
    <t>12:45</t>
  </si>
  <si>
    <t>13:00</t>
  </si>
  <si>
    <t>13:06</t>
  </si>
  <si>
    <t>13:37</t>
  </si>
  <si>
    <t>13:17</t>
  </si>
  <si>
    <t>13:07</t>
  </si>
  <si>
    <t>13:22</t>
  </si>
  <si>
    <t>13:51</t>
  </si>
  <si>
    <t>13:26</t>
  </si>
  <si>
    <t>14:11</t>
  </si>
  <si>
    <t>13:32</t>
  </si>
  <si>
    <t>13:47</t>
  </si>
  <si>
    <t>14:05</t>
  </si>
  <si>
    <t>13:42</t>
  </si>
  <si>
    <t>13:57</t>
  </si>
  <si>
    <t>14:26</t>
  </si>
  <si>
    <t>13:59</t>
  </si>
  <si>
    <t>14:14</t>
  </si>
  <si>
    <t>14:48</t>
  </si>
  <si>
    <t>14:15</t>
  </si>
  <si>
    <t>14:30</t>
  </si>
  <si>
    <t>15:01</t>
  </si>
  <si>
    <t>14:31</t>
  </si>
  <si>
    <t>14:45</t>
  </si>
  <si>
    <t>15:14</t>
  </si>
  <si>
    <t>15:24</t>
  </si>
  <si>
    <t>15:03</t>
  </si>
  <si>
    <t>15:18</t>
  </si>
  <si>
    <t>15:46</t>
  </si>
  <si>
    <t>15:19</t>
  </si>
  <si>
    <t>15:34</t>
  </si>
  <si>
    <t>16:00</t>
  </si>
  <si>
    <t>15:35</t>
  </si>
  <si>
    <t>15:50</t>
  </si>
  <si>
    <t>16:15</t>
  </si>
  <si>
    <t>15:51</t>
  </si>
  <si>
    <t>16:06</t>
  </si>
  <si>
    <t>16:37</t>
  </si>
  <si>
    <t>16:07</t>
  </si>
  <si>
    <t>16:22</t>
  </si>
  <si>
    <t>16:23</t>
  </si>
  <si>
    <t>17:03</t>
  </si>
  <si>
    <t>16:39</t>
  </si>
  <si>
    <t>16:54</t>
  </si>
  <si>
    <t>17:19</t>
  </si>
  <si>
    <t>16:55</t>
  </si>
  <si>
    <t>17:10</t>
  </si>
  <si>
    <t>17:35</t>
  </si>
  <si>
    <t>17:27</t>
  </si>
  <si>
    <t>17:55</t>
  </si>
  <si>
    <t>17:29</t>
  </si>
  <si>
    <t>17:44</t>
  </si>
  <si>
    <t>18:09</t>
  </si>
  <si>
    <t>17:45</t>
  </si>
  <si>
    <t>18:00</t>
  </si>
  <si>
    <t>18:29</t>
  </si>
  <si>
    <t>18:03</t>
  </si>
  <si>
    <t>18:17</t>
  </si>
  <si>
    <t>18:44</t>
  </si>
  <si>
    <t>2026-08-03</t>
  </si>
  <si>
    <t>06:33</t>
  </si>
  <si>
    <t>06:09</t>
  </si>
  <si>
    <t>06:01</t>
  </si>
  <si>
    <t>06:23</t>
  </si>
  <si>
    <t>06:12</t>
  </si>
  <si>
    <t>06:43</t>
  </si>
  <si>
    <t>06:59</t>
  </si>
  <si>
    <t>07:32</t>
  </si>
  <si>
    <t>07:06</t>
  </si>
  <si>
    <t>07:37</t>
  </si>
  <si>
    <t>07:47</t>
  </si>
  <si>
    <t>07:14</t>
  </si>
  <si>
    <t>07:28</t>
  </si>
  <si>
    <t>07:55</t>
  </si>
  <si>
    <t>08:03</t>
  </si>
  <si>
    <t>08:38</t>
  </si>
  <si>
    <t>08:16</t>
  </si>
  <si>
    <t>08:25</t>
  </si>
  <si>
    <t>09:01</t>
  </si>
  <si>
    <t>09:02</t>
  </si>
  <si>
    <t>09:05</t>
  </si>
  <si>
    <t>08:55</t>
  </si>
  <si>
    <t>09:20</t>
  </si>
  <si>
    <t>09:50</t>
  </si>
  <si>
    <t>10:16</t>
  </si>
  <si>
    <t>10:25</t>
  </si>
  <si>
    <t>09:52</t>
  </si>
  <si>
    <t>10:17</t>
  </si>
  <si>
    <t>10:43</t>
  </si>
  <si>
    <t>10:19</t>
  </si>
  <si>
    <t>10:42</t>
  </si>
  <si>
    <t>10:47</t>
  </si>
  <si>
    <t>11:04</t>
  </si>
  <si>
    <t>11:05</t>
  </si>
  <si>
    <t>11:37</t>
  </si>
  <si>
    <t>11:40</t>
  </si>
  <si>
    <t>11:19</t>
  </si>
  <si>
    <t>11:49</t>
  </si>
  <si>
    <t>12:04</t>
  </si>
  <si>
    <t>11:46</t>
  </si>
  <si>
    <t>11:59</t>
  </si>
  <si>
    <t>12:03</t>
  </si>
  <si>
    <t>12:33</t>
  </si>
  <si>
    <t>12:38</t>
  </si>
  <si>
    <t>12:59</t>
  </si>
  <si>
    <t>12:17</t>
  </si>
  <si>
    <t>12:32</t>
  </si>
  <si>
    <t>13:12</t>
  </si>
  <si>
    <t>12:48</t>
  </si>
  <si>
    <t>13:29</t>
  </si>
  <si>
    <t>13:08</t>
  </si>
  <si>
    <t>13:28</t>
  </si>
  <si>
    <t>13:15</t>
  </si>
  <si>
    <t>13:40</t>
  </si>
  <si>
    <t>13:09</t>
  </si>
  <si>
    <t>13:50</t>
  </si>
  <si>
    <t>13:16</t>
  </si>
  <si>
    <t>14:01</t>
  </si>
  <si>
    <t>13:25</t>
  </si>
  <si>
    <t>14:04</t>
  </si>
  <si>
    <t>14:13</t>
  </si>
  <si>
    <t>13:56</t>
  </si>
  <si>
    <t>14:23</t>
  </si>
  <si>
    <t>14:35</t>
  </si>
  <si>
    <t>15:20</t>
  </si>
  <si>
    <t>14:51</t>
  </si>
  <si>
    <t>15:31</t>
  </si>
  <si>
    <t>15:07</t>
  </si>
  <si>
    <t>15:22</t>
  </si>
  <si>
    <t>15:23</t>
  </si>
  <si>
    <t>15:38</t>
  </si>
  <si>
    <t>15:41</t>
  </si>
  <si>
    <t>15:56</t>
  </si>
  <si>
    <t>16:30</t>
  </si>
  <si>
    <t>15:57</t>
  </si>
  <si>
    <t>16:12</t>
  </si>
  <si>
    <t>16:13</t>
  </si>
  <si>
    <t>16:28</t>
  </si>
  <si>
    <t>16:44</t>
  </si>
  <si>
    <t>17:09</t>
  </si>
  <si>
    <t>16:46</t>
  </si>
  <si>
    <t>17:01</t>
  </si>
  <si>
    <t>17:02</t>
  </si>
  <si>
    <t>17:17</t>
  </si>
  <si>
    <t>17:46</t>
  </si>
  <si>
    <t>17:18</t>
  </si>
  <si>
    <t>17:33</t>
  </si>
  <si>
    <t>17:50</t>
  </si>
  <si>
    <t>17:52</t>
  </si>
  <si>
    <t>18:35</t>
  </si>
  <si>
    <t>18:13</t>
  </si>
  <si>
    <t>18:28</t>
  </si>
  <si>
    <t>18:55</t>
  </si>
  <si>
    <t>2026-08-04</t>
  </si>
  <si>
    <t>06:42</t>
  </si>
  <si>
    <t>06:56</t>
  </si>
  <si>
    <t>06:18</t>
  </si>
  <si>
    <t>06:54</t>
  </si>
  <si>
    <t>06:38</t>
  </si>
  <si>
    <t>07:33</t>
  </si>
  <si>
    <t>06:36</t>
  </si>
  <si>
    <t>07:18</t>
  </si>
  <si>
    <t>07:42</t>
  </si>
  <si>
    <t>07:52</t>
  </si>
  <si>
    <t>07:38</t>
  </si>
  <si>
    <t>09:08</t>
  </si>
  <si>
    <t>08:35</t>
  </si>
  <si>
    <t>09:15</t>
  </si>
  <si>
    <t>09:30</t>
  </si>
  <si>
    <t>08:59</t>
  </si>
  <si>
    <t>09:16</t>
  </si>
  <si>
    <t>09:17</t>
  </si>
  <si>
    <t>09:33</t>
  </si>
  <si>
    <t>09:34</t>
  </si>
  <si>
    <t>10:22</t>
  </si>
  <si>
    <t>10:40</t>
  </si>
  <si>
    <t>10:04</t>
  </si>
  <si>
    <t>10:24</t>
  </si>
  <si>
    <t>11:18</t>
  </si>
  <si>
    <t>11:24</t>
  </si>
  <si>
    <t>10:23</t>
  </si>
  <si>
    <t>11:28</t>
  </si>
  <si>
    <t>11:13</t>
  </si>
  <si>
    <t>11:23</t>
  </si>
  <si>
    <t>11:52</t>
  </si>
  <si>
    <t>12:21</t>
  </si>
  <si>
    <t>12:30</t>
  </si>
  <si>
    <t>12:40</t>
  </si>
  <si>
    <t>12:55</t>
  </si>
  <si>
    <t>13:23</t>
  </si>
  <si>
    <t>13:35</t>
  </si>
  <si>
    <t>12:58</t>
  </si>
  <si>
    <t>13:30</t>
  </si>
  <si>
    <t>14:00</t>
  </si>
  <si>
    <t>13:33</t>
  </si>
  <si>
    <t>13:55</t>
  </si>
  <si>
    <t>14:16</t>
  </si>
  <si>
    <t>13:49</t>
  </si>
  <si>
    <t>14:44</t>
  </si>
  <si>
    <t>14:22</t>
  </si>
  <si>
    <t>14:37</t>
  </si>
  <si>
    <t>15:05</t>
  </si>
  <si>
    <t>14:39</t>
  </si>
  <si>
    <t>14:54</t>
  </si>
  <si>
    <t>14:55</t>
  </si>
  <si>
    <t>15:10</t>
  </si>
  <si>
    <t>15:11</t>
  </si>
  <si>
    <t>15:55</t>
  </si>
  <si>
    <t>15:27</t>
  </si>
  <si>
    <t>16:10</t>
  </si>
  <si>
    <t>15:39</t>
  </si>
  <si>
    <t>15:53</t>
  </si>
  <si>
    <t>16:26</t>
  </si>
  <si>
    <t>16:40</t>
  </si>
  <si>
    <t>16:11</t>
  </si>
  <si>
    <t>16:27</t>
  </si>
  <si>
    <t>16:42</t>
  </si>
  <si>
    <t>17:14</t>
  </si>
  <si>
    <t>16:58</t>
  </si>
  <si>
    <t>17:21</t>
  </si>
  <si>
    <t>16:59</t>
  </si>
  <si>
    <t>17:42</t>
  </si>
  <si>
    <t>17:15</t>
  </si>
  <si>
    <t>17:30</t>
  </si>
  <si>
    <t>17:32</t>
  </si>
  <si>
    <t>18:18</t>
  </si>
  <si>
    <t>17:54</t>
  </si>
  <si>
    <t>18:40</t>
  </si>
  <si>
    <t>18:12</t>
  </si>
  <si>
    <t>18:27</t>
  </si>
  <si>
    <t>18:57</t>
  </si>
  <si>
    <t>2026-08-05</t>
  </si>
  <si>
    <t>06:08</t>
  </si>
  <si>
    <t>07:00</t>
  </si>
  <si>
    <t>07:41</t>
  </si>
  <si>
    <t>07:54</t>
  </si>
  <si>
    <t>08:52</t>
  </si>
  <si>
    <t>08:34</t>
  </si>
  <si>
    <t>10:09</t>
  </si>
  <si>
    <t>09:43</t>
  </si>
  <si>
    <t>10:03</t>
  </si>
  <si>
    <t>10:37</t>
  </si>
  <si>
    <t>10:56</t>
  </si>
  <si>
    <t>10:44</t>
  </si>
  <si>
    <t>10:45</t>
  </si>
  <si>
    <t>11:34</t>
  </si>
  <si>
    <t>11:39</t>
  </si>
  <si>
    <t>12:18</t>
  </si>
  <si>
    <t>13:44</t>
  </si>
  <si>
    <t>13:48</t>
  </si>
  <si>
    <t>14:18</t>
  </si>
  <si>
    <t>14:32</t>
  </si>
  <si>
    <t>14:47</t>
  </si>
  <si>
    <t>14:38</t>
  </si>
  <si>
    <t>14:58</t>
  </si>
  <si>
    <t>15:02</t>
  </si>
  <si>
    <t>15:44</t>
  </si>
  <si>
    <t>16:03</t>
  </si>
  <si>
    <t>15:36</t>
  </si>
  <si>
    <t>16:17</t>
  </si>
  <si>
    <t>16:08</t>
  </si>
  <si>
    <t>16:41</t>
  </si>
  <si>
    <t>16:09</t>
  </si>
  <si>
    <t>16:24</t>
  </si>
  <si>
    <t>17:07</t>
  </si>
  <si>
    <t>16:45</t>
  </si>
  <si>
    <t>17:00</t>
  </si>
  <si>
    <t>17:24</t>
  </si>
  <si>
    <t>17:16</t>
  </si>
  <si>
    <t>17:34</t>
  </si>
  <si>
    <t>18:06</t>
  </si>
  <si>
    <t>18:23</t>
  </si>
  <si>
    <t>17:51</t>
  </si>
  <si>
    <t>18:50</t>
  </si>
  <si>
    <t>2026-08-06</t>
  </si>
  <si>
    <t>06:46</t>
  </si>
  <si>
    <t>07:58</t>
  </si>
  <si>
    <t>09:28</t>
  </si>
  <si>
    <t>10:36</t>
  </si>
  <si>
    <t>09:38</t>
  </si>
  <si>
    <t>11:41</t>
  </si>
  <si>
    <t>12:56</t>
  </si>
  <si>
    <t>13:11</t>
  </si>
  <si>
    <t>13:45</t>
  </si>
  <si>
    <t>13:52</t>
  </si>
  <si>
    <t>14:08</t>
  </si>
  <si>
    <t>14:24</t>
  </si>
  <si>
    <t>14:49</t>
  </si>
  <si>
    <t>14:41</t>
  </si>
  <si>
    <t>14:43</t>
  </si>
  <si>
    <t>15:29</t>
  </si>
  <si>
    <t>15:30</t>
  </si>
  <si>
    <t>16:01</t>
  </si>
  <si>
    <t>16:33</t>
  </si>
  <si>
    <t>17:26</t>
  </si>
  <si>
    <t>17:48</t>
  </si>
  <si>
    <t>17:31</t>
  </si>
  <si>
    <t>18:32</t>
  </si>
  <si>
    <t>18:08</t>
  </si>
  <si>
    <t>18:51</t>
  </si>
  <si>
    <t>2026-08-07</t>
  </si>
  <si>
    <t>08:07</t>
  </si>
  <si>
    <t>08:51</t>
  </si>
  <si>
    <t>09:00</t>
  </si>
  <si>
    <t>09:06</t>
  </si>
  <si>
    <t>09:49</t>
  </si>
  <si>
    <t>09:37</t>
  </si>
  <si>
    <t>10:01</t>
  </si>
  <si>
    <t>10:29</t>
  </si>
  <si>
    <t>10:32</t>
  </si>
  <si>
    <t>10:33</t>
  </si>
  <si>
    <t>10:58</t>
  </si>
  <si>
    <t>11:47</t>
  </si>
  <si>
    <t>11:42</t>
  </si>
  <si>
    <t>11:57</t>
  </si>
  <si>
    <t>13:10</t>
  </si>
  <si>
    <t>13:43</t>
  </si>
  <si>
    <t>13:58</t>
  </si>
  <si>
    <t>14:07</t>
  </si>
  <si>
    <t>14:52</t>
  </si>
  <si>
    <t>14:53</t>
  </si>
  <si>
    <t>15:08</t>
  </si>
  <si>
    <t>15:09</t>
  </si>
  <si>
    <t>15:25</t>
  </si>
  <si>
    <t>15:40</t>
  </si>
  <si>
    <t>15:59</t>
  </si>
  <si>
    <t>16:16</t>
  </si>
  <si>
    <t>16:31</t>
  </si>
  <si>
    <t>16:48</t>
  </si>
  <si>
    <t>16:49</t>
  </si>
  <si>
    <t>17:05</t>
  </si>
  <si>
    <t>17:49</t>
  </si>
  <si>
    <t>17:36</t>
  </si>
  <si>
    <t>18:20</t>
  </si>
  <si>
    <t>17:53</t>
  </si>
  <si>
    <t>18:37</t>
  </si>
  <si>
    <t>2026-08-08</t>
  </si>
  <si>
    <t>06:02</t>
  </si>
  <si>
    <t>06:44</t>
  </si>
  <si>
    <t>09:25</t>
  </si>
  <si>
    <t>09:42</t>
  </si>
  <si>
    <t>10:35</t>
  </si>
  <si>
    <t>10:41</t>
  </si>
  <si>
    <t>11:55</t>
  </si>
  <si>
    <t>13:04</t>
  </si>
  <si>
    <t>14:28</t>
  </si>
  <si>
    <t>14:33</t>
  </si>
  <si>
    <t>15:21</t>
  </si>
  <si>
    <t>15:04</t>
  </si>
  <si>
    <t>15:52</t>
  </si>
  <si>
    <t>16:47</t>
  </si>
  <si>
    <t>18:05</t>
  </si>
  <si>
    <t>17:39</t>
  </si>
  <si>
    <t>18:21</t>
  </si>
  <si>
    <t>18:11</t>
  </si>
  <si>
    <t>18:38</t>
  </si>
  <si>
    <t>18:53</t>
  </si>
  <si>
    <t>2026-08-09</t>
  </si>
  <si>
    <t>06:22</t>
  </si>
  <si>
    <t>08:48</t>
  </si>
  <si>
    <t>09:03</t>
  </si>
  <si>
    <t>09:56</t>
  </si>
  <si>
    <t>10:18</t>
  </si>
  <si>
    <t>14:12</t>
  </si>
  <si>
    <t>14:20</t>
  </si>
  <si>
    <t>14:02</t>
  </si>
  <si>
    <t>14:34</t>
  </si>
  <si>
    <t>14:19</t>
  </si>
  <si>
    <t>14:56</t>
  </si>
  <si>
    <t>15:42</t>
  </si>
  <si>
    <t>16:51</t>
  </si>
  <si>
    <t>17:06</t>
  </si>
  <si>
    <t>17:22</t>
  </si>
  <si>
    <t>18:02</t>
  </si>
  <si>
    <t>17:57</t>
  </si>
  <si>
    <t>18:36</t>
  </si>
  <si>
    <t>18:59</t>
  </si>
  <si>
    <t>2026-08-10</t>
  </si>
  <si>
    <t>09:14</t>
  </si>
  <si>
    <t>09:10</t>
  </si>
  <si>
    <t>09:31</t>
  </si>
  <si>
    <t>09:12</t>
  </si>
  <si>
    <t>10:53</t>
  </si>
  <si>
    <t>10:55</t>
  </si>
  <si>
    <t>15:43</t>
  </si>
  <si>
    <t>16:19</t>
  </si>
  <si>
    <t>16:34</t>
  </si>
  <si>
    <t>16:35</t>
  </si>
  <si>
    <t>16:50</t>
  </si>
  <si>
    <t>17:38</t>
  </si>
  <si>
    <t>18:01</t>
  </si>
  <si>
    <t>18:16</t>
  </si>
  <si>
    <t>2026-08-11</t>
  </si>
  <si>
    <t>10:14</t>
  </si>
  <si>
    <t>10:20</t>
  </si>
  <si>
    <t>10:51</t>
  </si>
  <si>
    <t>11:53</t>
  </si>
  <si>
    <t>13:34</t>
  </si>
  <si>
    <t>15:37</t>
  </si>
  <si>
    <t>15:13</t>
  </si>
  <si>
    <t>15:28</t>
  </si>
  <si>
    <t>16:18</t>
  </si>
  <si>
    <t>2026-08-12</t>
  </si>
  <si>
    <t>09:35</t>
  </si>
  <si>
    <t>10:05</t>
  </si>
  <si>
    <t>09:51</t>
  </si>
  <si>
    <t>14:17</t>
  </si>
  <si>
    <t>15:16</t>
  </si>
  <si>
    <t>16:25</t>
  </si>
  <si>
    <t>17:08</t>
  </si>
  <si>
    <t>17:13</t>
  </si>
  <si>
    <t>17:28</t>
  </si>
  <si>
    <t>18:30</t>
  </si>
  <si>
    <t>18:46</t>
  </si>
  <si>
    <t>2026-08-13</t>
  </si>
  <si>
    <t>09:54</t>
  </si>
  <si>
    <t>13:01</t>
  </si>
  <si>
    <t>14:57</t>
  </si>
  <si>
    <t>14:29</t>
  </si>
  <si>
    <t>17:43</t>
  </si>
  <si>
    <t>18:10</t>
  </si>
  <si>
    <t>18:33</t>
  </si>
  <si>
    <t>18:26</t>
  </si>
  <si>
    <t>18:52</t>
  </si>
  <si>
    <t>2026-08-14</t>
  </si>
  <si>
    <t>09:24</t>
  </si>
  <si>
    <t>09:57</t>
  </si>
  <si>
    <t>10:39</t>
  </si>
  <si>
    <t>13:39</t>
  </si>
  <si>
    <t>16:57</t>
  </si>
  <si>
    <t>18:19</t>
  </si>
  <si>
    <t>18:34</t>
  </si>
  <si>
    <t>18:48</t>
  </si>
  <si>
    <t>2026-08-15</t>
  </si>
  <si>
    <t>10:10</t>
  </si>
  <si>
    <t>10:13</t>
  </si>
  <si>
    <t>17:58</t>
  </si>
  <si>
    <t>18:45</t>
  </si>
  <si>
    <t>2026-08-16</t>
  </si>
  <si>
    <t>09:26</t>
  </si>
  <si>
    <t>09:55</t>
  </si>
  <si>
    <t>18:04</t>
  </si>
  <si>
    <t>18:31</t>
  </si>
  <si>
    <t>2026-08-17</t>
  </si>
  <si>
    <t>10:21</t>
  </si>
  <si>
    <t>10:59</t>
  </si>
  <si>
    <t>16:32</t>
  </si>
  <si>
    <t>18:24</t>
  </si>
  <si>
    <t>18:41</t>
  </si>
  <si>
    <t>2026-08-18</t>
  </si>
  <si>
    <t>09:53</t>
  </si>
  <si>
    <t>18:25</t>
  </si>
  <si>
    <t>18:56</t>
  </si>
  <si>
    <t>2026-08-19</t>
  </si>
  <si>
    <t>09:29</t>
  </si>
  <si>
    <t>09:47</t>
  </si>
  <si>
    <t>14:40</t>
  </si>
  <si>
    <t>16:02</t>
  </si>
  <si>
    <t>18:15</t>
  </si>
  <si>
    <t>2026-08-20</t>
  </si>
  <si>
    <t>09:11</t>
  </si>
  <si>
    <t>2026-08-21</t>
  </si>
  <si>
    <t>15:12</t>
  </si>
  <si>
    <t>Regression Analysis</t>
  </si>
  <si>
    <t>OVERALL FIT</t>
  </si>
  <si>
    <t>Multiple R</t>
  </si>
  <si>
    <t>R Square</t>
  </si>
  <si>
    <t>Adjusted R Square</t>
  </si>
  <si>
    <t>Standard Error</t>
  </si>
  <si>
    <t>Observations</t>
  </si>
  <si>
    <t>AIC</t>
  </si>
  <si>
    <t>AICc</t>
  </si>
  <si>
    <t>SBC</t>
  </si>
  <si>
    <t>ANOVA</t>
  </si>
  <si>
    <t>Alpha</t>
  </si>
  <si>
    <t>df</t>
  </si>
  <si>
    <t>SS</t>
  </si>
  <si>
    <t>MS</t>
  </si>
  <si>
    <t>F</t>
  </si>
  <si>
    <t>p-value</t>
  </si>
  <si>
    <t>sig</t>
  </si>
  <si>
    <t>Regression</t>
  </si>
  <si>
    <t>Residual</t>
  </si>
  <si>
    <t>Total</t>
  </si>
  <si>
    <t>coeff</t>
  </si>
  <si>
    <t>std err</t>
  </si>
  <si>
    <t>t stat</t>
  </si>
  <si>
    <t>lower</t>
  </si>
  <si>
    <t>upper</t>
  </si>
  <si>
    <t>Intercept</t>
  </si>
  <si>
    <t>Cook's D</t>
  </si>
  <si>
    <t>Obs</t>
  </si>
  <si>
    <t>Pred Y</t>
  </si>
  <si>
    <t>Leverage</t>
  </si>
  <si>
    <t>SResidual</t>
  </si>
  <si>
    <t>Mod MSE</t>
  </si>
  <si>
    <t>RStudent</t>
  </si>
  <si>
    <t>T-Test</t>
  </si>
  <si>
    <t>DFFITS</t>
  </si>
  <si>
    <t>SSE</t>
  </si>
  <si>
    <t>dfE</t>
  </si>
  <si>
    <t>MSE</t>
  </si>
  <si>
    <t>k</t>
  </si>
  <si>
    <t>Shapiro-Wilk Test</t>
  </si>
  <si>
    <t>W-stat</t>
  </si>
  <si>
    <t>alpha</t>
  </si>
  <si>
    <t>normal</t>
  </si>
  <si>
    <t>d'Agostino-Pearson</t>
  </si>
  <si>
    <t>DA-stat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</si>
</sst>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0" xfId="0" applyFill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7" xfId="0" applyBorder="1"/>
    <xf numFmtId="0" fontId="0" fillId="2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Homocedasticidad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Hoja1!$N$3</c:f>
              <c:strCache>
                <c:ptCount val="1"/>
                <c:pt idx="0">
                  <c:v>Residual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Hoja1!$M$4:$M$1924</c:f>
              <c:numCache>
                <c:formatCode>General</c:formatCode>
                <c:ptCount val="1921"/>
                <c:pt idx="0">
                  <c:v>14.416809279416043</c:v>
                </c:pt>
                <c:pt idx="1">
                  <c:v>1.2636408299870627</c:v>
                </c:pt>
                <c:pt idx="2">
                  <c:v>11.786175589530247</c:v>
                </c:pt>
                <c:pt idx="3">
                  <c:v>14.416809279416043</c:v>
                </c:pt>
                <c:pt idx="4">
                  <c:v>14.416809279416043</c:v>
                </c:pt>
                <c:pt idx="5">
                  <c:v>9.1555418996444509</c:v>
                </c:pt>
                <c:pt idx="6">
                  <c:v>6.5249082097586548</c:v>
                </c:pt>
                <c:pt idx="7">
                  <c:v>14.416809279416043</c:v>
                </c:pt>
                <c:pt idx="8">
                  <c:v>9.1555418996444509</c:v>
                </c:pt>
                <c:pt idx="9">
                  <c:v>11.786175589530247</c:v>
                </c:pt>
                <c:pt idx="10">
                  <c:v>14.416809279416043</c:v>
                </c:pt>
                <c:pt idx="11">
                  <c:v>14.416809279416043</c:v>
                </c:pt>
                <c:pt idx="12">
                  <c:v>14.416809279416043</c:v>
                </c:pt>
                <c:pt idx="13">
                  <c:v>9.1555418996444509</c:v>
                </c:pt>
                <c:pt idx="14">
                  <c:v>11.786175589530247</c:v>
                </c:pt>
                <c:pt idx="15">
                  <c:v>14.416809279416043</c:v>
                </c:pt>
                <c:pt idx="16">
                  <c:v>14.416809279416043</c:v>
                </c:pt>
                <c:pt idx="17">
                  <c:v>9.1555418996444509</c:v>
                </c:pt>
                <c:pt idx="18">
                  <c:v>14.416809279416043</c:v>
                </c:pt>
                <c:pt idx="19">
                  <c:v>9.1555418996444509</c:v>
                </c:pt>
                <c:pt idx="20">
                  <c:v>1.2636408299870627</c:v>
                </c:pt>
                <c:pt idx="21">
                  <c:v>3.8942745198728588</c:v>
                </c:pt>
                <c:pt idx="22">
                  <c:v>9.1555418996444509</c:v>
                </c:pt>
                <c:pt idx="23">
                  <c:v>14.416809279416043</c:v>
                </c:pt>
                <c:pt idx="24">
                  <c:v>14.416809279416043</c:v>
                </c:pt>
                <c:pt idx="25">
                  <c:v>3.8942745198728588</c:v>
                </c:pt>
                <c:pt idx="26">
                  <c:v>3.8942745198728588</c:v>
                </c:pt>
                <c:pt idx="27">
                  <c:v>9.1555418996444509</c:v>
                </c:pt>
                <c:pt idx="28">
                  <c:v>1.2636408299870627</c:v>
                </c:pt>
                <c:pt idx="29">
                  <c:v>3.8942745198728588</c:v>
                </c:pt>
                <c:pt idx="30">
                  <c:v>14.416809279416043</c:v>
                </c:pt>
                <c:pt idx="31">
                  <c:v>9.1555418996444509</c:v>
                </c:pt>
                <c:pt idx="32">
                  <c:v>1.2636408299870627</c:v>
                </c:pt>
                <c:pt idx="33">
                  <c:v>6.5249082097586548</c:v>
                </c:pt>
                <c:pt idx="34">
                  <c:v>9.1555418996444509</c:v>
                </c:pt>
                <c:pt idx="35">
                  <c:v>14.416809279416043</c:v>
                </c:pt>
                <c:pt idx="36">
                  <c:v>14.416809279416043</c:v>
                </c:pt>
                <c:pt idx="37">
                  <c:v>14.416809279416043</c:v>
                </c:pt>
                <c:pt idx="38">
                  <c:v>14.416809279416043</c:v>
                </c:pt>
                <c:pt idx="39">
                  <c:v>14.416809279416043</c:v>
                </c:pt>
                <c:pt idx="40">
                  <c:v>9.1555418996444509</c:v>
                </c:pt>
                <c:pt idx="41">
                  <c:v>6.5249082097586548</c:v>
                </c:pt>
                <c:pt idx="42">
                  <c:v>14.416809279416043</c:v>
                </c:pt>
                <c:pt idx="43">
                  <c:v>9.1555418996444509</c:v>
                </c:pt>
                <c:pt idx="44">
                  <c:v>11.786175589530247</c:v>
                </c:pt>
                <c:pt idx="45">
                  <c:v>3.8942745198728588</c:v>
                </c:pt>
                <c:pt idx="46">
                  <c:v>11.786175589530247</c:v>
                </c:pt>
                <c:pt idx="47">
                  <c:v>14.416809279416043</c:v>
                </c:pt>
                <c:pt idx="48">
                  <c:v>3.8942745198728588</c:v>
                </c:pt>
                <c:pt idx="49">
                  <c:v>11.786175589530247</c:v>
                </c:pt>
                <c:pt idx="50">
                  <c:v>14.416809279416043</c:v>
                </c:pt>
                <c:pt idx="51">
                  <c:v>9.1555418996444509</c:v>
                </c:pt>
                <c:pt idx="52">
                  <c:v>11.786175589530247</c:v>
                </c:pt>
                <c:pt idx="53">
                  <c:v>14.416809279416043</c:v>
                </c:pt>
                <c:pt idx="54">
                  <c:v>11.786175589530247</c:v>
                </c:pt>
                <c:pt idx="55">
                  <c:v>11.786175589530247</c:v>
                </c:pt>
                <c:pt idx="56">
                  <c:v>14.416809279416043</c:v>
                </c:pt>
                <c:pt idx="57">
                  <c:v>3.8942745198728588</c:v>
                </c:pt>
                <c:pt idx="58">
                  <c:v>1.2636408299870627</c:v>
                </c:pt>
                <c:pt idx="59">
                  <c:v>14.416809279416043</c:v>
                </c:pt>
                <c:pt idx="60">
                  <c:v>1.2636408299870627</c:v>
                </c:pt>
                <c:pt idx="61">
                  <c:v>1.2636408299870627</c:v>
                </c:pt>
                <c:pt idx="62">
                  <c:v>14.416809279416043</c:v>
                </c:pt>
                <c:pt idx="63">
                  <c:v>11.786175589530247</c:v>
                </c:pt>
                <c:pt idx="64">
                  <c:v>11.786175589530247</c:v>
                </c:pt>
                <c:pt idx="65">
                  <c:v>14.416809279416043</c:v>
                </c:pt>
                <c:pt idx="66">
                  <c:v>1.2636408299870627</c:v>
                </c:pt>
                <c:pt idx="67">
                  <c:v>14.416809279416043</c:v>
                </c:pt>
                <c:pt idx="68">
                  <c:v>14.416809279416043</c:v>
                </c:pt>
                <c:pt idx="69">
                  <c:v>14.416809279416043</c:v>
                </c:pt>
                <c:pt idx="70">
                  <c:v>14.416809279416043</c:v>
                </c:pt>
                <c:pt idx="71">
                  <c:v>14.416809279416043</c:v>
                </c:pt>
                <c:pt idx="72">
                  <c:v>14.416809279416043</c:v>
                </c:pt>
                <c:pt idx="73">
                  <c:v>14.416809279416043</c:v>
                </c:pt>
                <c:pt idx="74">
                  <c:v>14.416809279416043</c:v>
                </c:pt>
                <c:pt idx="75">
                  <c:v>14.416809279416043</c:v>
                </c:pt>
                <c:pt idx="76">
                  <c:v>14.416809279416043</c:v>
                </c:pt>
                <c:pt idx="77">
                  <c:v>14.416809279416043</c:v>
                </c:pt>
                <c:pt idx="78">
                  <c:v>14.416809279416043</c:v>
                </c:pt>
                <c:pt idx="79">
                  <c:v>14.416809279416043</c:v>
                </c:pt>
                <c:pt idx="80">
                  <c:v>14.416809279416043</c:v>
                </c:pt>
                <c:pt idx="81">
                  <c:v>14.416809279416043</c:v>
                </c:pt>
                <c:pt idx="82">
                  <c:v>14.416809279416043</c:v>
                </c:pt>
                <c:pt idx="83">
                  <c:v>14.416809279416043</c:v>
                </c:pt>
                <c:pt idx="84">
                  <c:v>14.416809279416043</c:v>
                </c:pt>
                <c:pt idx="85">
                  <c:v>14.416809279416043</c:v>
                </c:pt>
                <c:pt idx="86">
                  <c:v>14.416809279416043</c:v>
                </c:pt>
                <c:pt idx="87">
                  <c:v>14.416809279416043</c:v>
                </c:pt>
                <c:pt idx="88">
                  <c:v>14.416809279416043</c:v>
                </c:pt>
                <c:pt idx="89">
                  <c:v>14.416809279416043</c:v>
                </c:pt>
                <c:pt idx="90">
                  <c:v>14.416809279416043</c:v>
                </c:pt>
                <c:pt idx="91">
                  <c:v>9.1555418996444509</c:v>
                </c:pt>
                <c:pt idx="92">
                  <c:v>14.416809279416043</c:v>
                </c:pt>
                <c:pt idx="93">
                  <c:v>6.5249082097586548</c:v>
                </c:pt>
                <c:pt idx="94">
                  <c:v>9.1555418996444509</c:v>
                </c:pt>
                <c:pt idx="95">
                  <c:v>9.1555418996444509</c:v>
                </c:pt>
                <c:pt idx="96">
                  <c:v>11.786175589530247</c:v>
                </c:pt>
                <c:pt idx="97">
                  <c:v>6.5249082097586548</c:v>
                </c:pt>
                <c:pt idx="98">
                  <c:v>9.1555418996444509</c:v>
                </c:pt>
                <c:pt idx="99">
                  <c:v>11.786175589530247</c:v>
                </c:pt>
                <c:pt idx="100">
                  <c:v>11.786175589530247</c:v>
                </c:pt>
                <c:pt idx="101">
                  <c:v>11.786175589530247</c:v>
                </c:pt>
                <c:pt idx="102">
                  <c:v>11.786175589530247</c:v>
                </c:pt>
                <c:pt idx="103">
                  <c:v>14.416809279416043</c:v>
                </c:pt>
                <c:pt idx="104">
                  <c:v>9.1555418996444509</c:v>
                </c:pt>
                <c:pt idx="105">
                  <c:v>14.416809279416043</c:v>
                </c:pt>
                <c:pt idx="106">
                  <c:v>14.416809279416043</c:v>
                </c:pt>
                <c:pt idx="107">
                  <c:v>-3.9976265497845276</c:v>
                </c:pt>
                <c:pt idx="108">
                  <c:v>11.786175589530247</c:v>
                </c:pt>
                <c:pt idx="109">
                  <c:v>14.416809279416043</c:v>
                </c:pt>
                <c:pt idx="110">
                  <c:v>14.416809279416043</c:v>
                </c:pt>
                <c:pt idx="111">
                  <c:v>11.786175589530247</c:v>
                </c:pt>
                <c:pt idx="112">
                  <c:v>11.786175589530247</c:v>
                </c:pt>
                <c:pt idx="113">
                  <c:v>14.416809279416043</c:v>
                </c:pt>
                <c:pt idx="114">
                  <c:v>14.416809279416043</c:v>
                </c:pt>
                <c:pt idx="115">
                  <c:v>6.5249082097586548</c:v>
                </c:pt>
                <c:pt idx="116">
                  <c:v>1.2636408299870627</c:v>
                </c:pt>
                <c:pt idx="117">
                  <c:v>14.416809279416043</c:v>
                </c:pt>
                <c:pt idx="118">
                  <c:v>-1.3669928598987333</c:v>
                </c:pt>
                <c:pt idx="119">
                  <c:v>11.786175589530247</c:v>
                </c:pt>
                <c:pt idx="120">
                  <c:v>3.8942745198728588</c:v>
                </c:pt>
                <c:pt idx="121">
                  <c:v>14.416809279416043</c:v>
                </c:pt>
                <c:pt idx="122">
                  <c:v>6.5249082097586548</c:v>
                </c:pt>
                <c:pt idx="123">
                  <c:v>14.416809279416043</c:v>
                </c:pt>
                <c:pt idx="124">
                  <c:v>9.1555418996444509</c:v>
                </c:pt>
                <c:pt idx="125">
                  <c:v>14.416809279416043</c:v>
                </c:pt>
                <c:pt idx="126">
                  <c:v>14.416809279416043</c:v>
                </c:pt>
                <c:pt idx="127">
                  <c:v>6.5249082097586548</c:v>
                </c:pt>
                <c:pt idx="128">
                  <c:v>14.416809279416043</c:v>
                </c:pt>
                <c:pt idx="129">
                  <c:v>14.416809279416043</c:v>
                </c:pt>
                <c:pt idx="130">
                  <c:v>14.416809279416043</c:v>
                </c:pt>
                <c:pt idx="131">
                  <c:v>14.416809279416043</c:v>
                </c:pt>
                <c:pt idx="132">
                  <c:v>14.416809279416043</c:v>
                </c:pt>
                <c:pt idx="133">
                  <c:v>14.416809279416043</c:v>
                </c:pt>
                <c:pt idx="134">
                  <c:v>9.1555418996444509</c:v>
                </c:pt>
                <c:pt idx="135">
                  <c:v>11.786175589530247</c:v>
                </c:pt>
                <c:pt idx="136">
                  <c:v>14.416809279416043</c:v>
                </c:pt>
                <c:pt idx="137">
                  <c:v>14.416809279416043</c:v>
                </c:pt>
                <c:pt idx="138">
                  <c:v>11.786175589530247</c:v>
                </c:pt>
                <c:pt idx="139">
                  <c:v>14.416809279416043</c:v>
                </c:pt>
                <c:pt idx="140">
                  <c:v>14.416809279416043</c:v>
                </c:pt>
                <c:pt idx="141">
                  <c:v>6.5249082097586548</c:v>
                </c:pt>
                <c:pt idx="142">
                  <c:v>11.786175589530247</c:v>
                </c:pt>
                <c:pt idx="143">
                  <c:v>11.786175589530247</c:v>
                </c:pt>
                <c:pt idx="144">
                  <c:v>11.786175589530247</c:v>
                </c:pt>
                <c:pt idx="145">
                  <c:v>9.1555418996444509</c:v>
                </c:pt>
                <c:pt idx="146">
                  <c:v>1.2636408299870627</c:v>
                </c:pt>
                <c:pt idx="147">
                  <c:v>14.416809279416043</c:v>
                </c:pt>
                <c:pt idx="148">
                  <c:v>9.1555418996444509</c:v>
                </c:pt>
                <c:pt idx="149">
                  <c:v>6.5249082097586548</c:v>
                </c:pt>
                <c:pt idx="150">
                  <c:v>11.786175589530247</c:v>
                </c:pt>
                <c:pt idx="151">
                  <c:v>6.5249082097586548</c:v>
                </c:pt>
                <c:pt idx="152">
                  <c:v>11.786175589530247</c:v>
                </c:pt>
                <c:pt idx="153">
                  <c:v>3.8942745198728588</c:v>
                </c:pt>
                <c:pt idx="154">
                  <c:v>14.416809279416043</c:v>
                </c:pt>
                <c:pt idx="155">
                  <c:v>14.416809279416043</c:v>
                </c:pt>
                <c:pt idx="156">
                  <c:v>11.786175589530247</c:v>
                </c:pt>
                <c:pt idx="157">
                  <c:v>14.416809279416043</c:v>
                </c:pt>
                <c:pt idx="158">
                  <c:v>14.416809279416043</c:v>
                </c:pt>
                <c:pt idx="159">
                  <c:v>14.416809279416043</c:v>
                </c:pt>
                <c:pt idx="160">
                  <c:v>14.416809279416043</c:v>
                </c:pt>
                <c:pt idx="161">
                  <c:v>14.416809279416043</c:v>
                </c:pt>
                <c:pt idx="162">
                  <c:v>14.416809279416043</c:v>
                </c:pt>
                <c:pt idx="163">
                  <c:v>14.416809279416043</c:v>
                </c:pt>
                <c:pt idx="164">
                  <c:v>14.416809279416043</c:v>
                </c:pt>
                <c:pt idx="165">
                  <c:v>14.416809279416043</c:v>
                </c:pt>
                <c:pt idx="166">
                  <c:v>14.416809279416043</c:v>
                </c:pt>
                <c:pt idx="167">
                  <c:v>14.416809279416043</c:v>
                </c:pt>
                <c:pt idx="168">
                  <c:v>14.416809279416043</c:v>
                </c:pt>
                <c:pt idx="169">
                  <c:v>14.416809279416043</c:v>
                </c:pt>
                <c:pt idx="170">
                  <c:v>14.416809279416043</c:v>
                </c:pt>
                <c:pt idx="171">
                  <c:v>14.416809279416043</c:v>
                </c:pt>
                <c:pt idx="172">
                  <c:v>14.416809279416043</c:v>
                </c:pt>
                <c:pt idx="173">
                  <c:v>14.416809279416043</c:v>
                </c:pt>
                <c:pt idx="174">
                  <c:v>14.416809279416043</c:v>
                </c:pt>
                <c:pt idx="175">
                  <c:v>14.416809279416043</c:v>
                </c:pt>
                <c:pt idx="176">
                  <c:v>14.416809279416043</c:v>
                </c:pt>
                <c:pt idx="177">
                  <c:v>14.416809279416043</c:v>
                </c:pt>
                <c:pt idx="178">
                  <c:v>14.416809279416043</c:v>
                </c:pt>
                <c:pt idx="179">
                  <c:v>14.416809279416043</c:v>
                </c:pt>
                <c:pt idx="180">
                  <c:v>14.416809279416043</c:v>
                </c:pt>
                <c:pt idx="181">
                  <c:v>3.8942745198728588</c:v>
                </c:pt>
                <c:pt idx="182">
                  <c:v>14.416809279416043</c:v>
                </c:pt>
                <c:pt idx="183">
                  <c:v>9.1555418996444509</c:v>
                </c:pt>
                <c:pt idx="184">
                  <c:v>11.786175589530247</c:v>
                </c:pt>
                <c:pt idx="185">
                  <c:v>11.786175589530247</c:v>
                </c:pt>
                <c:pt idx="186">
                  <c:v>11.786175589530247</c:v>
                </c:pt>
                <c:pt idx="187">
                  <c:v>6.5249082097586548</c:v>
                </c:pt>
                <c:pt idx="188">
                  <c:v>1.2636408299870627</c:v>
                </c:pt>
                <c:pt idx="189">
                  <c:v>14.416809279416043</c:v>
                </c:pt>
                <c:pt idx="190">
                  <c:v>14.416809279416043</c:v>
                </c:pt>
                <c:pt idx="191">
                  <c:v>14.416809279416043</c:v>
                </c:pt>
                <c:pt idx="192">
                  <c:v>3.8942745198728588</c:v>
                </c:pt>
                <c:pt idx="193">
                  <c:v>6.5249082097586548</c:v>
                </c:pt>
                <c:pt idx="194">
                  <c:v>14.416809279416043</c:v>
                </c:pt>
                <c:pt idx="195">
                  <c:v>14.416809279416043</c:v>
                </c:pt>
                <c:pt idx="196">
                  <c:v>11.786175589530247</c:v>
                </c:pt>
                <c:pt idx="197">
                  <c:v>3.8942745198728588</c:v>
                </c:pt>
                <c:pt idx="198">
                  <c:v>11.786175589530247</c:v>
                </c:pt>
                <c:pt idx="199">
                  <c:v>9.1555418996444509</c:v>
                </c:pt>
                <c:pt idx="200">
                  <c:v>6.5249082097586548</c:v>
                </c:pt>
                <c:pt idx="201">
                  <c:v>11.786175589530247</c:v>
                </c:pt>
                <c:pt idx="202">
                  <c:v>14.416809279416043</c:v>
                </c:pt>
                <c:pt idx="203">
                  <c:v>11.786175589530247</c:v>
                </c:pt>
                <c:pt idx="204">
                  <c:v>11.786175589530247</c:v>
                </c:pt>
                <c:pt idx="205">
                  <c:v>9.1555418996444509</c:v>
                </c:pt>
                <c:pt idx="206">
                  <c:v>1.2636408299870627</c:v>
                </c:pt>
                <c:pt idx="207">
                  <c:v>11.786175589530247</c:v>
                </c:pt>
                <c:pt idx="208">
                  <c:v>14.416809279416043</c:v>
                </c:pt>
                <c:pt idx="209">
                  <c:v>9.1555418996444509</c:v>
                </c:pt>
                <c:pt idx="210">
                  <c:v>14.416809279416043</c:v>
                </c:pt>
                <c:pt idx="211">
                  <c:v>3.8942745198728588</c:v>
                </c:pt>
                <c:pt idx="212">
                  <c:v>-3.9976265497845276</c:v>
                </c:pt>
                <c:pt idx="213">
                  <c:v>9.1555418996444509</c:v>
                </c:pt>
                <c:pt idx="214">
                  <c:v>9.1555418996444509</c:v>
                </c:pt>
                <c:pt idx="215">
                  <c:v>14.416809279416043</c:v>
                </c:pt>
                <c:pt idx="216">
                  <c:v>14.416809279416043</c:v>
                </c:pt>
                <c:pt idx="217">
                  <c:v>14.416809279416043</c:v>
                </c:pt>
                <c:pt idx="218">
                  <c:v>14.416809279416043</c:v>
                </c:pt>
                <c:pt idx="219">
                  <c:v>14.416809279416043</c:v>
                </c:pt>
                <c:pt idx="220">
                  <c:v>14.416809279416043</c:v>
                </c:pt>
                <c:pt idx="221">
                  <c:v>14.416809279416043</c:v>
                </c:pt>
                <c:pt idx="222">
                  <c:v>14.416809279416043</c:v>
                </c:pt>
                <c:pt idx="223">
                  <c:v>1.2636408299870627</c:v>
                </c:pt>
                <c:pt idx="224">
                  <c:v>14.416809279416043</c:v>
                </c:pt>
                <c:pt idx="225">
                  <c:v>9.1555418996444509</c:v>
                </c:pt>
                <c:pt idx="226">
                  <c:v>6.5249082097586548</c:v>
                </c:pt>
                <c:pt idx="227">
                  <c:v>11.786175589530247</c:v>
                </c:pt>
                <c:pt idx="228">
                  <c:v>3.8942745198728588</c:v>
                </c:pt>
                <c:pt idx="229">
                  <c:v>11.786175589530247</c:v>
                </c:pt>
                <c:pt idx="230">
                  <c:v>14.416809279416043</c:v>
                </c:pt>
                <c:pt idx="231">
                  <c:v>14.416809279416043</c:v>
                </c:pt>
                <c:pt idx="232">
                  <c:v>14.416809279416043</c:v>
                </c:pt>
                <c:pt idx="233">
                  <c:v>14.416809279416043</c:v>
                </c:pt>
                <c:pt idx="234">
                  <c:v>14.416809279416043</c:v>
                </c:pt>
                <c:pt idx="235">
                  <c:v>14.416809279416043</c:v>
                </c:pt>
                <c:pt idx="236">
                  <c:v>3.8942745198728588</c:v>
                </c:pt>
                <c:pt idx="237">
                  <c:v>3.8942745198728588</c:v>
                </c:pt>
                <c:pt idx="238">
                  <c:v>14.416809279416043</c:v>
                </c:pt>
                <c:pt idx="239">
                  <c:v>14.416809279416043</c:v>
                </c:pt>
                <c:pt idx="240">
                  <c:v>9.1555418996444509</c:v>
                </c:pt>
                <c:pt idx="241">
                  <c:v>9.1555418996444509</c:v>
                </c:pt>
                <c:pt idx="242">
                  <c:v>11.786175589530247</c:v>
                </c:pt>
                <c:pt idx="243">
                  <c:v>14.416809279416043</c:v>
                </c:pt>
                <c:pt idx="244">
                  <c:v>14.416809279416043</c:v>
                </c:pt>
                <c:pt idx="245">
                  <c:v>9.1555418996444509</c:v>
                </c:pt>
                <c:pt idx="246">
                  <c:v>14.416809279416043</c:v>
                </c:pt>
                <c:pt idx="247">
                  <c:v>11.786175589530247</c:v>
                </c:pt>
                <c:pt idx="248">
                  <c:v>14.416809279416043</c:v>
                </c:pt>
                <c:pt idx="249">
                  <c:v>14.416809279416043</c:v>
                </c:pt>
                <c:pt idx="250">
                  <c:v>14.416809279416043</c:v>
                </c:pt>
                <c:pt idx="251">
                  <c:v>14.416809279416043</c:v>
                </c:pt>
                <c:pt idx="252">
                  <c:v>14.416809279416043</c:v>
                </c:pt>
                <c:pt idx="253">
                  <c:v>14.416809279416043</c:v>
                </c:pt>
                <c:pt idx="254">
                  <c:v>14.416809279416043</c:v>
                </c:pt>
                <c:pt idx="255">
                  <c:v>14.416809279416043</c:v>
                </c:pt>
                <c:pt idx="256">
                  <c:v>11.786175589530247</c:v>
                </c:pt>
                <c:pt idx="257">
                  <c:v>14.416809279416043</c:v>
                </c:pt>
                <c:pt idx="258">
                  <c:v>14.416809279416043</c:v>
                </c:pt>
                <c:pt idx="259">
                  <c:v>14.416809279416043</c:v>
                </c:pt>
                <c:pt idx="260">
                  <c:v>14.416809279416043</c:v>
                </c:pt>
                <c:pt idx="261">
                  <c:v>14.416809279416043</c:v>
                </c:pt>
                <c:pt idx="262">
                  <c:v>14.416809279416043</c:v>
                </c:pt>
                <c:pt idx="263">
                  <c:v>14.416809279416043</c:v>
                </c:pt>
                <c:pt idx="264">
                  <c:v>14.416809279416043</c:v>
                </c:pt>
                <c:pt idx="265">
                  <c:v>14.416809279416043</c:v>
                </c:pt>
                <c:pt idx="266">
                  <c:v>14.416809279416043</c:v>
                </c:pt>
                <c:pt idx="267">
                  <c:v>14.416809279416043</c:v>
                </c:pt>
                <c:pt idx="268">
                  <c:v>14.416809279416043</c:v>
                </c:pt>
                <c:pt idx="269">
                  <c:v>14.416809279416043</c:v>
                </c:pt>
                <c:pt idx="270">
                  <c:v>14.416809279416043</c:v>
                </c:pt>
                <c:pt idx="271">
                  <c:v>3.8942745198728588</c:v>
                </c:pt>
                <c:pt idx="272">
                  <c:v>9.1555418996444509</c:v>
                </c:pt>
                <c:pt idx="273">
                  <c:v>14.416809279416043</c:v>
                </c:pt>
                <c:pt idx="274">
                  <c:v>1.2636408299870627</c:v>
                </c:pt>
                <c:pt idx="275">
                  <c:v>11.786175589530247</c:v>
                </c:pt>
                <c:pt idx="276">
                  <c:v>1.2636408299870627</c:v>
                </c:pt>
                <c:pt idx="277">
                  <c:v>9.1555418996444509</c:v>
                </c:pt>
                <c:pt idx="278">
                  <c:v>9.1555418996444509</c:v>
                </c:pt>
                <c:pt idx="279">
                  <c:v>11.786175589530247</c:v>
                </c:pt>
                <c:pt idx="280">
                  <c:v>14.416809279416043</c:v>
                </c:pt>
                <c:pt idx="281">
                  <c:v>14.416809279416043</c:v>
                </c:pt>
                <c:pt idx="282">
                  <c:v>-3.9976265497845276</c:v>
                </c:pt>
                <c:pt idx="283">
                  <c:v>11.786175589530247</c:v>
                </c:pt>
                <c:pt idx="284">
                  <c:v>14.416809279416043</c:v>
                </c:pt>
                <c:pt idx="285">
                  <c:v>14.416809279416043</c:v>
                </c:pt>
                <c:pt idx="286">
                  <c:v>11.786175589530247</c:v>
                </c:pt>
                <c:pt idx="287">
                  <c:v>6.5249082097586548</c:v>
                </c:pt>
                <c:pt idx="288">
                  <c:v>11.786175589530247</c:v>
                </c:pt>
                <c:pt idx="289">
                  <c:v>11.786175589530247</c:v>
                </c:pt>
                <c:pt idx="290">
                  <c:v>1.2636408299870627</c:v>
                </c:pt>
                <c:pt idx="291">
                  <c:v>9.1555418996444509</c:v>
                </c:pt>
                <c:pt idx="292">
                  <c:v>14.416809279416043</c:v>
                </c:pt>
                <c:pt idx="293">
                  <c:v>11.786175589530247</c:v>
                </c:pt>
                <c:pt idx="294">
                  <c:v>14.416809279416043</c:v>
                </c:pt>
                <c:pt idx="295">
                  <c:v>11.786175589530247</c:v>
                </c:pt>
                <c:pt idx="296">
                  <c:v>11.786175589530247</c:v>
                </c:pt>
                <c:pt idx="297">
                  <c:v>14.416809279416043</c:v>
                </c:pt>
                <c:pt idx="298">
                  <c:v>6.5249082097586548</c:v>
                </c:pt>
                <c:pt idx="299">
                  <c:v>3.8942745198728588</c:v>
                </c:pt>
                <c:pt idx="300">
                  <c:v>14.416809279416043</c:v>
                </c:pt>
                <c:pt idx="301">
                  <c:v>6.5249082097586548</c:v>
                </c:pt>
                <c:pt idx="302">
                  <c:v>6.5249082097586548</c:v>
                </c:pt>
                <c:pt idx="303">
                  <c:v>9.1555418996444509</c:v>
                </c:pt>
                <c:pt idx="304">
                  <c:v>11.786175589530247</c:v>
                </c:pt>
                <c:pt idx="305">
                  <c:v>14.416809279416043</c:v>
                </c:pt>
                <c:pt idx="306">
                  <c:v>9.1555418996444509</c:v>
                </c:pt>
                <c:pt idx="307">
                  <c:v>11.786175589530247</c:v>
                </c:pt>
                <c:pt idx="308">
                  <c:v>14.416809279416043</c:v>
                </c:pt>
                <c:pt idx="309">
                  <c:v>14.416809279416043</c:v>
                </c:pt>
                <c:pt idx="310">
                  <c:v>14.416809279416043</c:v>
                </c:pt>
                <c:pt idx="311">
                  <c:v>14.416809279416043</c:v>
                </c:pt>
                <c:pt idx="312">
                  <c:v>14.416809279416043</c:v>
                </c:pt>
                <c:pt idx="313">
                  <c:v>14.416809279416043</c:v>
                </c:pt>
                <c:pt idx="314">
                  <c:v>11.786175589530247</c:v>
                </c:pt>
                <c:pt idx="315">
                  <c:v>14.416809279416043</c:v>
                </c:pt>
                <c:pt idx="316">
                  <c:v>9.1555418996444509</c:v>
                </c:pt>
                <c:pt idx="317">
                  <c:v>11.786175589530247</c:v>
                </c:pt>
                <c:pt idx="318">
                  <c:v>11.786175589530247</c:v>
                </c:pt>
                <c:pt idx="319">
                  <c:v>9.1555418996444509</c:v>
                </c:pt>
                <c:pt idx="320">
                  <c:v>14.416809279416043</c:v>
                </c:pt>
                <c:pt idx="321">
                  <c:v>3.8942745198728588</c:v>
                </c:pt>
                <c:pt idx="322">
                  <c:v>6.5249082097586548</c:v>
                </c:pt>
                <c:pt idx="323">
                  <c:v>14.416809279416043</c:v>
                </c:pt>
                <c:pt idx="324">
                  <c:v>14.416809279416043</c:v>
                </c:pt>
                <c:pt idx="325">
                  <c:v>9.1555418996444509</c:v>
                </c:pt>
                <c:pt idx="326">
                  <c:v>14.416809279416043</c:v>
                </c:pt>
                <c:pt idx="327">
                  <c:v>11.786175589530247</c:v>
                </c:pt>
                <c:pt idx="328">
                  <c:v>14.416809279416043</c:v>
                </c:pt>
                <c:pt idx="329">
                  <c:v>14.416809279416043</c:v>
                </c:pt>
                <c:pt idx="330">
                  <c:v>3.8942745198728588</c:v>
                </c:pt>
                <c:pt idx="331">
                  <c:v>11.786175589530247</c:v>
                </c:pt>
                <c:pt idx="332">
                  <c:v>14.416809279416043</c:v>
                </c:pt>
                <c:pt idx="333">
                  <c:v>6.5249082097586548</c:v>
                </c:pt>
                <c:pt idx="334">
                  <c:v>3.8942745198728588</c:v>
                </c:pt>
                <c:pt idx="335">
                  <c:v>1.2636408299870627</c:v>
                </c:pt>
                <c:pt idx="336">
                  <c:v>11.786175589530247</c:v>
                </c:pt>
                <c:pt idx="337">
                  <c:v>11.786175589530247</c:v>
                </c:pt>
                <c:pt idx="338">
                  <c:v>14.416809279416043</c:v>
                </c:pt>
                <c:pt idx="339">
                  <c:v>14.416809279416043</c:v>
                </c:pt>
                <c:pt idx="340">
                  <c:v>14.416809279416043</c:v>
                </c:pt>
                <c:pt idx="341">
                  <c:v>11.786175589530247</c:v>
                </c:pt>
                <c:pt idx="342">
                  <c:v>14.416809279416043</c:v>
                </c:pt>
                <c:pt idx="343">
                  <c:v>14.416809279416043</c:v>
                </c:pt>
                <c:pt idx="344">
                  <c:v>14.416809279416043</c:v>
                </c:pt>
                <c:pt idx="345">
                  <c:v>14.416809279416043</c:v>
                </c:pt>
                <c:pt idx="346">
                  <c:v>14.416809279416043</c:v>
                </c:pt>
                <c:pt idx="347">
                  <c:v>14.416809279416043</c:v>
                </c:pt>
                <c:pt idx="348">
                  <c:v>14.416809279416043</c:v>
                </c:pt>
                <c:pt idx="349">
                  <c:v>14.416809279416043</c:v>
                </c:pt>
                <c:pt idx="350">
                  <c:v>14.416809279416043</c:v>
                </c:pt>
                <c:pt idx="351">
                  <c:v>14.416809279416043</c:v>
                </c:pt>
                <c:pt idx="352">
                  <c:v>9.1555418996444509</c:v>
                </c:pt>
                <c:pt idx="353">
                  <c:v>14.416809279416043</c:v>
                </c:pt>
                <c:pt idx="354">
                  <c:v>14.416809279416043</c:v>
                </c:pt>
                <c:pt idx="355">
                  <c:v>14.416809279416043</c:v>
                </c:pt>
                <c:pt idx="356">
                  <c:v>14.416809279416043</c:v>
                </c:pt>
                <c:pt idx="357">
                  <c:v>14.416809279416043</c:v>
                </c:pt>
                <c:pt idx="358">
                  <c:v>14.416809279416043</c:v>
                </c:pt>
                <c:pt idx="359">
                  <c:v>14.416809279416043</c:v>
                </c:pt>
                <c:pt idx="360">
                  <c:v>14.416809279416043</c:v>
                </c:pt>
                <c:pt idx="361">
                  <c:v>14.416809279416043</c:v>
                </c:pt>
                <c:pt idx="362">
                  <c:v>14.416809279416043</c:v>
                </c:pt>
                <c:pt idx="363">
                  <c:v>9.1555418996444509</c:v>
                </c:pt>
                <c:pt idx="364">
                  <c:v>11.786175589530247</c:v>
                </c:pt>
                <c:pt idx="365">
                  <c:v>3.8942745198728588</c:v>
                </c:pt>
                <c:pt idx="366">
                  <c:v>14.416809279416043</c:v>
                </c:pt>
                <c:pt idx="367">
                  <c:v>9.1555418996444509</c:v>
                </c:pt>
                <c:pt idx="368">
                  <c:v>6.5249082097586548</c:v>
                </c:pt>
                <c:pt idx="369">
                  <c:v>3.8942745198728588</c:v>
                </c:pt>
                <c:pt idx="370">
                  <c:v>9.1555418996444509</c:v>
                </c:pt>
                <c:pt idx="371">
                  <c:v>14.416809279416043</c:v>
                </c:pt>
                <c:pt idx="372">
                  <c:v>14.416809279416043</c:v>
                </c:pt>
                <c:pt idx="373">
                  <c:v>9.1555418996444509</c:v>
                </c:pt>
                <c:pt idx="374">
                  <c:v>14.416809279416043</c:v>
                </c:pt>
                <c:pt idx="375">
                  <c:v>14.416809279416043</c:v>
                </c:pt>
                <c:pt idx="376">
                  <c:v>6.5249082097586548</c:v>
                </c:pt>
                <c:pt idx="377">
                  <c:v>3.8942745198728588</c:v>
                </c:pt>
                <c:pt idx="378">
                  <c:v>11.786175589530247</c:v>
                </c:pt>
                <c:pt idx="379">
                  <c:v>14.416809279416043</c:v>
                </c:pt>
                <c:pt idx="380">
                  <c:v>-1.3669928598987333</c:v>
                </c:pt>
                <c:pt idx="381">
                  <c:v>11.786175589530247</c:v>
                </c:pt>
                <c:pt idx="382">
                  <c:v>11.786175589530247</c:v>
                </c:pt>
                <c:pt idx="383">
                  <c:v>14.416809279416043</c:v>
                </c:pt>
                <c:pt idx="384">
                  <c:v>9.1555418996444509</c:v>
                </c:pt>
                <c:pt idx="385">
                  <c:v>11.786175589530247</c:v>
                </c:pt>
                <c:pt idx="386">
                  <c:v>14.416809279416043</c:v>
                </c:pt>
                <c:pt idx="387">
                  <c:v>1.2636408299870627</c:v>
                </c:pt>
                <c:pt idx="388">
                  <c:v>11.786175589530247</c:v>
                </c:pt>
                <c:pt idx="389">
                  <c:v>14.416809279416043</c:v>
                </c:pt>
                <c:pt idx="390">
                  <c:v>14.416809279416043</c:v>
                </c:pt>
                <c:pt idx="391">
                  <c:v>9.1555418996444509</c:v>
                </c:pt>
                <c:pt idx="392">
                  <c:v>9.1555418996444509</c:v>
                </c:pt>
                <c:pt idx="393">
                  <c:v>14.416809279416043</c:v>
                </c:pt>
                <c:pt idx="394">
                  <c:v>11.786175589530247</c:v>
                </c:pt>
                <c:pt idx="395">
                  <c:v>9.1555418996444509</c:v>
                </c:pt>
                <c:pt idx="396">
                  <c:v>11.786175589530247</c:v>
                </c:pt>
                <c:pt idx="397">
                  <c:v>14.416809279416043</c:v>
                </c:pt>
                <c:pt idx="398">
                  <c:v>14.416809279416043</c:v>
                </c:pt>
                <c:pt idx="399">
                  <c:v>14.416809279416043</c:v>
                </c:pt>
                <c:pt idx="400">
                  <c:v>14.416809279416043</c:v>
                </c:pt>
                <c:pt idx="401">
                  <c:v>14.416809279416043</c:v>
                </c:pt>
                <c:pt idx="402">
                  <c:v>11.786175589530247</c:v>
                </c:pt>
                <c:pt idx="403">
                  <c:v>11.786175589530247</c:v>
                </c:pt>
                <c:pt idx="404">
                  <c:v>14.416809279416043</c:v>
                </c:pt>
                <c:pt idx="405">
                  <c:v>14.416809279416043</c:v>
                </c:pt>
                <c:pt idx="406">
                  <c:v>9.1555418996444509</c:v>
                </c:pt>
                <c:pt idx="407">
                  <c:v>3.8942745198728588</c:v>
                </c:pt>
                <c:pt idx="408">
                  <c:v>9.1555418996444509</c:v>
                </c:pt>
                <c:pt idx="409">
                  <c:v>1.2636408299870627</c:v>
                </c:pt>
                <c:pt idx="410">
                  <c:v>14.416809279416043</c:v>
                </c:pt>
                <c:pt idx="411">
                  <c:v>14.416809279416043</c:v>
                </c:pt>
                <c:pt idx="412">
                  <c:v>6.5249082097586548</c:v>
                </c:pt>
                <c:pt idx="413">
                  <c:v>9.1555418996444509</c:v>
                </c:pt>
                <c:pt idx="414">
                  <c:v>14.416809279416043</c:v>
                </c:pt>
                <c:pt idx="415">
                  <c:v>14.416809279416043</c:v>
                </c:pt>
                <c:pt idx="416">
                  <c:v>11.786175589530247</c:v>
                </c:pt>
                <c:pt idx="417">
                  <c:v>11.786175589530247</c:v>
                </c:pt>
                <c:pt idx="418">
                  <c:v>11.786175589530247</c:v>
                </c:pt>
                <c:pt idx="419">
                  <c:v>11.786175589530247</c:v>
                </c:pt>
                <c:pt idx="420">
                  <c:v>9.1555418996444509</c:v>
                </c:pt>
                <c:pt idx="421">
                  <c:v>14.416809279416043</c:v>
                </c:pt>
                <c:pt idx="422">
                  <c:v>3.8942745198728588</c:v>
                </c:pt>
                <c:pt idx="423">
                  <c:v>-9.2588939295561232</c:v>
                </c:pt>
                <c:pt idx="424">
                  <c:v>14.416809279416043</c:v>
                </c:pt>
                <c:pt idx="425">
                  <c:v>14.416809279416043</c:v>
                </c:pt>
                <c:pt idx="426">
                  <c:v>14.416809279416043</c:v>
                </c:pt>
                <c:pt idx="427">
                  <c:v>14.416809279416043</c:v>
                </c:pt>
                <c:pt idx="428">
                  <c:v>11.786175589530247</c:v>
                </c:pt>
                <c:pt idx="429">
                  <c:v>14.416809279416043</c:v>
                </c:pt>
                <c:pt idx="430">
                  <c:v>14.416809279416043</c:v>
                </c:pt>
                <c:pt idx="431">
                  <c:v>11.786175589530247</c:v>
                </c:pt>
                <c:pt idx="432">
                  <c:v>14.416809279416043</c:v>
                </c:pt>
                <c:pt idx="433">
                  <c:v>14.416809279416043</c:v>
                </c:pt>
                <c:pt idx="434">
                  <c:v>14.416809279416043</c:v>
                </c:pt>
                <c:pt idx="435">
                  <c:v>14.416809279416043</c:v>
                </c:pt>
                <c:pt idx="436">
                  <c:v>14.416809279416043</c:v>
                </c:pt>
                <c:pt idx="437">
                  <c:v>14.416809279416043</c:v>
                </c:pt>
                <c:pt idx="438">
                  <c:v>14.416809279416043</c:v>
                </c:pt>
                <c:pt idx="439">
                  <c:v>14.416809279416043</c:v>
                </c:pt>
                <c:pt idx="440">
                  <c:v>14.416809279416043</c:v>
                </c:pt>
                <c:pt idx="441">
                  <c:v>9.1555418996444509</c:v>
                </c:pt>
                <c:pt idx="442">
                  <c:v>14.416809279416043</c:v>
                </c:pt>
                <c:pt idx="443">
                  <c:v>14.416809279416043</c:v>
                </c:pt>
                <c:pt idx="444">
                  <c:v>14.416809279416043</c:v>
                </c:pt>
                <c:pt idx="445">
                  <c:v>14.416809279416043</c:v>
                </c:pt>
                <c:pt idx="446">
                  <c:v>14.416809279416043</c:v>
                </c:pt>
                <c:pt idx="447">
                  <c:v>14.416809279416043</c:v>
                </c:pt>
                <c:pt idx="448">
                  <c:v>14.416809279416043</c:v>
                </c:pt>
                <c:pt idx="449">
                  <c:v>14.416809279416043</c:v>
                </c:pt>
                <c:pt idx="450">
                  <c:v>14.416809279416043</c:v>
                </c:pt>
                <c:pt idx="451">
                  <c:v>14.416809279416043</c:v>
                </c:pt>
                <c:pt idx="452">
                  <c:v>14.416809279416043</c:v>
                </c:pt>
                <c:pt idx="453">
                  <c:v>11.786175589530247</c:v>
                </c:pt>
                <c:pt idx="454">
                  <c:v>14.416809279416043</c:v>
                </c:pt>
                <c:pt idx="455">
                  <c:v>14.416809279416043</c:v>
                </c:pt>
                <c:pt idx="456">
                  <c:v>-1.3669928598987333</c:v>
                </c:pt>
                <c:pt idx="457">
                  <c:v>1.2636408299870627</c:v>
                </c:pt>
                <c:pt idx="458">
                  <c:v>9.1555418996444509</c:v>
                </c:pt>
                <c:pt idx="459">
                  <c:v>14.416809279416043</c:v>
                </c:pt>
                <c:pt idx="460">
                  <c:v>11.786175589530247</c:v>
                </c:pt>
                <c:pt idx="461">
                  <c:v>6.5249082097586548</c:v>
                </c:pt>
                <c:pt idx="462">
                  <c:v>14.416809279416043</c:v>
                </c:pt>
                <c:pt idx="463">
                  <c:v>9.1555418996444509</c:v>
                </c:pt>
                <c:pt idx="464">
                  <c:v>14.416809279416043</c:v>
                </c:pt>
                <c:pt idx="465">
                  <c:v>-9.2588939295561232</c:v>
                </c:pt>
                <c:pt idx="466">
                  <c:v>3.8942745198728588</c:v>
                </c:pt>
                <c:pt idx="467">
                  <c:v>14.416809279416043</c:v>
                </c:pt>
                <c:pt idx="468">
                  <c:v>11.786175589530247</c:v>
                </c:pt>
                <c:pt idx="469">
                  <c:v>14.416809279416043</c:v>
                </c:pt>
                <c:pt idx="470">
                  <c:v>9.1555418996444509</c:v>
                </c:pt>
                <c:pt idx="471">
                  <c:v>14.416809279416043</c:v>
                </c:pt>
                <c:pt idx="472">
                  <c:v>11.786175589530247</c:v>
                </c:pt>
                <c:pt idx="473">
                  <c:v>14.416809279416043</c:v>
                </c:pt>
                <c:pt idx="474">
                  <c:v>14.416809279416043</c:v>
                </c:pt>
                <c:pt idx="475">
                  <c:v>9.1555418996444509</c:v>
                </c:pt>
                <c:pt idx="476">
                  <c:v>14.416809279416043</c:v>
                </c:pt>
                <c:pt idx="477">
                  <c:v>14.416809279416043</c:v>
                </c:pt>
                <c:pt idx="478">
                  <c:v>6.5249082097586548</c:v>
                </c:pt>
                <c:pt idx="479">
                  <c:v>14.416809279416043</c:v>
                </c:pt>
                <c:pt idx="480">
                  <c:v>14.416809279416043</c:v>
                </c:pt>
                <c:pt idx="481">
                  <c:v>14.416809279416043</c:v>
                </c:pt>
                <c:pt idx="482">
                  <c:v>14.416809279416043</c:v>
                </c:pt>
                <c:pt idx="483">
                  <c:v>6.5249082097586548</c:v>
                </c:pt>
                <c:pt idx="484">
                  <c:v>1.2636408299870627</c:v>
                </c:pt>
                <c:pt idx="485">
                  <c:v>14.416809279416043</c:v>
                </c:pt>
                <c:pt idx="486">
                  <c:v>9.1555418996444509</c:v>
                </c:pt>
                <c:pt idx="487">
                  <c:v>9.1555418996444509</c:v>
                </c:pt>
                <c:pt idx="488">
                  <c:v>11.786175589530247</c:v>
                </c:pt>
                <c:pt idx="489">
                  <c:v>14.416809279416043</c:v>
                </c:pt>
                <c:pt idx="490">
                  <c:v>14.416809279416043</c:v>
                </c:pt>
                <c:pt idx="491">
                  <c:v>14.416809279416043</c:v>
                </c:pt>
                <c:pt idx="492">
                  <c:v>14.416809279416043</c:v>
                </c:pt>
                <c:pt idx="493">
                  <c:v>14.416809279416043</c:v>
                </c:pt>
                <c:pt idx="494">
                  <c:v>14.416809279416043</c:v>
                </c:pt>
                <c:pt idx="495">
                  <c:v>14.416809279416043</c:v>
                </c:pt>
                <c:pt idx="496">
                  <c:v>11.786175589530247</c:v>
                </c:pt>
                <c:pt idx="497">
                  <c:v>1.2636408299870627</c:v>
                </c:pt>
                <c:pt idx="498">
                  <c:v>9.1555418996444509</c:v>
                </c:pt>
                <c:pt idx="499">
                  <c:v>11.786175589530247</c:v>
                </c:pt>
                <c:pt idx="500">
                  <c:v>9.1555418996444509</c:v>
                </c:pt>
                <c:pt idx="501">
                  <c:v>14.416809279416043</c:v>
                </c:pt>
                <c:pt idx="502">
                  <c:v>6.5249082097586548</c:v>
                </c:pt>
                <c:pt idx="503">
                  <c:v>14.416809279416043</c:v>
                </c:pt>
                <c:pt idx="504">
                  <c:v>14.416809279416043</c:v>
                </c:pt>
                <c:pt idx="505">
                  <c:v>14.416809279416043</c:v>
                </c:pt>
                <c:pt idx="506">
                  <c:v>11.786175589530247</c:v>
                </c:pt>
                <c:pt idx="507">
                  <c:v>11.786175589530247</c:v>
                </c:pt>
                <c:pt idx="508">
                  <c:v>1.2636408299870627</c:v>
                </c:pt>
                <c:pt idx="509">
                  <c:v>14.416809279416043</c:v>
                </c:pt>
                <c:pt idx="510">
                  <c:v>11.786175589530247</c:v>
                </c:pt>
                <c:pt idx="511">
                  <c:v>3.8942745198728588</c:v>
                </c:pt>
                <c:pt idx="512">
                  <c:v>9.1555418996444509</c:v>
                </c:pt>
                <c:pt idx="513">
                  <c:v>11.786175589530247</c:v>
                </c:pt>
                <c:pt idx="514">
                  <c:v>14.416809279416043</c:v>
                </c:pt>
                <c:pt idx="515">
                  <c:v>3.8942745198728588</c:v>
                </c:pt>
                <c:pt idx="516">
                  <c:v>9.1555418996444509</c:v>
                </c:pt>
                <c:pt idx="517">
                  <c:v>14.416809279416043</c:v>
                </c:pt>
                <c:pt idx="518">
                  <c:v>14.416809279416043</c:v>
                </c:pt>
                <c:pt idx="519">
                  <c:v>9.1555418996444509</c:v>
                </c:pt>
                <c:pt idx="520">
                  <c:v>14.416809279416043</c:v>
                </c:pt>
                <c:pt idx="521">
                  <c:v>14.416809279416043</c:v>
                </c:pt>
                <c:pt idx="522">
                  <c:v>14.416809279416043</c:v>
                </c:pt>
                <c:pt idx="523">
                  <c:v>14.416809279416043</c:v>
                </c:pt>
                <c:pt idx="524">
                  <c:v>14.416809279416043</c:v>
                </c:pt>
                <c:pt idx="525">
                  <c:v>14.416809279416043</c:v>
                </c:pt>
                <c:pt idx="526">
                  <c:v>14.416809279416043</c:v>
                </c:pt>
                <c:pt idx="527">
                  <c:v>14.416809279416043</c:v>
                </c:pt>
                <c:pt idx="528">
                  <c:v>14.416809279416043</c:v>
                </c:pt>
                <c:pt idx="529">
                  <c:v>14.416809279416043</c:v>
                </c:pt>
                <c:pt idx="530">
                  <c:v>14.416809279416043</c:v>
                </c:pt>
                <c:pt idx="531">
                  <c:v>14.416809279416043</c:v>
                </c:pt>
                <c:pt idx="532">
                  <c:v>14.416809279416043</c:v>
                </c:pt>
                <c:pt idx="533">
                  <c:v>14.416809279416043</c:v>
                </c:pt>
                <c:pt idx="534">
                  <c:v>14.416809279416043</c:v>
                </c:pt>
                <c:pt idx="535">
                  <c:v>14.416809279416043</c:v>
                </c:pt>
                <c:pt idx="536">
                  <c:v>14.416809279416043</c:v>
                </c:pt>
                <c:pt idx="537">
                  <c:v>14.416809279416043</c:v>
                </c:pt>
                <c:pt idx="538">
                  <c:v>14.416809279416043</c:v>
                </c:pt>
                <c:pt idx="539">
                  <c:v>14.416809279416043</c:v>
                </c:pt>
                <c:pt idx="540">
                  <c:v>14.416809279416043</c:v>
                </c:pt>
                <c:pt idx="541">
                  <c:v>14.416809279416043</c:v>
                </c:pt>
                <c:pt idx="542">
                  <c:v>14.416809279416043</c:v>
                </c:pt>
                <c:pt idx="543">
                  <c:v>14.416809279416043</c:v>
                </c:pt>
                <c:pt idx="544">
                  <c:v>14.416809279416043</c:v>
                </c:pt>
                <c:pt idx="545">
                  <c:v>3.8942745198728588</c:v>
                </c:pt>
                <c:pt idx="546">
                  <c:v>6.5249082097586548</c:v>
                </c:pt>
                <c:pt idx="547">
                  <c:v>3.8942745198728588</c:v>
                </c:pt>
                <c:pt idx="548">
                  <c:v>14.416809279416043</c:v>
                </c:pt>
                <c:pt idx="549">
                  <c:v>9.1555418996444509</c:v>
                </c:pt>
                <c:pt idx="550">
                  <c:v>11.786175589530247</c:v>
                </c:pt>
                <c:pt idx="551">
                  <c:v>9.1555418996444509</c:v>
                </c:pt>
                <c:pt idx="552">
                  <c:v>14.416809279416043</c:v>
                </c:pt>
                <c:pt idx="553">
                  <c:v>6.5249082097586548</c:v>
                </c:pt>
                <c:pt idx="554">
                  <c:v>11.786175589530247</c:v>
                </c:pt>
                <c:pt idx="555">
                  <c:v>14.416809279416043</c:v>
                </c:pt>
                <c:pt idx="556">
                  <c:v>6.5249082097586548</c:v>
                </c:pt>
                <c:pt idx="557">
                  <c:v>6.5249082097586548</c:v>
                </c:pt>
                <c:pt idx="558">
                  <c:v>3.8942745198728588</c:v>
                </c:pt>
                <c:pt idx="559">
                  <c:v>9.1555418996444509</c:v>
                </c:pt>
                <c:pt idx="560">
                  <c:v>14.416809279416043</c:v>
                </c:pt>
                <c:pt idx="561">
                  <c:v>14.416809279416043</c:v>
                </c:pt>
                <c:pt idx="562">
                  <c:v>6.5249082097586548</c:v>
                </c:pt>
                <c:pt idx="563">
                  <c:v>1.2636408299870627</c:v>
                </c:pt>
                <c:pt idx="564">
                  <c:v>11.786175589530247</c:v>
                </c:pt>
                <c:pt idx="565">
                  <c:v>9.1555418996444509</c:v>
                </c:pt>
                <c:pt idx="566">
                  <c:v>11.786175589530247</c:v>
                </c:pt>
                <c:pt idx="567">
                  <c:v>14.416809279416043</c:v>
                </c:pt>
                <c:pt idx="568">
                  <c:v>-1.3669928598987333</c:v>
                </c:pt>
                <c:pt idx="569">
                  <c:v>14.416809279416043</c:v>
                </c:pt>
                <c:pt idx="570">
                  <c:v>14.416809279416043</c:v>
                </c:pt>
                <c:pt idx="571">
                  <c:v>14.416809279416043</c:v>
                </c:pt>
                <c:pt idx="572">
                  <c:v>6.5249082097586548</c:v>
                </c:pt>
                <c:pt idx="573">
                  <c:v>6.5249082097586548</c:v>
                </c:pt>
                <c:pt idx="574">
                  <c:v>11.786175589530247</c:v>
                </c:pt>
                <c:pt idx="575">
                  <c:v>6.5249082097586548</c:v>
                </c:pt>
                <c:pt idx="576">
                  <c:v>14.416809279416043</c:v>
                </c:pt>
                <c:pt idx="577">
                  <c:v>11.786175589530247</c:v>
                </c:pt>
                <c:pt idx="578">
                  <c:v>14.416809279416043</c:v>
                </c:pt>
                <c:pt idx="579">
                  <c:v>14.416809279416043</c:v>
                </c:pt>
                <c:pt idx="580">
                  <c:v>14.416809279416043</c:v>
                </c:pt>
                <c:pt idx="581">
                  <c:v>14.416809279416043</c:v>
                </c:pt>
                <c:pt idx="582">
                  <c:v>14.416809279416043</c:v>
                </c:pt>
                <c:pt idx="583">
                  <c:v>11.786175589530247</c:v>
                </c:pt>
                <c:pt idx="584">
                  <c:v>9.1555418996444509</c:v>
                </c:pt>
                <c:pt idx="585">
                  <c:v>11.786175589530247</c:v>
                </c:pt>
                <c:pt idx="586">
                  <c:v>14.416809279416043</c:v>
                </c:pt>
                <c:pt idx="587">
                  <c:v>11.786175589530247</c:v>
                </c:pt>
                <c:pt idx="588">
                  <c:v>11.786175589530247</c:v>
                </c:pt>
                <c:pt idx="589">
                  <c:v>11.786175589530247</c:v>
                </c:pt>
                <c:pt idx="590">
                  <c:v>9.1555418996444509</c:v>
                </c:pt>
                <c:pt idx="591">
                  <c:v>6.5249082097586548</c:v>
                </c:pt>
                <c:pt idx="592">
                  <c:v>6.5249082097586548</c:v>
                </c:pt>
                <c:pt idx="593">
                  <c:v>14.416809279416043</c:v>
                </c:pt>
                <c:pt idx="594">
                  <c:v>9.1555418996444509</c:v>
                </c:pt>
                <c:pt idx="595">
                  <c:v>9.1555418996444509</c:v>
                </c:pt>
                <c:pt idx="596">
                  <c:v>14.416809279416043</c:v>
                </c:pt>
                <c:pt idx="597">
                  <c:v>14.416809279416043</c:v>
                </c:pt>
                <c:pt idx="598">
                  <c:v>14.416809279416043</c:v>
                </c:pt>
                <c:pt idx="599">
                  <c:v>11.786175589530247</c:v>
                </c:pt>
                <c:pt idx="600">
                  <c:v>9.1555418996444509</c:v>
                </c:pt>
                <c:pt idx="601">
                  <c:v>11.786175589530247</c:v>
                </c:pt>
                <c:pt idx="602">
                  <c:v>-1.3669928598987333</c:v>
                </c:pt>
                <c:pt idx="603">
                  <c:v>11.786175589530247</c:v>
                </c:pt>
                <c:pt idx="604">
                  <c:v>14.416809279416043</c:v>
                </c:pt>
                <c:pt idx="605">
                  <c:v>3.8942745198728588</c:v>
                </c:pt>
                <c:pt idx="606">
                  <c:v>14.416809279416043</c:v>
                </c:pt>
                <c:pt idx="607">
                  <c:v>6.5249082097586548</c:v>
                </c:pt>
                <c:pt idx="608">
                  <c:v>11.786175589530247</c:v>
                </c:pt>
                <c:pt idx="609">
                  <c:v>14.416809279416043</c:v>
                </c:pt>
                <c:pt idx="610">
                  <c:v>14.416809279416043</c:v>
                </c:pt>
                <c:pt idx="611">
                  <c:v>14.416809279416043</c:v>
                </c:pt>
                <c:pt idx="612">
                  <c:v>9.1555418996444509</c:v>
                </c:pt>
                <c:pt idx="613">
                  <c:v>14.416809279416043</c:v>
                </c:pt>
                <c:pt idx="614">
                  <c:v>14.416809279416043</c:v>
                </c:pt>
                <c:pt idx="615">
                  <c:v>14.416809279416043</c:v>
                </c:pt>
                <c:pt idx="616">
                  <c:v>14.416809279416043</c:v>
                </c:pt>
                <c:pt idx="617">
                  <c:v>14.416809279416043</c:v>
                </c:pt>
                <c:pt idx="618">
                  <c:v>14.416809279416043</c:v>
                </c:pt>
                <c:pt idx="619">
                  <c:v>14.416809279416043</c:v>
                </c:pt>
                <c:pt idx="620">
                  <c:v>14.416809279416043</c:v>
                </c:pt>
                <c:pt idx="621">
                  <c:v>14.416809279416043</c:v>
                </c:pt>
                <c:pt idx="622">
                  <c:v>11.786175589530247</c:v>
                </c:pt>
                <c:pt idx="623">
                  <c:v>14.416809279416043</c:v>
                </c:pt>
                <c:pt idx="624">
                  <c:v>14.416809279416043</c:v>
                </c:pt>
                <c:pt idx="625">
                  <c:v>14.416809279416043</c:v>
                </c:pt>
                <c:pt idx="626">
                  <c:v>14.416809279416043</c:v>
                </c:pt>
                <c:pt idx="627">
                  <c:v>14.416809279416043</c:v>
                </c:pt>
                <c:pt idx="628">
                  <c:v>14.416809279416043</c:v>
                </c:pt>
                <c:pt idx="629">
                  <c:v>14.416809279416043</c:v>
                </c:pt>
                <c:pt idx="630">
                  <c:v>14.416809279416043</c:v>
                </c:pt>
                <c:pt idx="631">
                  <c:v>14.416809279416043</c:v>
                </c:pt>
                <c:pt idx="632">
                  <c:v>14.416809279416043</c:v>
                </c:pt>
                <c:pt idx="633">
                  <c:v>14.416809279416043</c:v>
                </c:pt>
                <c:pt idx="634">
                  <c:v>14.416809279416043</c:v>
                </c:pt>
                <c:pt idx="635">
                  <c:v>14.416809279416043</c:v>
                </c:pt>
                <c:pt idx="636">
                  <c:v>9.1555418996444509</c:v>
                </c:pt>
                <c:pt idx="637">
                  <c:v>11.786175589530247</c:v>
                </c:pt>
                <c:pt idx="638">
                  <c:v>11.786175589530247</c:v>
                </c:pt>
                <c:pt idx="639">
                  <c:v>14.416809279416043</c:v>
                </c:pt>
                <c:pt idx="640">
                  <c:v>-3.9976265497845276</c:v>
                </c:pt>
                <c:pt idx="641">
                  <c:v>14.416809279416043</c:v>
                </c:pt>
                <c:pt idx="642">
                  <c:v>9.1555418996444509</c:v>
                </c:pt>
                <c:pt idx="643">
                  <c:v>3.8942745198728588</c:v>
                </c:pt>
                <c:pt idx="644">
                  <c:v>14.416809279416043</c:v>
                </c:pt>
                <c:pt idx="645">
                  <c:v>11.786175589530247</c:v>
                </c:pt>
                <c:pt idx="646">
                  <c:v>11.786175589530247</c:v>
                </c:pt>
                <c:pt idx="647">
                  <c:v>14.416809279416043</c:v>
                </c:pt>
                <c:pt idx="648">
                  <c:v>14.416809279416043</c:v>
                </c:pt>
                <c:pt idx="649">
                  <c:v>-1.3669928598987333</c:v>
                </c:pt>
                <c:pt idx="650">
                  <c:v>6.5249082097586548</c:v>
                </c:pt>
                <c:pt idx="651">
                  <c:v>9.1555418996444509</c:v>
                </c:pt>
                <c:pt idx="652">
                  <c:v>9.1555418996444509</c:v>
                </c:pt>
                <c:pt idx="653">
                  <c:v>-1.3669928598987333</c:v>
                </c:pt>
                <c:pt idx="654">
                  <c:v>14.416809279416043</c:v>
                </c:pt>
                <c:pt idx="655">
                  <c:v>14.416809279416043</c:v>
                </c:pt>
                <c:pt idx="656">
                  <c:v>9.1555418996444509</c:v>
                </c:pt>
                <c:pt idx="657">
                  <c:v>14.416809279416043</c:v>
                </c:pt>
                <c:pt idx="658">
                  <c:v>14.416809279416043</c:v>
                </c:pt>
                <c:pt idx="659">
                  <c:v>14.416809279416043</c:v>
                </c:pt>
                <c:pt idx="660">
                  <c:v>6.5249082097586548</c:v>
                </c:pt>
                <c:pt idx="661">
                  <c:v>14.416809279416043</c:v>
                </c:pt>
                <c:pt idx="662">
                  <c:v>11.786175589530247</c:v>
                </c:pt>
                <c:pt idx="663">
                  <c:v>9.1555418996444509</c:v>
                </c:pt>
                <c:pt idx="664">
                  <c:v>9.1555418996444509</c:v>
                </c:pt>
                <c:pt idx="665">
                  <c:v>3.8942745198728588</c:v>
                </c:pt>
                <c:pt idx="666">
                  <c:v>14.416809279416043</c:v>
                </c:pt>
                <c:pt idx="667">
                  <c:v>14.416809279416043</c:v>
                </c:pt>
                <c:pt idx="668">
                  <c:v>14.416809279416043</c:v>
                </c:pt>
                <c:pt idx="669">
                  <c:v>14.416809279416043</c:v>
                </c:pt>
                <c:pt idx="670">
                  <c:v>11.786175589530247</c:v>
                </c:pt>
                <c:pt idx="671">
                  <c:v>11.786175589530247</c:v>
                </c:pt>
                <c:pt idx="672">
                  <c:v>14.416809279416043</c:v>
                </c:pt>
                <c:pt idx="673">
                  <c:v>14.416809279416043</c:v>
                </c:pt>
                <c:pt idx="674">
                  <c:v>11.786175589530247</c:v>
                </c:pt>
                <c:pt idx="675">
                  <c:v>14.416809279416043</c:v>
                </c:pt>
                <c:pt idx="676">
                  <c:v>14.416809279416043</c:v>
                </c:pt>
                <c:pt idx="677">
                  <c:v>14.416809279416043</c:v>
                </c:pt>
                <c:pt idx="678">
                  <c:v>11.786175589530247</c:v>
                </c:pt>
                <c:pt idx="679">
                  <c:v>14.416809279416043</c:v>
                </c:pt>
                <c:pt idx="680">
                  <c:v>6.5249082097586548</c:v>
                </c:pt>
                <c:pt idx="681">
                  <c:v>1.2636408299870627</c:v>
                </c:pt>
                <c:pt idx="682">
                  <c:v>14.416809279416043</c:v>
                </c:pt>
                <c:pt idx="683">
                  <c:v>11.786175589530247</c:v>
                </c:pt>
                <c:pt idx="684">
                  <c:v>14.416809279416043</c:v>
                </c:pt>
                <c:pt idx="685">
                  <c:v>1.2636408299870627</c:v>
                </c:pt>
                <c:pt idx="686">
                  <c:v>-1.3669928598987333</c:v>
                </c:pt>
                <c:pt idx="687">
                  <c:v>14.416809279416043</c:v>
                </c:pt>
                <c:pt idx="688">
                  <c:v>14.416809279416043</c:v>
                </c:pt>
                <c:pt idx="689">
                  <c:v>11.786175589530247</c:v>
                </c:pt>
                <c:pt idx="690">
                  <c:v>11.786175589530247</c:v>
                </c:pt>
                <c:pt idx="691">
                  <c:v>6.5249082097586548</c:v>
                </c:pt>
                <c:pt idx="692">
                  <c:v>6.5249082097586548</c:v>
                </c:pt>
                <c:pt idx="693">
                  <c:v>14.416809279416043</c:v>
                </c:pt>
                <c:pt idx="694">
                  <c:v>11.786175589530247</c:v>
                </c:pt>
                <c:pt idx="695">
                  <c:v>6.5249082097586548</c:v>
                </c:pt>
                <c:pt idx="696">
                  <c:v>3.8942745198728588</c:v>
                </c:pt>
                <c:pt idx="697">
                  <c:v>9.1555418996444509</c:v>
                </c:pt>
                <c:pt idx="698">
                  <c:v>14.416809279416043</c:v>
                </c:pt>
                <c:pt idx="699">
                  <c:v>11.786175589530247</c:v>
                </c:pt>
                <c:pt idx="700">
                  <c:v>11.786175589530247</c:v>
                </c:pt>
                <c:pt idx="701">
                  <c:v>11.786175589530247</c:v>
                </c:pt>
                <c:pt idx="702">
                  <c:v>14.416809279416043</c:v>
                </c:pt>
                <c:pt idx="703">
                  <c:v>11.786175589530247</c:v>
                </c:pt>
                <c:pt idx="704">
                  <c:v>14.416809279416043</c:v>
                </c:pt>
                <c:pt idx="705">
                  <c:v>14.416809279416043</c:v>
                </c:pt>
                <c:pt idx="706">
                  <c:v>14.416809279416043</c:v>
                </c:pt>
                <c:pt idx="707">
                  <c:v>14.416809279416043</c:v>
                </c:pt>
                <c:pt idx="708">
                  <c:v>14.416809279416043</c:v>
                </c:pt>
                <c:pt idx="709">
                  <c:v>14.416809279416043</c:v>
                </c:pt>
                <c:pt idx="710">
                  <c:v>14.416809279416043</c:v>
                </c:pt>
                <c:pt idx="711">
                  <c:v>14.416809279416043</c:v>
                </c:pt>
                <c:pt idx="712">
                  <c:v>14.416809279416043</c:v>
                </c:pt>
                <c:pt idx="713">
                  <c:v>14.416809279416043</c:v>
                </c:pt>
                <c:pt idx="714">
                  <c:v>14.416809279416043</c:v>
                </c:pt>
                <c:pt idx="715">
                  <c:v>14.416809279416043</c:v>
                </c:pt>
                <c:pt idx="716">
                  <c:v>14.416809279416043</c:v>
                </c:pt>
                <c:pt idx="717">
                  <c:v>14.416809279416043</c:v>
                </c:pt>
                <c:pt idx="718">
                  <c:v>14.416809279416043</c:v>
                </c:pt>
                <c:pt idx="719">
                  <c:v>14.416809279416043</c:v>
                </c:pt>
                <c:pt idx="720">
                  <c:v>14.416809279416043</c:v>
                </c:pt>
                <c:pt idx="721">
                  <c:v>14.416809279416043</c:v>
                </c:pt>
                <c:pt idx="722">
                  <c:v>14.416809279416043</c:v>
                </c:pt>
                <c:pt idx="723">
                  <c:v>14.416809279416043</c:v>
                </c:pt>
                <c:pt idx="724">
                  <c:v>14.416809279416043</c:v>
                </c:pt>
                <c:pt idx="725">
                  <c:v>14.416809279416043</c:v>
                </c:pt>
                <c:pt idx="726">
                  <c:v>14.416809279416043</c:v>
                </c:pt>
                <c:pt idx="727">
                  <c:v>14.416809279416043</c:v>
                </c:pt>
                <c:pt idx="728">
                  <c:v>11.786175589530247</c:v>
                </c:pt>
                <c:pt idx="729">
                  <c:v>14.416809279416043</c:v>
                </c:pt>
                <c:pt idx="730">
                  <c:v>9.1555418996444509</c:v>
                </c:pt>
                <c:pt idx="731">
                  <c:v>9.1555418996444509</c:v>
                </c:pt>
                <c:pt idx="732">
                  <c:v>9.1555418996444509</c:v>
                </c:pt>
                <c:pt idx="733">
                  <c:v>14.416809279416043</c:v>
                </c:pt>
                <c:pt idx="734">
                  <c:v>14.416809279416043</c:v>
                </c:pt>
                <c:pt idx="735">
                  <c:v>6.5249082097586548</c:v>
                </c:pt>
                <c:pt idx="736">
                  <c:v>9.1555418996444509</c:v>
                </c:pt>
                <c:pt idx="737">
                  <c:v>14.416809279416043</c:v>
                </c:pt>
                <c:pt idx="738">
                  <c:v>11.786175589530247</c:v>
                </c:pt>
                <c:pt idx="739">
                  <c:v>14.416809279416043</c:v>
                </c:pt>
                <c:pt idx="740">
                  <c:v>14.416809279416043</c:v>
                </c:pt>
                <c:pt idx="741">
                  <c:v>9.1555418996444509</c:v>
                </c:pt>
                <c:pt idx="742">
                  <c:v>3.8942745198728588</c:v>
                </c:pt>
                <c:pt idx="743">
                  <c:v>14.416809279416043</c:v>
                </c:pt>
                <c:pt idx="744">
                  <c:v>6.5249082097586548</c:v>
                </c:pt>
                <c:pt idx="745">
                  <c:v>9.1555418996444509</c:v>
                </c:pt>
                <c:pt idx="746">
                  <c:v>11.786175589530247</c:v>
                </c:pt>
                <c:pt idx="747">
                  <c:v>11.786175589530247</c:v>
                </c:pt>
                <c:pt idx="748">
                  <c:v>14.416809279416043</c:v>
                </c:pt>
                <c:pt idx="749">
                  <c:v>11.786175589530247</c:v>
                </c:pt>
                <c:pt idx="750">
                  <c:v>9.1555418996444509</c:v>
                </c:pt>
                <c:pt idx="751">
                  <c:v>14.416809279416043</c:v>
                </c:pt>
                <c:pt idx="752">
                  <c:v>11.786175589530247</c:v>
                </c:pt>
                <c:pt idx="753">
                  <c:v>-1.3669928598987333</c:v>
                </c:pt>
                <c:pt idx="754">
                  <c:v>9.1555418996444509</c:v>
                </c:pt>
                <c:pt idx="755">
                  <c:v>14.416809279416043</c:v>
                </c:pt>
                <c:pt idx="756">
                  <c:v>11.786175589530247</c:v>
                </c:pt>
                <c:pt idx="757">
                  <c:v>6.5249082097586548</c:v>
                </c:pt>
                <c:pt idx="758">
                  <c:v>11.786175589530247</c:v>
                </c:pt>
                <c:pt idx="759">
                  <c:v>9.1555418996444509</c:v>
                </c:pt>
                <c:pt idx="760">
                  <c:v>14.416809279416043</c:v>
                </c:pt>
                <c:pt idx="761">
                  <c:v>14.416809279416043</c:v>
                </c:pt>
                <c:pt idx="762">
                  <c:v>14.416809279416043</c:v>
                </c:pt>
                <c:pt idx="763">
                  <c:v>14.416809279416043</c:v>
                </c:pt>
                <c:pt idx="764">
                  <c:v>14.416809279416043</c:v>
                </c:pt>
                <c:pt idx="765">
                  <c:v>14.416809279416043</c:v>
                </c:pt>
                <c:pt idx="766">
                  <c:v>14.416809279416043</c:v>
                </c:pt>
                <c:pt idx="767">
                  <c:v>11.786175589530247</c:v>
                </c:pt>
                <c:pt idx="768">
                  <c:v>14.416809279416043</c:v>
                </c:pt>
                <c:pt idx="769">
                  <c:v>14.416809279416043</c:v>
                </c:pt>
                <c:pt idx="770">
                  <c:v>6.5249082097586548</c:v>
                </c:pt>
                <c:pt idx="771">
                  <c:v>9.1555418996444509</c:v>
                </c:pt>
                <c:pt idx="772">
                  <c:v>14.416809279416043</c:v>
                </c:pt>
                <c:pt idx="773">
                  <c:v>14.416809279416043</c:v>
                </c:pt>
                <c:pt idx="774">
                  <c:v>14.416809279416043</c:v>
                </c:pt>
                <c:pt idx="775">
                  <c:v>6.5249082097586548</c:v>
                </c:pt>
                <c:pt idx="776">
                  <c:v>6.5249082097586548</c:v>
                </c:pt>
                <c:pt idx="777">
                  <c:v>-3.9976265497845276</c:v>
                </c:pt>
                <c:pt idx="778">
                  <c:v>6.5249082097586548</c:v>
                </c:pt>
                <c:pt idx="779">
                  <c:v>14.416809279416043</c:v>
                </c:pt>
                <c:pt idx="780">
                  <c:v>14.416809279416043</c:v>
                </c:pt>
                <c:pt idx="781">
                  <c:v>14.416809279416043</c:v>
                </c:pt>
                <c:pt idx="782">
                  <c:v>11.786175589530247</c:v>
                </c:pt>
                <c:pt idx="783">
                  <c:v>14.416809279416043</c:v>
                </c:pt>
                <c:pt idx="784">
                  <c:v>1.2636408299870627</c:v>
                </c:pt>
                <c:pt idx="785">
                  <c:v>-9.2588939295561232</c:v>
                </c:pt>
                <c:pt idx="786">
                  <c:v>11.786175589530247</c:v>
                </c:pt>
                <c:pt idx="787">
                  <c:v>14.416809279416043</c:v>
                </c:pt>
                <c:pt idx="788">
                  <c:v>3.8942745198728588</c:v>
                </c:pt>
                <c:pt idx="789">
                  <c:v>11.786175589530247</c:v>
                </c:pt>
                <c:pt idx="790">
                  <c:v>3.8942745198728588</c:v>
                </c:pt>
                <c:pt idx="791">
                  <c:v>14.416809279416043</c:v>
                </c:pt>
                <c:pt idx="792">
                  <c:v>14.416809279416043</c:v>
                </c:pt>
                <c:pt idx="793">
                  <c:v>11.786175589530247</c:v>
                </c:pt>
                <c:pt idx="794">
                  <c:v>14.416809279416043</c:v>
                </c:pt>
                <c:pt idx="795">
                  <c:v>14.416809279416043</c:v>
                </c:pt>
                <c:pt idx="796">
                  <c:v>14.416809279416043</c:v>
                </c:pt>
                <c:pt idx="797">
                  <c:v>14.416809279416043</c:v>
                </c:pt>
                <c:pt idx="798">
                  <c:v>14.416809279416043</c:v>
                </c:pt>
                <c:pt idx="799">
                  <c:v>14.416809279416043</c:v>
                </c:pt>
                <c:pt idx="800">
                  <c:v>14.416809279416043</c:v>
                </c:pt>
                <c:pt idx="801">
                  <c:v>14.416809279416043</c:v>
                </c:pt>
                <c:pt idx="802">
                  <c:v>14.416809279416043</c:v>
                </c:pt>
                <c:pt idx="803">
                  <c:v>14.416809279416043</c:v>
                </c:pt>
                <c:pt idx="804">
                  <c:v>14.416809279416043</c:v>
                </c:pt>
                <c:pt idx="805">
                  <c:v>14.416809279416043</c:v>
                </c:pt>
                <c:pt idx="806">
                  <c:v>14.416809279416043</c:v>
                </c:pt>
                <c:pt idx="807">
                  <c:v>14.416809279416043</c:v>
                </c:pt>
                <c:pt idx="808">
                  <c:v>14.416809279416043</c:v>
                </c:pt>
                <c:pt idx="809">
                  <c:v>14.416809279416043</c:v>
                </c:pt>
                <c:pt idx="810">
                  <c:v>14.416809279416043</c:v>
                </c:pt>
                <c:pt idx="811">
                  <c:v>14.416809279416043</c:v>
                </c:pt>
                <c:pt idx="812">
                  <c:v>14.416809279416043</c:v>
                </c:pt>
                <c:pt idx="813">
                  <c:v>14.416809279416043</c:v>
                </c:pt>
                <c:pt idx="814">
                  <c:v>14.416809279416043</c:v>
                </c:pt>
                <c:pt idx="815">
                  <c:v>14.416809279416043</c:v>
                </c:pt>
                <c:pt idx="816">
                  <c:v>14.416809279416043</c:v>
                </c:pt>
                <c:pt idx="817">
                  <c:v>14.416809279416043</c:v>
                </c:pt>
                <c:pt idx="818">
                  <c:v>14.416809279416043</c:v>
                </c:pt>
                <c:pt idx="819">
                  <c:v>14.416809279416043</c:v>
                </c:pt>
                <c:pt idx="820">
                  <c:v>3.8942745198728588</c:v>
                </c:pt>
                <c:pt idx="821">
                  <c:v>6.5249082097586548</c:v>
                </c:pt>
                <c:pt idx="822">
                  <c:v>3.8942745198728588</c:v>
                </c:pt>
                <c:pt idx="823">
                  <c:v>14.416809279416043</c:v>
                </c:pt>
                <c:pt idx="824">
                  <c:v>14.416809279416043</c:v>
                </c:pt>
                <c:pt idx="825">
                  <c:v>9.1555418996444509</c:v>
                </c:pt>
                <c:pt idx="826">
                  <c:v>11.786175589530247</c:v>
                </c:pt>
                <c:pt idx="827">
                  <c:v>14.416809279416043</c:v>
                </c:pt>
                <c:pt idx="828">
                  <c:v>14.416809279416043</c:v>
                </c:pt>
                <c:pt idx="829">
                  <c:v>14.416809279416043</c:v>
                </c:pt>
                <c:pt idx="830">
                  <c:v>14.416809279416043</c:v>
                </c:pt>
                <c:pt idx="831">
                  <c:v>11.786175589530247</c:v>
                </c:pt>
                <c:pt idx="832">
                  <c:v>14.416809279416043</c:v>
                </c:pt>
                <c:pt idx="833">
                  <c:v>11.786175589530247</c:v>
                </c:pt>
                <c:pt idx="834">
                  <c:v>14.416809279416043</c:v>
                </c:pt>
                <c:pt idx="835">
                  <c:v>11.786175589530247</c:v>
                </c:pt>
                <c:pt idx="836">
                  <c:v>9.1555418996444509</c:v>
                </c:pt>
                <c:pt idx="837">
                  <c:v>9.1555418996444509</c:v>
                </c:pt>
                <c:pt idx="838">
                  <c:v>14.416809279416043</c:v>
                </c:pt>
                <c:pt idx="839">
                  <c:v>9.1555418996444509</c:v>
                </c:pt>
                <c:pt idx="840">
                  <c:v>11.786175589530247</c:v>
                </c:pt>
                <c:pt idx="841">
                  <c:v>11.786175589530247</c:v>
                </c:pt>
                <c:pt idx="842">
                  <c:v>14.416809279416043</c:v>
                </c:pt>
                <c:pt idx="843">
                  <c:v>11.786175589530247</c:v>
                </c:pt>
                <c:pt idx="844">
                  <c:v>9.1555418996444509</c:v>
                </c:pt>
                <c:pt idx="845">
                  <c:v>-6.6282602396703254</c:v>
                </c:pt>
                <c:pt idx="846">
                  <c:v>11.786175589530247</c:v>
                </c:pt>
                <c:pt idx="847">
                  <c:v>6.5249082097586548</c:v>
                </c:pt>
                <c:pt idx="848">
                  <c:v>3.8942745198728588</c:v>
                </c:pt>
                <c:pt idx="849">
                  <c:v>3.8942745198728588</c:v>
                </c:pt>
                <c:pt idx="850">
                  <c:v>11.786175589530247</c:v>
                </c:pt>
                <c:pt idx="851">
                  <c:v>14.416809279416043</c:v>
                </c:pt>
                <c:pt idx="852">
                  <c:v>6.5249082097586548</c:v>
                </c:pt>
                <c:pt idx="853">
                  <c:v>11.786175589530247</c:v>
                </c:pt>
                <c:pt idx="854">
                  <c:v>14.416809279416043</c:v>
                </c:pt>
                <c:pt idx="855">
                  <c:v>14.416809279416043</c:v>
                </c:pt>
                <c:pt idx="856">
                  <c:v>11.786175589530247</c:v>
                </c:pt>
                <c:pt idx="857">
                  <c:v>9.1555418996444509</c:v>
                </c:pt>
                <c:pt idx="858">
                  <c:v>11.786175589530247</c:v>
                </c:pt>
                <c:pt idx="859">
                  <c:v>14.416809279416043</c:v>
                </c:pt>
                <c:pt idx="860">
                  <c:v>14.416809279416043</c:v>
                </c:pt>
                <c:pt idx="861">
                  <c:v>9.1555418996444509</c:v>
                </c:pt>
                <c:pt idx="862">
                  <c:v>14.416809279416043</c:v>
                </c:pt>
                <c:pt idx="863">
                  <c:v>14.416809279416043</c:v>
                </c:pt>
                <c:pt idx="864">
                  <c:v>14.416809279416043</c:v>
                </c:pt>
                <c:pt idx="865">
                  <c:v>9.1555418996444509</c:v>
                </c:pt>
                <c:pt idx="866">
                  <c:v>-1.3669928598987333</c:v>
                </c:pt>
                <c:pt idx="867">
                  <c:v>-1.3669928598987333</c:v>
                </c:pt>
                <c:pt idx="868">
                  <c:v>14.416809279416043</c:v>
                </c:pt>
                <c:pt idx="869">
                  <c:v>-1.3669928598987333</c:v>
                </c:pt>
                <c:pt idx="870">
                  <c:v>14.416809279416043</c:v>
                </c:pt>
                <c:pt idx="871">
                  <c:v>9.1555418996444509</c:v>
                </c:pt>
                <c:pt idx="872">
                  <c:v>14.416809279416043</c:v>
                </c:pt>
                <c:pt idx="873">
                  <c:v>14.416809279416043</c:v>
                </c:pt>
                <c:pt idx="874">
                  <c:v>14.416809279416043</c:v>
                </c:pt>
                <c:pt idx="875">
                  <c:v>14.416809279416043</c:v>
                </c:pt>
                <c:pt idx="876">
                  <c:v>14.416809279416043</c:v>
                </c:pt>
                <c:pt idx="877">
                  <c:v>3.8942745198728588</c:v>
                </c:pt>
                <c:pt idx="878">
                  <c:v>11.786175589530247</c:v>
                </c:pt>
                <c:pt idx="879">
                  <c:v>14.416809279416043</c:v>
                </c:pt>
                <c:pt idx="880">
                  <c:v>9.1555418996444509</c:v>
                </c:pt>
                <c:pt idx="881">
                  <c:v>11.786175589530247</c:v>
                </c:pt>
                <c:pt idx="882">
                  <c:v>14.416809279416043</c:v>
                </c:pt>
                <c:pt idx="883">
                  <c:v>14.416809279416043</c:v>
                </c:pt>
                <c:pt idx="884">
                  <c:v>6.5249082097586548</c:v>
                </c:pt>
                <c:pt idx="885">
                  <c:v>14.416809279416043</c:v>
                </c:pt>
                <c:pt idx="886">
                  <c:v>11.786175589530247</c:v>
                </c:pt>
                <c:pt idx="887">
                  <c:v>9.1555418996444509</c:v>
                </c:pt>
                <c:pt idx="888">
                  <c:v>14.416809279416043</c:v>
                </c:pt>
                <c:pt idx="889">
                  <c:v>14.416809279416043</c:v>
                </c:pt>
                <c:pt idx="890">
                  <c:v>14.416809279416043</c:v>
                </c:pt>
                <c:pt idx="891">
                  <c:v>14.416809279416043</c:v>
                </c:pt>
                <c:pt idx="892">
                  <c:v>14.416809279416043</c:v>
                </c:pt>
                <c:pt idx="893">
                  <c:v>14.416809279416043</c:v>
                </c:pt>
                <c:pt idx="894">
                  <c:v>14.416809279416043</c:v>
                </c:pt>
                <c:pt idx="895">
                  <c:v>14.416809279416043</c:v>
                </c:pt>
                <c:pt idx="896">
                  <c:v>14.416809279416043</c:v>
                </c:pt>
                <c:pt idx="897">
                  <c:v>14.416809279416043</c:v>
                </c:pt>
                <c:pt idx="898">
                  <c:v>14.416809279416043</c:v>
                </c:pt>
                <c:pt idx="899">
                  <c:v>14.416809279416043</c:v>
                </c:pt>
                <c:pt idx="900">
                  <c:v>11.786175589530247</c:v>
                </c:pt>
                <c:pt idx="901">
                  <c:v>14.416809279416043</c:v>
                </c:pt>
                <c:pt idx="902">
                  <c:v>14.416809279416043</c:v>
                </c:pt>
                <c:pt idx="903">
                  <c:v>14.416809279416043</c:v>
                </c:pt>
                <c:pt idx="904">
                  <c:v>14.416809279416043</c:v>
                </c:pt>
                <c:pt idx="905">
                  <c:v>14.416809279416043</c:v>
                </c:pt>
                <c:pt idx="906">
                  <c:v>14.416809279416043</c:v>
                </c:pt>
                <c:pt idx="907">
                  <c:v>14.416809279416043</c:v>
                </c:pt>
                <c:pt idx="908">
                  <c:v>14.416809279416043</c:v>
                </c:pt>
                <c:pt idx="909">
                  <c:v>14.416809279416043</c:v>
                </c:pt>
                <c:pt idx="910">
                  <c:v>14.416809279416043</c:v>
                </c:pt>
                <c:pt idx="911">
                  <c:v>3.8942745198728588</c:v>
                </c:pt>
                <c:pt idx="912">
                  <c:v>14.416809279416043</c:v>
                </c:pt>
                <c:pt idx="913">
                  <c:v>14.416809279416043</c:v>
                </c:pt>
                <c:pt idx="914">
                  <c:v>9.1555418996444509</c:v>
                </c:pt>
                <c:pt idx="915">
                  <c:v>3.8942745198728588</c:v>
                </c:pt>
                <c:pt idx="916">
                  <c:v>14.416809279416043</c:v>
                </c:pt>
                <c:pt idx="917">
                  <c:v>14.416809279416043</c:v>
                </c:pt>
                <c:pt idx="918">
                  <c:v>9.1555418996444509</c:v>
                </c:pt>
                <c:pt idx="919">
                  <c:v>-1.3669928598987333</c:v>
                </c:pt>
                <c:pt idx="920">
                  <c:v>3.8942745198728588</c:v>
                </c:pt>
                <c:pt idx="921">
                  <c:v>11.786175589530247</c:v>
                </c:pt>
                <c:pt idx="922">
                  <c:v>14.416809279416043</c:v>
                </c:pt>
                <c:pt idx="923">
                  <c:v>14.416809279416043</c:v>
                </c:pt>
                <c:pt idx="924">
                  <c:v>3.8942745198728588</c:v>
                </c:pt>
                <c:pt idx="925">
                  <c:v>14.416809279416043</c:v>
                </c:pt>
                <c:pt idx="926">
                  <c:v>11.786175589530247</c:v>
                </c:pt>
                <c:pt idx="927">
                  <c:v>14.416809279416043</c:v>
                </c:pt>
                <c:pt idx="928">
                  <c:v>6.5249082097586548</c:v>
                </c:pt>
                <c:pt idx="929">
                  <c:v>6.5249082097586548</c:v>
                </c:pt>
                <c:pt idx="930">
                  <c:v>9.1555418996444509</c:v>
                </c:pt>
                <c:pt idx="931">
                  <c:v>6.5249082097586548</c:v>
                </c:pt>
                <c:pt idx="932">
                  <c:v>6.5249082097586548</c:v>
                </c:pt>
                <c:pt idx="933">
                  <c:v>3.8942745198728588</c:v>
                </c:pt>
                <c:pt idx="934">
                  <c:v>14.416809279416043</c:v>
                </c:pt>
                <c:pt idx="935">
                  <c:v>14.416809279416043</c:v>
                </c:pt>
                <c:pt idx="936">
                  <c:v>14.416809279416043</c:v>
                </c:pt>
                <c:pt idx="937">
                  <c:v>14.416809279416043</c:v>
                </c:pt>
                <c:pt idx="938">
                  <c:v>3.8942745198728588</c:v>
                </c:pt>
                <c:pt idx="939">
                  <c:v>6.5249082097586548</c:v>
                </c:pt>
                <c:pt idx="940">
                  <c:v>11.786175589530247</c:v>
                </c:pt>
                <c:pt idx="941">
                  <c:v>14.416809279416043</c:v>
                </c:pt>
                <c:pt idx="942">
                  <c:v>14.416809279416043</c:v>
                </c:pt>
                <c:pt idx="943">
                  <c:v>14.416809279416043</c:v>
                </c:pt>
                <c:pt idx="944">
                  <c:v>14.416809279416043</c:v>
                </c:pt>
                <c:pt idx="945">
                  <c:v>11.786175589530247</c:v>
                </c:pt>
                <c:pt idx="946">
                  <c:v>6.5249082097586548</c:v>
                </c:pt>
                <c:pt idx="947">
                  <c:v>14.416809279416043</c:v>
                </c:pt>
                <c:pt idx="948">
                  <c:v>14.416809279416043</c:v>
                </c:pt>
                <c:pt idx="949">
                  <c:v>11.786175589530247</c:v>
                </c:pt>
                <c:pt idx="950">
                  <c:v>14.416809279416043</c:v>
                </c:pt>
                <c:pt idx="951">
                  <c:v>11.786175589530247</c:v>
                </c:pt>
                <c:pt idx="952">
                  <c:v>11.786175589530247</c:v>
                </c:pt>
                <c:pt idx="953">
                  <c:v>11.786175589530247</c:v>
                </c:pt>
                <c:pt idx="954">
                  <c:v>11.786175589530247</c:v>
                </c:pt>
                <c:pt idx="955">
                  <c:v>14.416809279416043</c:v>
                </c:pt>
                <c:pt idx="956">
                  <c:v>14.416809279416043</c:v>
                </c:pt>
                <c:pt idx="957">
                  <c:v>14.416809279416043</c:v>
                </c:pt>
                <c:pt idx="958">
                  <c:v>6.5249082097586548</c:v>
                </c:pt>
                <c:pt idx="959">
                  <c:v>14.416809279416043</c:v>
                </c:pt>
                <c:pt idx="960">
                  <c:v>14.416809279416043</c:v>
                </c:pt>
                <c:pt idx="961">
                  <c:v>6.5249082097586548</c:v>
                </c:pt>
                <c:pt idx="962">
                  <c:v>9.1555418996444509</c:v>
                </c:pt>
                <c:pt idx="963">
                  <c:v>-6.6282602396703254</c:v>
                </c:pt>
                <c:pt idx="964">
                  <c:v>6.5249082097586548</c:v>
                </c:pt>
                <c:pt idx="965">
                  <c:v>3.8942745198728588</c:v>
                </c:pt>
                <c:pt idx="966">
                  <c:v>9.1555418996444509</c:v>
                </c:pt>
                <c:pt idx="967">
                  <c:v>9.1555418996444509</c:v>
                </c:pt>
                <c:pt idx="968">
                  <c:v>14.416809279416043</c:v>
                </c:pt>
                <c:pt idx="969">
                  <c:v>6.5249082097586548</c:v>
                </c:pt>
                <c:pt idx="970">
                  <c:v>14.416809279416043</c:v>
                </c:pt>
                <c:pt idx="971">
                  <c:v>11.786175589530247</c:v>
                </c:pt>
                <c:pt idx="972">
                  <c:v>14.416809279416043</c:v>
                </c:pt>
                <c:pt idx="973">
                  <c:v>6.5249082097586548</c:v>
                </c:pt>
                <c:pt idx="974">
                  <c:v>6.5249082097586548</c:v>
                </c:pt>
                <c:pt idx="975">
                  <c:v>14.416809279416043</c:v>
                </c:pt>
                <c:pt idx="976">
                  <c:v>6.5249082097586548</c:v>
                </c:pt>
                <c:pt idx="977">
                  <c:v>14.416809279416043</c:v>
                </c:pt>
                <c:pt idx="978">
                  <c:v>14.416809279416043</c:v>
                </c:pt>
                <c:pt idx="979">
                  <c:v>14.416809279416043</c:v>
                </c:pt>
                <c:pt idx="980">
                  <c:v>14.416809279416043</c:v>
                </c:pt>
                <c:pt idx="981">
                  <c:v>14.416809279416043</c:v>
                </c:pt>
                <c:pt idx="982">
                  <c:v>14.416809279416043</c:v>
                </c:pt>
                <c:pt idx="983">
                  <c:v>14.416809279416043</c:v>
                </c:pt>
                <c:pt idx="984">
                  <c:v>14.416809279416043</c:v>
                </c:pt>
                <c:pt idx="985">
                  <c:v>14.416809279416043</c:v>
                </c:pt>
                <c:pt idx="986">
                  <c:v>14.416809279416043</c:v>
                </c:pt>
                <c:pt idx="987">
                  <c:v>14.416809279416043</c:v>
                </c:pt>
                <c:pt idx="988">
                  <c:v>14.416809279416043</c:v>
                </c:pt>
                <c:pt idx="989">
                  <c:v>14.416809279416043</c:v>
                </c:pt>
                <c:pt idx="990">
                  <c:v>14.416809279416043</c:v>
                </c:pt>
                <c:pt idx="991">
                  <c:v>14.416809279416043</c:v>
                </c:pt>
                <c:pt idx="992">
                  <c:v>14.416809279416043</c:v>
                </c:pt>
                <c:pt idx="993">
                  <c:v>14.416809279416043</c:v>
                </c:pt>
                <c:pt idx="994">
                  <c:v>14.416809279416043</c:v>
                </c:pt>
                <c:pt idx="995">
                  <c:v>14.416809279416043</c:v>
                </c:pt>
                <c:pt idx="996">
                  <c:v>14.416809279416043</c:v>
                </c:pt>
                <c:pt idx="997">
                  <c:v>14.416809279416043</c:v>
                </c:pt>
                <c:pt idx="998">
                  <c:v>14.416809279416043</c:v>
                </c:pt>
                <c:pt idx="999">
                  <c:v>14.416809279416043</c:v>
                </c:pt>
                <c:pt idx="1000">
                  <c:v>14.416809279416043</c:v>
                </c:pt>
                <c:pt idx="1001">
                  <c:v>14.416809279416043</c:v>
                </c:pt>
                <c:pt idx="1002">
                  <c:v>14.416809279416043</c:v>
                </c:pt>
                <c:pt idx="1003">
                  <c:v>14.416809279416043</c:v>
                </c:pt>
                <c:pt idx="1004">
                  <c:v>14.416809279416043</c:v>
                </c:pt>
                <c:pt idx="1005">
                  <c:v>14.416809279416043</c:v>
                </c:pt>
                <c:pt idx="1006">
                  <c:v>11.786175589530247</c:v>
                </c:pt>
                <c:pt idx="1007">
                  <c:v>-1.3669928598987333</c:v>
                </c:pt>
                <c:pt idx="1008">
                  <c:v>6.5249082097586548</c:v>
                </c:pt>
                <c:pt idx="1009">
                  <c:v>3.8942745198728588</c:v>
                </c:pt>
                <c:pt idx="1010">
                  <c:v>6.5249082097586548</c:v>
                </c:pt>
                <c:pt idx="1011">
                  <c:v>14.416809279416043</c:v>
                </c:pt>
                <c:pt idx="1012">
                  <c:v>9.1555418996444509</c:v>
                </c:pt>
                <c:pt idx="1013">
                  <c:v>9.1555418996444509</c:v>
                </c:pt>
                <c:pt idx="1014">
                  <c:v>9.1555418996444509</c:v>
                </c:pt>
                <c:pt idx="1015">
                  <c:v>14.416809279416043</c:v>
                </c:pt>
                <c:pt idx="1016">
                  <c:v>14.416809279416043</c:v>
                </c:pt>
                <c:pt idx="1017">
                  <c:v>14.416809279416043</c:v>
                </c:pt>
                <c:pt idx="1018">
                  <c:v>14.416809279416043</c:v>
                </c:pt>
                <c:pt idx="1019">
                  <c:v>11.786175589530247</c:v>
                </c:pt>
                <c:pt idx="1020">
                  <c:v>14.416809279416043</c:v>
                </c:pt>
                <c:pt idx="1021">
                  <c:v>11.786175589530247</c:v>
                </c:pt>
                <c:pt idx="1022">
                  <c:v>14.416809279416043</c:v>
                </c:pt>
                <c:pt idx="1023">
                  <c:v>-1.3669928598987333</c:v>
                </c:pt>
                <c:pt idx="1024">
                  <c:v>9.1555418996444509</c:v>
                </c:pt>
                <c:pt idx="1025">
                  <c:v>14.416809279416043</c:v>
                </c:pt>
                <c:pt idx="1026">
                  <c:v>9.1555418996444509</c:v>
                </c:pt>
                <c:pt idx="1027">
                  <c:v>14.416809279416043</c:v>
                </c:pt>
                <c:pt idx="1028">
                  <c:v>14.416809279416043</c:v>
                </c:pt>
                <c:pt idx="1029">
                  <c:v>9.1555418996444509</c:v>
                </c:pt>
                <c:pt idx="1030">
                  <c:v>9.1555418996444509</c:v>
                </c:pt>
                <c:pt idx="1031">
                  <c:v>1.2636408299870627</c:v>
                </c:pt>
                <c:pt idx="1032">
                  <c:v>3.8942745198728588</c:v>
                </c:pt>
                <c:pt idx="1033">
                  <c:v>14.416809279416043</c:v>
                </c:pt>
                <c:pt idx="1034">
                  <c:v>-1.3669928598987333</c:v>
                </c:pt>
                <c:pt idx="1035">
                  <c:v>1.2636408299870627</c:v>
                </c:pt>
                <c:pt idx="1036">
                  <c:v>11.786175589530247</c:v>
                </c:pt>
                <c:pt idx="1037">
                  <c:v>11.786175589530247</c:v>
                </c:pt>
                <c:pt idx="1038">
                  <c:v>11.786175589530247</c:v>
                </c:pt>
                <c:pt idx="1039">
                  <c:v>14.416809279416043</c:v>
                </c:pt>
                <c:pt idx="1040">
                  <c:v>9.1555418996444509</c:v>
                </c:pt>
                <c:pt idx="1041">
                  <c:v>14.416809279416043</c:v>
                </c:pt>
                <c:pt idx="1042">
                  <c:v>14.416809279416043</c:v>
                </c:pt>
                <c:pt idx="1043">
                  <c:v>14.416809279416043</c:v>
                </c:pt>
                <c:pt idx="1044">
                  <c:v>14.416809279416043</c:v>
                </c:pt>
                <c:pt idx="1045">
                  <c:v>14.416809279416043</c:v>
                </c:pt>
                <c:pt idx="1046">
                  <c:v>11.786175589530247</c:v>
                </c:pt>
                <c:pt idx="1047">
                  <c:v>11.786175589530247</c:v>
                </c:pt>
                <c:pt idx="1048">
                  <c:v>3.8942745198728588</c:v>
                </c:pt>
                <c:pt idx="1049">
                  <c:v>14.416809279416043</c:v>
                </c:pt>
                <c:pt idx="1050">
                  <c:v>11.786175589530247</c:v>
                </c:pt>
                <c:pt idx="1051">
                  <c:v>6.5249082097586548</c:v>
                </c:pt>
                <c:pt idx="1052">
                  <c:v>14.416809279416043</c:v>
                </c:pt>
                <c:pt idx="1053">
                  <c:v>11.786175589530247</c:v>
                </c:pt>
                <c:pt idx="1054">
                  <c:v>11.786175589530247</c:v>
                </c:pt>
                <c:pt idx="1055">
                  <c:v>11.786175589530247</c:v>
                </c:pt>
                <c:pt idx="1056">
                  <c:v>14.416809279416043</c:v>
                </c:pt>
                <c:pt idx="1057">
                  <c:v>11.786175589530247</c:v>
                </c:pt>
                <c:pt idx="1058">
                  <c:v>14.416809279416043</c:v>
                </c:pt>
                <c:pt idx="1059">
                  <c:v>9.1555418996444509</c:v>
                </c:pt>
                <c:pt idx="1060">
                  <c:v>11.786175589530247</c:v>
                </c:pt>
                <c:pt idx="1061">
                  <c:v>14.416809279416043</c:v>
                </c:pt>
                <c:pt idx="1062">
                  <c:v>14.416809279416043</c:v>
                </c:pt>
                <c:pt idx="1063">
                  <c:v>11.786175589530247</c:v>
                </c:pt>
                <c:pt idx="1064">
                  <c:v>6.5249082097586548</c:v>
                </c:pt>
                <c:pt idx="1065">
                  <c:v>9.1555418996444509</c:v>
                </c:pt>
                <c:pt idx="1066">
                  <c:v>14.416809279416043</c:v>
                </c:pt>
                <c:pt idx="1067">
                  <c:v>14.416809279416043</c:v>
                </c:pt>
                <c:pt idx="1068">
                  <c:v>11.786175589530247</c:v>
                </c:pt>
                <c:pt idx="1069">
                  <c:v>14.416809279416043</c:v>
                </c:pt>
                <c:pt idx="1070">
                  <c:v>9.1555418996444509</c:v>
                </c:pt>
                <c:pt idx="1071">
                  <c:v>14.416809279416043</c:v>
                </c:pt>
                <c:pt idx="1072">
                  <c:v>14.416809279416043</c:v>
                </c:pt>
                <c:pt idx="1073">
                  <c:v>14.416809279416043</c:v>
                </c:pt>
                <c:pt idx="1074">
                  <c:v>14.416809279416043</c:v>
                </c:pt>
                <c:pt idx="1075">
                  <c:v>14.416809279416043</c:v>
                </c:pt>
                <c:pt idx="1076">
                  <c:v>14.416809279416043</c:v>
                </c:pt>
                <c:pt idx="1077">
                  <c:v>14.416809279416043</c:v>
                </c:pt>
                <c:pt idx="1078">
                  <c:v>14.416809279416043</c:v>
                </c:pt>
                <c:pt idx="1079">
                  <c:v>14.416809279416043</c:v>
                </c:pt>
                <c:pt idx="1080">
                  <c:v>14.416809279416043</c:v>
                </c:pt>
                <c:pt idx="1081">
                  <c:v>14.416809279416043</c:v>
                </c:pt>
                <c:pt idx="1082">
                  <c:v>14.416809279416043</c:v>
                </c:pt>
                <c:pt idx="1083">
                  <c:v>14.416809279416043</c:v>
                </c:pt>
                <c:pt idx="1084">
                  <c:v>14.416809279416043</c:v>
                </c:pt>
                <c:pt idx="1085">
                  <c:v>14.416809279416043</c:v>
                </c:pt>
                <c:pt idx="1086">
                  <c:v>14.416809279416043</c:v>
                </c:pt>
                <c:pt idx="1087">
                  <c:v>14.416809279416043</c:v>
                </c:pt>
                <c:pt idx="1088">
                  <c:v>14.416809279416043</c:v>
                </c:pt>
                <c:pt idx="1089">
                  <c:v>14.416809279416043</c:v>
                </c:pt>
                <c:pt idx="1090">
                  <c:v>14.416809279416043</c:v>
                </c:pt>
                <c:pt idx="1091">
                  <c:v>14.416809279416043</c:v>
                </c:pt>
                <c:pt idx="1092">
                  <c:v>14.416809279416043</c:v>
                </c:pt>
                <c:pt idx="1093">
                  <c:v>14.416809279416043</c:v>
                </c:pt>
                <c:pt idx="1094">
                  <c:v>1.2636408299870627</c:v>
                </c:pt>
                <c:pt idx="1095">
                  <c:v>14.416809279416043</c:v>
                </c:pt>
                <c:pt idx="1096">
                  <c:v>9.1555418996444509</c:v>
                </c:pt>
                <c:pt idx="1097">
                  <c:v>6.5249082097586548</c:v>
                </c:pt>
                <c:pt idx="1098">
                  <c:v>-1.3669928598987333</c:v>
                </c:pt>
                <c:pt idx="1099">
                  <c:v>-1.3669928598987333</c:v>
                </c:pt>
                <c:pt idx="1100">
                  <c:v>14.416809279416043</c:v>
                </c:pt>
                <c:pt idx="1101">
                  <c:v>14.416809279416043</c:v>
                </c:pt>
                <c:pt idx="1102">
                  <c:v>6.5249082097586548</c:v>
                </c:pt>
                <c:pt idx="1103">
                  <c:v>9.1555418996444509</c:v>
                </c:pt>
                <c:pt idx="1104">
                  <c:v>14.416809279416043</c:v>
                </c:pt>
                <c:pt idx="1105">
                  <c:v>11.786175589530247</c:v>
                </c:pt>
                <c:pt idx="1106">
                  <c:v>14.416809279416043</c:v>
                </c:pt>
                <c:pt idx="1107">
                  <c:v>6.5249082097586548</c:v>
                </c:pt>
                <c:pt idx="1108">
                  <c:v>11.786175589530247</c:v>
                </c:pt>
                <c:pt idx="1109">
                  <c:v>14.416809279416043</c:v>
                </c:pt>
                <c:pt idx="1110">
                  <c:v>3.8942745198728588</c:v>
                </c:pt>
                <c:pt idx="1111">
                  <c:v>11.786175589530247</c:v>
                </c:pt>
                <c:pt idx="1112">
                  <c:v>11.786175589530247</c:v>
                </c:pt>
                <c:pt idx="1113">
                  <c:v>11.786175589530247</c:v>
                </c:pt>
                <c:pt idx="1114">
                  <c:v>14.416809279416043</c:v>
                </c:pt>
                <c:pt idx="1115">
                  <c:v>14.416809279416043</c:v>
                </c:pt>
                <c:pt idx="1116">
                  <c:v>11.786175589530247</c:v>
                </c:pt>
                <c:pt idx="1117">
                  <c:v>14.416809279416043</c:v>
                </c:pt>
                <c:pt idx="1118">
                  <c:v>6.5249082097586548</c:v>
                </c:pt>
                <c:pt idx="1119">
                  <c:v>14.416809279416043</c:v>
                </c:pt>
                <c:pt idx="1120">
                  <c:v>11.786175589530247</c:v>
                </c:pt>
                <c:pt idx="1121">
                  <c:v>11.786175589530247</c:v>
                </c:pt>
                <c:pt idx="1122">
                  <c:v>-1.3669928598987333</c:v>
                </c:pt>
                <c:pt idx="1123">
                  <c:v>-1.3669928598987333</c:v>
                </c:pt>
                <c:pt idx="1124">
                  <c:v>11.786175589530247</c:v>
                </c:pt>
                <c:pt idx="1125">
                  <c:v>14.416809279416043</c:v>
                </c:pt>
                <c:pt idx="1126">
                  <c:v>6.5249082097586548</c:v>
                </c:pt>
                <c:pt idx="1127">
                  <c:v>9.1555418996444509</c:v>
                </c:pt>
                <c:pt idx="1128">
                  <c:v>9.1555418996444509</c:v>
                </c:pt>
                <c:pt idx="1129">
                  <c:v>14.416809279416043</c:v>
                </c:pt>
                <c:pt idx="1130">
                  <c:v>11.786175589530247</c:v>
                </c:pt>
                <c:pt idx="1131">
                  <c:v>11.786175589530247</c:v>
                </c:pt>
                <c:pt idx="1132">
                  <c:v>14.416809279416043</c:v>
                </c:pt>
                <c:pt idx="1133">
                  <c:v>14.416809279416043</c:v>
                </c:pt>
                <c:pt idx="1134">
                  <c:v>14.416809279416043</c:v>
                </c:pt>
                <c:pt idx="1135">
                  <c:v>14.416809279416043</c:v>
                </c:pt>
                <c:pt idx="1136">
                  <c:v>14.416809279416043</c:v>
                </c:pt>
                <c:pt idx="1137">
                  <c:v>14.416809279416043</c:v>
                </c:pt>
                <c:pt idx="1138">
                  <c:v>6.5249082097586548</c:v>
                </c:pt>
                <c:pt idx="1139">
                  <c:v>14.416809279416043</c:v>
                </c:pt>
                <c:pt idx="1140">
                  <c:v>14.416809279416043</c:v>
                </c:pt>
                <c:pt idx="1141">
                  <c:v>14.416809279416043</c:v>
                </c:pt>
                <c:pt idx="1142">
                  <c:v>3.8942745198728588</c:v>
                </c:pt>
                <c:pt idx="1143">
                  <c:v>6.5249082097586548</c:v>
                </c:pt>
                <c:pt idx="1144">
                  <c:v>14.416809279416043</c:v>
                </c:pt>
                <c:pt idx="1145">
                  <c:v>14.416809279416043</c:v>
                </c:pt>
                <c:pt idx="1146">
                  <c:v>14.416809279416043</c:v>
                </c:pt>
                <c:pt idx="1147">
                  <c:v>14.416809279416043</c:v>
                </c:pt>
                <c:pt idx="1148">
                  <c:v>11.786175589530247</c:v>
                </c:pt>
                <c:pt idx="1149">
                  <c:v>14.416809279416043</c:v>
                </c:pt>
                <c:pt idx="1150">
                  <c:v>14.416809279416043</c:v>
                </c:pt>
                <c:pt idx="1151">
                  <c:v>9.1555418996444509</c:v>
                </c:pt>
                <c:pt idx="1152">
                  <c:v>11.786175589530247</c:v>
                </c:pt>
                <c:pt idx="1153">
                  <c:v>-3.9976265497845276</c:v>
                </c:pt>
                <c:pt idx="1154">
                  <c:v>9.1555418996444509</c:v>
                </c:pt>
                <c:pt idx="1155">
                  <c:v>9.1555418996444509</c:v>
                </c:pt>
                <c:pt idx="1156">
                  <c:v>14.416809279416043</c:v>
                </c:pt>
                <c:pt idx="1157">
                  <c:v>11.786175589530247</c:v>
                </c:pt>
                <c:pt idx="1158">
                  <c:v>14.416809279416043</c:v>
                </c:pt>
                <c:pt idx="1159">
                  <c:v>14.416809279416043</c:v>
                </c:pt>
                <c:pt idx="1160">
                  <c:v>-1.3669928598987333</c:v>
                </c:pt>
                <c:pt idx="1161">
                  <c:v>14.416809279416043</c:v>
                </c:pt>
                <c:pt idx="1162">
                  <c:v>14.416809279416043</c:v>
                </c:pt>
                <c:pt idx="1163">
                  <c:v>6.5249082097586548</c:v>
                </c:pt>
                <c:pt idx="1164">
                  <c:v>14.416809279416043</c:v>
                </c:pt>
                <c:pt idx="1165">
                  <c:v>14.416809279416043</c:v>
                </c:pt>
                <c:pt idx="1166">
                  <c:v>14.416809279416043</c:v>
                </c:pt>
                <c:pt idx="1167">
                  <c:v>14.416809279416043</c:v>
                </c:pt>
                <c:pt idx="1168">
                  <c:v>14.416809279416043</c:v>
                </c:pt>
                <c:pt idx="1169">
                  <c:v>14.416809279416043</c:v>
                </c:pt>
                <c:pt idx="1170">
                  <c:v>14.416809279416043</c:v>
                </c:pt>
                <c:pt idx="1171">
                  <c:v>14.416809279416043</c:v>
                </c:pt>
                <c:pt idx="1172">
                  <c:v>14.416809279416043</c:v>
                </c:pt>
                <c:pt idx="1173">
                  <c:v>14.416809279416043</c:v>
                </c:pt>
                <c:pt idx="1174">
                  <c:v>14.416809279416043</c:v>
                </c:pt>
                <c:pt idx="1175">
                  <c:v>14.416809279416043</c:v>
                </c:pt>
                <c:pt idx="1176">
                  <c:v>14.416809279416043</c:v>
                </c:pt>
                <c:pt idx="1177">
                  <c:v>14.416809279416043</c:v>
                </c:pt>
                <c:pt idx="1178">
                  <c:v>11.786175589530247</c:v>
                </c:pt>
                <c:pt idx="1179">
                  <c:v>14.416809279416043</c:v>
                </c:pt>
                <c:pt idx="1180">
                  <c:v>14.416809279416043</c:v>
                </c:pt>
                <c:pt idx="1181">
                  <c:v>14.416809279416043</c:v>
                </c:pt>
                <c:pt idx="1182">
                  <c:v>14.416809279416043</c:v>
                </c:pt>
                <c:pt idx="1183">
                  <c:v>14.416809279416043</c:v>
                </c:pt>
                <c:pt idx="1184">
                  <c:v>14.416809279416043</c:v>
                </c:pt>
                <c:pt idx="1185">
                  <c:v>14.416809279416043</c:v>
                </c:pt>
                <c:pt idx="1186">
                  <c:v>14.416809279416043</c:v>
                </c:pt>
                <c:pt idx="1187">
                  <c:v>1.2636408299870627</c:v>
                </c:pt>
                <c:pt idx="1188">
                  <c:v>9.1555418996444509</c:v>
                </c:pt>
                <c:pt idx="1189">
                  <c:v>-9.2588939295561232</c:v>
                </c:pt>
                <c:pt idx="1190">
                  <c:v>14.416809279416043</c:v>
                </c:pt>
                <c:pt idx="1191">
                  <c:v>9.1555418996444509</c:v>
                </c:pt>
                <c:pt idx="1192">
                  <c:v>3.8942745198728588</c:v>
                </c:pt>
                <c:pt idx="1193">
                  <c:v>6.5249082097586548</c:v>
                </c:pt>
                <c:pt idx="1194">
                  <c:v>3.8942745198728588</c:v>
                </c:pt>
                <c:pt idx="1195">
                  <c:v>14.416809279416043</c:v>
                </c:pt>
                <c:pt idx="1196">
                  <c:v>11.786175589530247</c:v>
                </c:pt>
                <c:pt idx="1197">
                  <c:v>14.416809279416043</c:v>
                </c:pt>
                <c:pt idx="1198">
                  <c:v>11.786175589530247</c:v>
                </c:pt>
                <c:pt idx="1199">
                  <c:v>14.416809279416043</c:v>
                </c:pt>
                <c:pt idx="1200">
                  <c:v>6.5249082097586548</c:v>
                </c:pt>
                <c:pt idx="1201">
                  <c:v>11.786175589530247</c:v>
                </c:pt>
                <c:pt idx="1202">
                  <c:v>6.5249082097586548</c:v>
                </c:pt>
                <c:pt idx="1203">
                  <c:v>14.416809279416043</c:v>
                </c:pt>
                <c:pt idx="1204">
                  <c:v>1.2636408299870627</c:v>
                </c:pt>
                <c:pt idx="1205">
                  <c:v>11.786175589530247</c:v>
                </c:pt>
                <c:pt idx="1206">
                  <c:v>3.8942745198728588</c:v>
                </c:pt>
                <c:pt idx="1207">
                  <c:v>11.786175589530247</c:v>
                </c:pt>
                <c:pt idx="1208">
                  <c:v>14.416809279416043</c:v>
                </c:pt>
                <c:pt idx="1209">
                  <c:v>6.5249082097586548</c:v>
                </c:pt>
                <c:pt idx="1210">
                  <c:v>14.416809279416043</c:v>
                </c:pt>
                <c:pt idx="1211">
                  <c:v>14.416809279416043</c:v>
                </c:pt>
                <c:pt idx="1212">
                  <c:v>14.416809279416043</c:v>
                </c:pt>
                <c:pt idx="1213">
                  <c:v>14.416809279416043</c:v>
                </c:pt>
                <c:pt idx="1214">
                  <c:v>11.786175589530247</c:v>
                </c:pt>
                <c:pt idx="1215">
                  <c:v>9.1555418996444509</c:v>
                </c:pt>
                <c:pt idx="1216">
                  <c:v>3.8942745198728588</c:v>
                </c:pt>
                <c:pt idx="1217">
                  <c:v>14.416809279416043</c:v>
                </c:pt>
                <c:pt idx="1218">
                  <c:v>11.786175589530247</c:v>
                </c:pt>
                <c:pt idx="1219">
                  <c:v>11.786175589530247</c:v>
                </c:pt>
                <c:pt idx="1220">
                  <c:v>6.5249082097586548</c:v>
                </c:pt>
                <c:pt idx="1221">
                  <c:v>14.416809279416043</c:v>
                </c:pt>
                <c:pt idx="1222">
                  <c:v>14.416809279416043</c:v>
                </c:pt>
                <c:pt idx="1223">
                  <c:v>14.416809279416043</c:v>
                </c:pt>
                <c:pt idx="1224">
                  <c:v>11.786175589530247</c:v>
                </c:pt>
                <c:pt idx="1225">
                  <c:v>14.416809279416043</c:v>
                </c:pt>
                <c:pt idx="1226">
                  <c:v>11.786175589530247</c:v>
                </c:pt>
                <c:pt idx="1227">
                  <c:v>14.416809279416043</c:v>
                </c:pt>
                <c:pt idx="1228">
                  <c:v>14.416809279416043</c:v>
                </c:pt>
                <c:pt idx="1229">
                  <c:v>14.416809279416043</c:v>
                </c:pt>
                <c:pt idx="1230">
                  <c:v>14.416809279416043</c:v>
                </c:pt>
                <c:pt idx="1231">
                  <c:v>14.416809279416043</c:v>
                </c:pt>
                <c:pt idx="1232">
                  <c:v>6.5249082097586548</c:v>
                </c:pt>
                <c:pt idx="1233">
                  <c:v>9.1555418996444509</c:v>
                </c:pt>
                <c:pt idx="1234">
                  <c:v>11.786175589530247</c:v>
                </c:pt>
                <c:pt idx="1235">
                  <c:v>14.416809279416043</c:v>
                </c:pt>
                <c:pt idx="1236">
                  <c:v>3.8942745198728588</c:v>
                </c:pt>
                <c:pt idx="1237">
                  <c:v>3.8942745198728588</c:v>
                </c:pt>
                <c:pt idx="1238">
                  <c:v>6.5249082097586548</c:v>
                </c:pt>
                <c:pt idx="1239">
                  <c:v>14.416809279416043</c:v>
                </c:pt>
                <c:pt idx="1240">
                  <c:v>14.416809279416043</c:v>
                </c:pt>
                <c:pt idx="1241">
                  <c:v>14.416809279416043</c:v>
                </c:pt>
                <c:pt idx="1242">
                  <c:v>14.416809279416043</c:v>
                </c:pt>
                <c:pt idx="1243">
                  <c:v>11.786175589530247</c:v>
                </c:pt>
                <c:pt idx="1244">
                  <c:v>11.786175589530247</c:v>
                </c:pt>
                <c:pt idx="1245">
                  <c:v>11.786175589530247</c:v>
                </c:pt>
                <c:pt idx="1246">
                  <c:v>11.786175589530247</c:v>
                </c:pt>
                <c:pt idx="1247">
                  <c:v>14.416809279416043</c:v>
                </c:pt>
                <c:pt idx="1248">
                  <c:v>11.786175589530247</c:v>
                </c:pt>
                <c:pt idx="1249">
                  <c:v>11.786175589530247</c:v>
                </c:pt>
                <c:pt idx="1250">
                  <c:v>6.5249082097586548</c:v>
                </c:pt>
                <c:pt idx="1251">
                  <c:v>6.5249082097586548</c:v>
                </c:pt>
                <c:pt idx="1252">
                  <c:v>14.416809279416043</c:v>
                </c:pt>
                <c:pt idx="1253">
                  <c:v>14.416809279416043</c:v>
                </c:pt>
                <c:pt idx="1254">
                  <c:v>14.416809279416043</c:v>
                </c:pt>
                <c:pt idx="1255">
                  <c:v>14.416809279416043</c:v>
                </c:pt>
                <c:pt idx="1256">
                  <c:v>11.786175589530247</c:v>
                </c:pt>
                <c:pt idx="1257">
                  <c:v>14.416809279416043</c:v>
                </c:pt>
                <c:pt idx="1258">
                  <c:v>14.416809279416043</c:v>
                </c:pt>
                <c:pt idx="1259">
                  <c:v>14.416809279416043</c:v>
                </c:pt>
                <c:pt idx="1260">
                  <c:v>14.416809279416043</c:v>
                </c:pt>
                <c:pt idx="1261">
                  <c:v>14.416809279416043</c:v>
                </c:pt>
                <c:pt idx="1262">
                  <c:v>14.416809279416043</c:v>
                </c:pt>
                <c:pt idx="1263">
                  <c:v>14.416809279416043</c:v>
                </c:pt>
                <c:pt idx="1264">
                  <c:v>14.416809279416043</c:v>
                </c:pt>
                <c:pt idx="1265">
                  <c:v>14.416809279416043</c:v>
                </c:pt>
                <c:pt idx="1266">
                  <c:v>14.416809279416043</c:v>
                </c:pt>
                <c:pt idx="1267">
                  <c:v>14.416809279416043</c:v>
                </c:pt>
                <c:pt idx="1268">
                  <c:v>14.416809279416043</c:v>
                </c:pt>
                <c:pt idx="1269">
                  <c:v>14.416809279416043</c:v>
                </c:pt>
                <c:pt idx="1270">
                  <c:v>14.416809279416043</c:v>
                </c:pt>
                <c:pt idx="1271">
                  <c:v>14.416809279416043</c:v>
                </c:pt>
                <c:pt idx="1272">
                  <c:v>14.416809279416043</c:v>
                </c:pt>
                <c:pt idx="1273">
                  <c:v>14.416809279416043</c:v>
                </c:pt>
                <c:pt idx="1274">
                  <c:v>14.416809279416043</c:v>
                </c:pt>
                <c:pt idx="1275">
                  <c:v>14.416809279416043</c:v>
                </c:pt>
                <c:pt idx="1276">
                  <c:v>14.416809279416043</c:v>
                </c:pt>
                <c:pt idx="1277">
                  <c:v>14.416809279416043</c:v>
                </c:pt>
                <c:pt idx="1278">
                  <c:v>14.416809279416043</c:v>
                </c:pt>
                <c:pt idx="1279">
                  <c:v>14.416809279416043</c:v>
                </c:pt>
                <c:pt idx="1280">
                  <c:v>6.5249082097586548</c:v>
                </c:pt>
                <c:pt idx="1281">
                  <c:v>14.416809279416043</c:v>
                </c:pt>
                <c:pt idx="1282">
                  <c:v>1.2636408299870627</c:v>
                </c:pt>
                <c:pt idx="1283">
                  <c:v>9.1555418996444509</c:v>
                </c:pt>
                <c:pt idx="1284">
                  <c:v>9.1555418996444509</c:v>
                </c:pt>
                <c:pt idx="1285">
                  <c:v>11.786175589530247</c:v>
                </c:pt>
                <c:pt idx="1286">
                  <c:v>1.2636408299870627</c:v>
                </c:pt>
                <c:pt idx="1287">
                  <c:v>14.416809279416043</c:v>
                </c:pt>
                <c:pt idx="1288">
                  <c:v>14.416809279416043</c:v>
                </c:pt>
                <c:pt idx="1289">
                  <c:v>14.416809279416043</c:v>
                </c:pt>
                <c:pt idx="1290">
                  <c:v>6.5249082097586548</c:v>
                </c:pt>
                <c:pt idx="1291">
                  <c:v>11.786175589530247</c:v>
                </c:pt>
                <c:pt idx="1292">
                  <c:v>3.8942745198728588</c:v>
                </c:pt>
                <c:pt idx="1293">
                  <c:v>11.786175589530247</c:v>
                </c:pt>
                <c:pt idx="1294">
                  <c:v>9.1555418996444509</c:v>
                </c:pt>
                <c:pt idx="1295">
                  <c:v>14.416809279416043</c:v>
                </c:pt>
                <c:pt idx="1296">
                  <c:v>14.416809279416043</c:v>
                </c:pt>
                <c:pt idx="1297">
                  <c:v>9.1555418996444509</c:v>
                </c:pt>
                <c:pt idx="1298">
                  <c:v>6.5249082097586548</c:v>
                </c:pt>
                <c:pt idx="1299">
                  <c:v>14.416809279416043</c:v>
                </c:pt>
                <c:pt idx="1300">
                  <c:v>14.416809279416043</c:v>
                </c:pt>
                <c:pt idx="1301">
                  <c:v>14.416809279416043</c:v>
                </c:pt>
                <c:pt idx="1302">
                  <c:v>14.416809279416043</c:v>
                </c:pt>
                <c:pt idx="1303">
                  <c:v>11.786175589530247</c:v>
                </c:pt>
                <c:pt idx="1304">
                  <c:v>14.416809279416043</c:v>
                </c:pt>
                <c:pt idx="1305">
                  <c:v>9.1555418996444509</c:v>
                </c:pt>
                <c:pt idx="1306">
                  <c:v>-3.9976265497845276</c:v>
                </c:pt>
                <c:pt idx="1307">
                  <c:v>14.416809279416043</c:v>
                </c:pt>
                <c:pt idx="1308">
                  <c:v>14.416809279416043</c:v>
                </c:pt>
                <c:pt idx="1309">
                  <c:v>6.5249082097586548</c:v>
                </c:pt>
                <c:pt idx="1310">
                  <c:v>6.5249082097586548</c:v>
                </c:pt>
                <c:pt idx="1311">
                  <c:v>11.786175589530247</c:v>
                </c:pt>
                <c:pt idx="1312">
                  <c:v>14.416809279416043</c:v>
                </c:pt>
                <c:pt idx="1313">
                  <c:v>1.2636408299870627</c:v>
                </c:pt>
                <c:pt idx="1314">
                  <c:v>11.786175589530247</c:v>
                </c:pt>
                <c:pt idx="1315">
                  <c:v>11.786175589530247</c:v>
                </c:pt>
                <c:pt idx="1316">
                  <c:v>14.416809279416043</c:v>
                </c:pt>
                <c:pt idx="1317">
                  <c:v>11.786175589530247</c:v>
                </c:pt>
                <c:pt idx="1318">
                  <c:v>14.416809279416043</c:v>
                </c:pt>
                <c:pt idx="1319">
                  <c:v>11.786175589530247</c:v>
                </c:pt>
                <c:pt idx="1320">
                  <c:v>14.416809279416043</c:v>
                </c:pt>
                <c:pt idx="1321">
                  <c:v>14.416809279416043</c:v>
                </c:pt>
                <c:pt idx="1322">
                  <c:v>6.5249082097586548</c:v>
                </c:pt>
                <c:pt idx="1323">
                  <c:v>6.5249082097586548</c:v>
                </c:pt>
                <c:pt idx="1324">
                  <c:v>11.786175589530247</c:v>
                </c:pt>
                <c:pt idx="1325">
                  <c:v>14.416809279416043</c:v>
                </c:pt>
                <c:pt idx="1326">
                  <c:v>14.416809279416043</c:v>
                </c:pt>
                <c:pt idx="1327">
                  <c:v>6.5249082097586548</c:v>
                </c:pt>
                <c:pt idx="1328">
                  <c:v>11.786175589530247</c:v>
                </c:pt>
                <c:pt idx="1329">
                  <c:v>11.786175589530247</c:v>
                </c:pt>
                <c:pt idx="1330">
                  <c:v>6.5249082097586548</c:v>
                </c:pt>
                <c:pt idx="1331">
                  <c:v>14.416809279416043</c:v>
                </c:pt>
                <c:pt idx="1332">
                  <c:v>11.786175589530247</c:v>
                </c:pt>
                <c:pt idx="1333">
                  <c:v>11.786175589530247</c:v>
                </c:pt>
                <c:pt idx="1334">
                  <c:v>14.416809279416043</c:v>
                </c:pt>
                <c:pt idx="1335">
                  <c:v>14.416809279416043</c:v>
                </c:pt>
                <c:pt idx="1336">
                  <c:v>9.1555418996444509</c:v>
                </c:pt>
                <c:pt idx="1337">
                  <c:v>9.1555418996444509</c:v>
                </c:pt>
                <c:pt idx="1338">
                  <c:v>14.416809279416043</c:v>
                </c:pt>
                <c:pt idx="1339">
                  <c:v>11.786175589530247</c:v>
                </c:pt>
                <c:pt idx="1340">
                  <c:v>6.5249082097586548</c:v>
                </c:pt>
                <c:pt idx="1341">
                  <c:v>3.8942745198728588</c:v>
                </c:pt>
                <c:pt idx="1342">
                  <c:v>6.5249082097586548</c:v>
                </c:pt>
                <c:pt idx="1343">
                  <c:v>14.416809279416043</c:v>
                </c:pt>
                <c:pt idx="1344">
                  <c:v>11.786175589530247</c:v>
                </c:pt>
                <c:pt idx="1345">
                  <c:v>14.416809279416043</c:v>
                </c:pt>
                <c:pt idx="1346">
                  <c:v>14.416809279416043</c:v>
                </c:pt>
                <c:pt idx="1347">
                  <c:v>11.786175589530247</c:v>
                </c:pt>
                <c:pt idx="1348">
                  <c:v>14.416809279416043</c:v>
                </c:pt>
                <c:pt idx="1349">
                  <c:v>14.416809279416043</c:v>
                </c:pt>
                <c:pt idx="1350">
                  <c:v>14.416809279416043</c:v>
                </c:pt>
                <c:pt idx="1351">
                  <c:v>14.416809279416043</c:v>
                </c:pt>
                <c:pt idx="1352">
                  <c:v>14.416809279416043</c:v>
                </c:pt>
                <c:pt idx="1353">
                  <c:v>14.416809279416043</c:v>
                </c:pt>
                <c:pt idx="1354">
                  <c:v>14.416809279416043</c:v>
                </c:pt>
                <c:pt idx="1355">
                  <c:v>14.416809279416043</c:v>
                </c:pt>
                <c:pt idx="1356">
                  <c:v>14.416809279416043</c:v>
                </c:pt>
                <c:pt idx="1357">
                  <c:v>14.416809279416043</c:v>
                </c:pt>
                <c:pt idx="1358">
                  <c:v>14.416809279416043</c:v>
                </c:pt>
                <c:pt idx="1359">
                  <c:v>14.416809279416043</c:v>
                </c:pt>
                <c:pt idx="1360">
                  <c:v>14.416809279416043</c:v>
                </c:pt>
                <c:pt idx="1361">
                  <c:v>14.416809279416043</c:v>
                </c:pt>
                <c:pt idx="1362">
                  <c:v>14.416809279416043</c:v>
                </c:pt>
                <c:pt idx="1363">
                  <c:v>14.416809279416043</c:v>
                </c:pt>
                <c:pt idx="1364">
                  <c:v>14.416809279416043</c:v>
                </c:pt>
                <c:pt idx="1365">
                  <c:v>14.416809279416043</c:v>
                </c:pt>
                <c:pt idx="1366">
                  <c:v>14.416809279416043</c:v>
                </c:pt>
                <c:pt idx="1367">
                  <c:v>14.416809279416043</c:v>
                </c:pt>
                <c:pt idx="1368">
                  <c:v>14.416809279416043</c:v>
                </c:pt>
                <c:pt idx="1369">
                  <c:v>14.416809279416043</c:v>
                </c:pt>
                <c:pt idx="1370">
                  <c:v>14.416809279416043</c:v>
                </c:pt>
                <c:pt idx="1371">
                  <c:v>3.8942745198728588</c:v>
                </c:pt>
                <c:pt idx="1372">
                  <c:v>11.786175589530247</c:v>
                </c:pt>
                <c:pt idx="1373">
                  <c:v>14.416809279416043</c:v>
                </c:pt>
                <c:pt idx="1374">
                  <c:v>14.416809279416043</c:v>
                </c:pt>
                <c:pt idx="1375">
                  <c:v>14.416809279416043</c:v>
                </c:pt>
                <c:pt idx="1376">
                  <c:v>6.5249082097586548</c:v>
                </c:pt>
                <c:pt idx="1377">
                  <c:v>11.786175589530247</c:v>
                </c:pt>
                <c:pt idx="1378">
                  <c:v>11.786175589530247</c:v>
                </c:pt>
                <c:pt idx="1379">
                  <c:v>14.416809279416043</c:v>
                </c:pt>
                <c:pt idx="1380">
                  <c:v>11.786175589530247</c:v>
                </c:pt>
                <c:pt idx="1381">
                  <c:v>6.5249082097586548</c:v>
                </c:pt>
                <c:pt idx="1382">
                  <c:v>-1.3669928598987333</c:v>
                </c:pt>
                <c:pt idx="1383">
                  <c:v>14.416809279416043</c:v>
                </c:pt>
                <c:pt idx="1384">
                  <c:v>6.5249082097586548</c:v>
                </c:pt>
                <c:pt idx="1385">
                  <c:v>9.1555418996444509</c:v>
                </c:pt>
                <c:pt idx="1386">
                  <c:v>14.416809279416043</c:v>
                </c:pt>
                <c:pt idx="1387">
                  <c:v>9.1555418996444509</c:v>
                </c:pt>
                <c:pt idx="1388">
                  <c:v>14.416809279416043</c:v>
                </c:pt>
                <c:pt idx="1389">
                  <c:v>14.416809279416043</c:v>
                </c:pt>
                <c:pt idx="1390">
                  <c:v>9.1555418996444509</c:v>
                </c:pt>
                <c:pt idx="1391">
                  <c:v>14.416809279416043</c:v>
                </c:pt>
                <c:pt idx="1392">
                  <c:v>14.416809279416043</c:v>
                </c:pt>
                <c:pt idx="1393">
                  <c:v>14.416809279416043</c:v>
                </c:pt>
                <c:pt idx="1394">
                  <c:v>14.416809279416043</c:v>
                </c:pt>
                <c:pt idx="1395">
                  <c:v>14.416809279416043</c:v>
                </c:pt>
                <c:pt idx="1396">
                  <c:v>1.2636408299870627</c:v>
                </c:pt>
                <c:pt idx="1397">
                  <c:v>6.5249082097586548</c:v>
                </c:pt>
                <c:pt idx="1398">
                  <c:v>6.5249082097586548</c:v>
                </c:pt>
                <c:pt idx="1399">
                  <c:v>11.786175589530247</c:v>
                </c:pt>
                <c:pt idx="1400">
                  <c:v>3.8942745198728588</c:v>
                </c:pt>
                <c:pt idx="1401">
                  <c:v>14.416809279416043</c:v>
                </c:pt>
                <c:pt idx="1402">
                  <c:v>11.786175589530247</c:v>
                </c:pt>
                <c:pt idx="1403">
                  <c:v>11.786175589530247</c:v>
                </c:pt>
                <c:pt idx="1404">
                  <c:v>14.416809279416043</c:v>
                </c:pt>
                <c:pt idx="1405">
                  <c:v>11.786175589530247</c:v>
                </c:pt>
                <c:pt idx="1406">
                  <c:v>11.786175589530247</c:v>
                </c:pt>
                <c:pt idx="1407">
                  <c:v>14.416809279416043</c:v>
                </c:pt>
                <c:pt idx="1408">
                  <c:v>11.786175589530247</c:v>
                </c:pt>
                <c:pt idx="1409">
                  <c:v>11.786175589530247</c:v>
                </c:pt>
                <c:pt idx="1410">
                  <c:v>14.416809279416043</c:v>
                </c:pt>
                <c:pt idx="1411">
                  <c:v>14.416809279416043</c:v>
                </c:pt>
                <c:pt idx="1412">
                  <c:v>11.786175589530247</c:v>
                </c:pt>
                <c:pt idx="1413">
                  <c:v>11.786175589530247</c:v>
                </c:pt>
                <c:pt idx="1414">
                  <c:v>-3.9976265497845276</c:v>
                </c:pt>
                <c:pt idx="1415">
                  <c:v>11.786175589530247</c:v>
                </c:pt>
                <c:pt idx="1416">
                  <c:v>9.1555418996444509</c:v>
                </c:pt>
                <c:pt idx="1417">
                  <c:v>-1.3669928598987333</c:v>
                </c:pt>
                <c:pt idx="1418">
                  <c:v>9.1555418996444509</c:v>
                </c:pt>
                <c:pt idx="1419">
                  <c:v>9.1555418996444509</c:v>
                </c:pt>
                <c:pt idx="1420">
                  <c:v>11.786175589530247</c:v>
                </c:pt>
                <c:pt idx="1421">
                  <c:v>14.416809279416043</c:v>
                </c:pt>
                <c:pt idx="1422">
                  <c:v>14.416809279416043</c:v>
                </c:pt>
                <c:pt idx="1423">
                  <c:v>14.416809279416043</c:v>
                </c:pt>
                <c:pt idx="1424">
                  <c:v>9.1555418996444509</c:v>
                </c:pt>
                <c:pt idx="1425">
                  <c:v>9.1555418996444509</c:v>
                </c:pt>
                <c:pt idx="1426">
                  <c:v>14.416809279416043</c:v>
                </c:pt>
                <c:pt idx="1427">
                  <c:v>-1.3669928598987333</c:v>
                </c:pt>
                <c:pt idx="1428">
                  <c:v>9.1555418996444509</c:v>
                </c:pt>
                <c:pt idx="1429">
                  <c:v>14.416809279416043</c:v>
                </c:pt>
                <c:pt idx="1430">
                  <c:v>14.416809279416043</c:v>
                </c:pt>
                <c:pt idx="1431">
                  <c:v>9.1555418996444509</c:v>
                </c:pt>
                <c:pt idx="1432">
                  <c:v>14.416809279416043</c:v>
                </c:pt>
                <c:pt idx="1433">
                  <c:v>3.8942745198728588</c:v>
                </c:pt>
                <c:pt idx="1434">
                  <c:v>11.786175589530247</c:v>
                </c:pt>
                <c:pt idx="1435">
                  <c:v>14.416809279416043</c:v>
                </c:pt>
                <c:pt idx="1436">
                  <c:v>14.416809279416043</c:v>
                </c:pt>
                <c:pt idx="1437">
                  <c:v>14.416809279416043</c:v>
                </c:pt>
                <c:pt idx="1438">
                  <c:v>11.786175589530247</c:v>
                </c:pt>
                <c:pt idx="1439">
                  <c:v>14.416809279416043</c:v>
                </c:pt>
                <c:pt idx="1440">
                  <c:v>14.416809279416043</c:v>
                </c:pt>
                <c:pt idx="1441">
                  <c:v>14.416809279416043</c:v>
                </c:pt>
                <c:pt idx="1442">
                  <c:v>14.416809279416043</c:v>
                </c:pt>
                <c:pt idx="1443">
                  <c:v>14.416809279416043</c:v>
                </c:pt>
                <c:pt idx="1444">
                  <c:v>14.416809279416043</c:v>
                </c:pt>
                <c:pt idx="1445">
                  <c:v>14.416809279416043</c:v>
                </c:pt>
                <c:pt idx="1446">
                  <c:v>14.416809279416043</c:v>
                </c:pt>
                <c:pt idx="1447">
                  <c:v>14.416809279416043</c:v>
                </c:pt>
                <c:pt idx="1448">
                  <c:v>14.416809279416043</c:v>
                </c:pt>
                <c:pt idx="1449">
                  <c:v>14.416809279416043</c:v>
                </c:pt>
                <c:pt idx="1450">
                  <c:v>14.416809279416043</c:v>
                </c:pt>
                <c:pt idx="1451">
                  <c:v>14.416809279416043</c:v>
                </c:pt>
                <c:pt idx="1452">
                  <c:v>14.416809279416043</c:v>
                </c:pt>
                <c:pt idx="1453">
                  <c:v>14.416809279416043</c:v>
                </c:pt>
                <c:pt idx="1454">
                  <c:v>14.416809279416043</c:v>
                </c:pt>
                <c:pt idx="1455">
                  <c:v>14.416809279416043</c:v>
                </c:pt>
                <c:pt idx="1456">
                  <c:v>14.416809279416043</c:v>
                </c:pt>
                <c:pt idx="1457">
                  <c:v>14.416809279416043</c:v>
                </c:pt>
                <c:pt idx="1458">
                  <c:v>14.416809279416043</c:v>
                </c:pt>
                <c:pt idx="1459">
                  <c:v>14.416809279416043</c:v>
                </c:pt>
                <c:pt idx="1460">
                  <c:v>14.416809279416043</c:v>
                </c:pt>
                <c:pt idx="1461">
                  <c:v>14.416809279416043</c:v>
                </c:pt>
                <c:pt idx="1462">
                  <c:v>14.416809279416043</c:v>
                </c:pt>
                <c:pt idx="1463">
                  <c:v>14.416809279416043</c:v>
                </c:pt>
                <c:pt idx="1464">
                  <c:v>9.1555418996444509</c:v>
                </c:pt>
                <c:pt idx="1465">
                  <c:v>9.1555418996444509</c:v>
                </c:pt>
                <c:pt idx="1466">
                  <c:v>11.786175589530247</c:v>
                </c:pt>
                <c:pt idx="1467">
                  <c:v>14.416809279416043</c:v>
                </c:pt>
                <c:pt idx="1468">
                  <c:v>14.416809279416043</c:v>
                </c:pt>
                <c:pt idx="1469">
                  <c:v>6.5249082097586548</c:v>
                </c:pt>
                <c:pt idx="1470">
                  <c:v>14.416809279416043</c:v>
                </c:pt>
                <c:pt idx="1471">
                  <c:v>14.416809279416043</c:v>
                </c:pt>
                <c:pt idx="1472">
                  <c:v>14.416809279416043</c:v>
                </c:pt>
                <c:pt idx="1473">
                  <c:v>9.1555418996444509</c:v>
                </c:pt>
                <c:pt idx="1474">
                  <c:v>9.1555418996444509</c:v>
                </c:pt>
                <c:pt idx="1475">
                  <c:v>14.416809279416043</c:v>
                </c:pt>
                <c:pt idx="1476">
                  <c:v>14.416809279416043</c:v>
                </c:pt>
                <c:pt idx="1477">
                  <c:v>14.416809279416043</c:v>
                </c:pt>
                <c:pt idx="1478">
                  <c:v>9.1555418996444509</c:v>
                </c:pt>
                <c:pt idx="1479">
                  <c:v>14.416809279416043</c:v>
                </c:pt>
                <c:pt idx="1480">
                  <c:v>14.416809279416043</c:v>
                </c:pt>
                <c:pt idx="1481">
                  <c:v>11.786175589530247</c:v>
                </c:pt>
                <c:pt idx="1482">
                  <c:v>14.416809279416043</c:v>
                </c:pt>
                <c:pt idx="1483">
                  <c:v>14.416809279416043</c:v>
                </c:pt>
                <c:pt idx="1484">
                  <c:v>14.416809279416043</c:v>
                </c:pt>
                <c:pt idx="1485">
                  <c:v>9.1555418996444509</c:v>
                </c:pt>
                <c:pt idx="1486">
                  <c:v>14.416809279416043</c:v>
                </c:pt>
                <c:pt idx="1487">
                  <c:v>-1.3669928598987333</c:v>
                </c:pt>
                <c:pt idx="1488">
                  <c:v>9.1555418996444509</c:v>
                </c:pt>
                <c:pt idx="1489">
                  <c:v>11.786175589530247</c:v>
                </c:pt>
                <c:pt idx="1490">
                  <c:v>11.786175589530247</c:v>
                </c:pt>
                <c:pt idx="1491">
                  <c:v>14.416809279416043</c:v>
                </c:pt>
                <c:pt idx="1492">
                  <c:v>11.786175589530247</c:v>
                </c:pt>
                <c:pt idx="1493">
                  <c:v>14.416809279416043</c:v>
                </c:pt>
                <c:pt idx="1494">
                  <c:v>14.416809279416043</c:v>
                </c:pt>
                <c:pt idx="1495">
                  <c:v>14.416809279416043</c:v>
                </c:pt>
                <c:pt idx="1496">
                  <c:v>14.416809279416043</c:v>
                </c:pt>
                <c:pt idx="1497">
                  <c:v>11.786175589530247</c:v>
                </c:pt>
                <c:pt idx="1498">
                  <c:v>14.416809279416043</c:v>
                </c:pt>
                <c:pt idx="1499">
                  <c:v>6.5249082097586548</c:v>
                </c:pt>
                <c:pt idx="1500">
                  <c:v>14.416809279416043</c:v>
                </c:pt>
                <c:pt idx="1501">
                  <c:v>14.416809279416043</c:v>
                </c:pt>
                <c:pt idx="1502">
                  <c:v>14.416809279416043</c:v>
                </c:pt>
                <c:pt idx="1503">
                  <c:v>14.416809279416043</c:v>
                </c:pt>
                <c:pt idx="1504">
                  <c:v>14.416809279416043</c:v>
                </c:pt>
                <c:pt idx="1505">
                  <c:v>9.1555418996444509</c:v>
                </c:pt>
                <c:pt idx="1506">
                  <c:v>14.416809279416043</c:v>
                </c:pt>
                <c:pt idx="1507">
                  <c:v>9.1555418996444509</c:v>
                </c:pt>
                <c:pt idx="1508">
                  <c:v>9.1555418996444509</c:v>
                </c:pt>
                <c:pt idx="1509">
                  <c:v>3.8942745198728588</c:v>
                </c:pt>
                <c:pt idx="1510">
                  <c:v>6.5249082097586548</c:v>
                </c:pt>
                <c:pt idx="1511">
                  <c:v>14.416809279416043</c:v>
                </c:pt>
                <c:pt idx="1512">
                  <c:v>9.1555418996444509</c:v>
                </c:pt>
                <c:pt idx="1513">
                  <c:v>11.786175589530247</c:v>
                </c:pt>
                <c:pt idx="1514">
                  <c:v>14.416809279416043</c:v>
                </c:pt>
                <c:pt idx="1515">
                  <c:v>14.416809279416043</c:v>
                </c:pt>
                <c:pt idx="1516">
                  <c:v>6.5249082097586548</c:v>
                </c:pt>
                <c:pt idx="1517">
                  <c:v>11.786175589530247</c:v>
                </c:pt>
                <c:pt idx="1518">
                  <c:v>14.416809279416043</c:v>
                </c:pt>
                <c:pt idx="1519">
                  <c:v>11.786175589530247</c:v>
                </c:pt>
                <c:pt idx="1520">
                  <c:v>3.8942745198728588</c:v>
                </c:pt>
                <c:pt idx="1521">
                  <c:v>9.1555418996444509</c:v>
                </c:pt>
                <c:pt idx="1522">
                  <c:v>14.416809279416043</c:v>
                </c:pt>
                <c:pt idx="1523">
                  <c:v>9.1555418996444509</c:v>
                </c:pt>
                <c:pt idx="1524">
                  <c:v>11.786175589530247</c:v>
                </c:pt>
                <c:pt idx="1525">
                  <c:v>14.416809279416043</c:v>
                </c:pt>
                <c:pt idx="1526">
                  <c:v>11.786175589530247</c:v>
                </c:pt>
                <c:pt idx="1527">
                  <c:v>14.416809279416043</c:v>
                </c:pt>
                <c:pt idx="1528">
                  <c:v>14.416809279416043</c:v>
                </c:pt>
                <c:pt idx="1529">
                  <c:v>14.416809279416043</c:v>
                </c:pt>
                <c:pt idx="1530">
                  <c:v>14.416809279416043</c:v>
                </c:pt>
                <c:pt idx="1531">
                  <c:v>14.416809279416043</c:v>
                </c:pt>
                <c:pt idx="1532">
                  <c:v>14.416809279416043</c:v>
                </c:pt>
                <c:pt idx="1533">
                  <c:v>14.416809279416043</c:v>
                </c:pt>
                <c:pt idx="1534">
                  <c:v>14.416809279416043</c:v>
                </c:pt>
                <c:pt idx="1535">
                  <c:v>14.416809279416043</c:v>
                </c:pt>
                <c:pt idx="1536">
                  <c:v>14.416809279416043</c:v>
                </c:pt>
                <c:pt idx="1537">
                  <c:v>14.416809279416043</c:v>
                </c:pt>
                <c:pt idx="1538">
                  <c:v>14.416809279416043</c:v>
                </c:pt>
                <c:pt idx="1539">
                  <c:v>14.416809279416043</c:v>
                </c:pt>
                <c:pt idx="1540">
                  <c:v>14.416809279416043</c:v>
                </c:pt>
                <c:pt idx="1541">
                  <c:v>14.416809279416043</c:v>
                </c:pt>
                <c:pt idx="1542">
                  <c:v>14.416809279416043</c:v>
                </c:pt>
                <c:pt idx="1543">
                  <c:v>14.416809279416043</c:v>
                </c:pt>
                <c:pt idx="1544">
                  <c:v>14.416809279416043</c:v>
                </c:pt>
                <c:pt idx="1545">
                  <c:v>14.416809279416043</c:v>
                </c:pt>
                <c:pt idx="1546">
                  <c:v>14.416809279416043</c:v>
                </c:pt>
                <c:pt idx="1547">
                  <c:v>14.416809279416043</c:v>
                </c:pt>
                <c:pt idx="1548">
                  <c:v>14.416809279416043</c:v>
                </c:pt>
                <c:pt idx="1549">
                  <c:v>11.786175589530247</c:v>
                </c:pt>
                <c:pt idx="1550">
                  <c:v>14.416809279416043</c:v>
                </c:pt>
                <c:pt idx="1551">
                  <c:v>6.5249082097586548</c:v>
                </c:pt>
                <c:pt idx="1552">
                  <c:v>9.1555418996444509</c:v>
                </c:pt>
                <c:pt idx="1553">
                  <c:v>9.1555418996444509</c:v>
                </c:pt>
                <c:pt idx="1554">
                  <c:v>14.416809279416043</c:v>
                </c:pt>
                <c:pt idx="1555">
                  <c:v>6.5249082097586548</c:v>
                </c:pt>
                <c:pt idx="1556">
                  <c:v>9.1555418996444509</c:v>
                </c:pt>
                <c:pt idx="1557">
                  <c:v>14.416809279416043</c:v>
                </c:pt>
                <c:pt idx="1558">
                  <c:v>14.416809279416043</c:v>
                </c:pt>
                <c:pt idx="1559">
                  <c:v>11.786175589530247</c:v>
                </c:pt>
                <c:pt idx="1560">
                  <c:v>11.786175589530247</c:v>
                </c:pt>
                <c:pt idx="1561">
                  <c:v>11.786175589530247</c:v>
                </c:pt>
                <c:pt idx="1562">
                  <c:v>14.416809279416043</c:v>
                </c:pt>
                <c:pt idx="1563">
                  <c:v>9.1555418996444509</c:v>
                </c:pt>
                <c:pt idx="1564">
                  <c:v>3.8942745198728588</c:v>
                </c:pt>
                <c:pt idx="1565">
                  <c:v>3.8942745198728588</c:v>
                </c:pt>
                <c:pt idx="1566">
                  <c:v>11.786175589530247</c:v>
                </c:pt>
                <c:pt idx="1567">
                  <c:v>9.1555418996444509</c:v>
                </c:pt>
                <c:pt idx="1568">
                  <c:v>14.416809279416043</c:v>
                </c:pt>
                <c:pt idx="1569">
                  <c:v>11.786175589530247</c:v>
                </c:pt>
                <c:pt idx="1570">
                  <c:v>14.416809279416043</c:v>
                </c:pt>
                <c:pt idx="1571">
                  <c:v>11.786175589530247</c:v>
                </c:pt>
                <c:pt idx="1572">
                  <c:v>9.1555418996444509</c:v>
                </c:pt>
                <c:pt idx="1573">
                  <c:v>9.1555418996444509</c:v>
                </c:pt>
                <c:pt idx="1574">
                  <c:v>9.1555418996444509</c:v>
                </c:pt>
                <c:pt idx="1575">
                  <c:v>14.416809279416043</c:v>
                </c:pt>
                <c:pt idx="1576">
                  <c:v>11.786175589530247</c:v>
                </c:pt>
                <c:pt idx="1577">
                  <c:v>6.5249082097586548</c:v>
                </c:pt>
                <c:pt idx="1578">
                  <c:v>11.786175589530247</c:v>
                </c:pt>
                <c:pt idx="1579">
                  <c:v>3.8942745198728588</c:v>
                </c:pt>
                <c:pt idx="1580">
                  <c:v>14.416809279416043</c:v>
                </c:pt>
                <c:pt idx="1581">
                  <c:v>14.416809279416043</c:v>
                </c:pt>
                <c:pt idx="1582">
                  <c:v>14.416809279416043</c:v>
                </c:pt>
                <c:pt idx="1583">
                  <c:v>6.5249082097586548</c:v>
                </c:pt>
                <c:pt idx="1584">
                  <c:v>14.416809279416043</c:v>
                </c:pt>
                <c:pt idx="1585">
                  <c:v>14.416809279416043</c:v>
                </c:pt>
                <c:pt idx="1586">
                  <c:v>14.416809279416043</c:v>
                </c:pt>
                <c:pt idx="1587">
                  <c:v>11.786175589530247</c:v>
                </c:pt>
                <c:pt idx="1588">
                  <c:v>14.416809279416043</c:v>
                </c:pt>
                <c:pt idx="1589">
                  <c:v>14.416809279416043</c:v>
                </c:pt>
                <c:pt idx="1590">
                  <c:v>14.416809279416043</c:v>
                </c:pt>
                <c:pt idx="1591">
                  <c:v>14.416809279416043</c:v>
                </c:pt>
                <c:pt idx="1592">
                  <c:v>14.416809279416043</c:v>
                </c:pt>
                <c:pt idx="1593">
                  <c:v>9.1555418996444509</c:v>
                </c:pt>
                <c:pt idx="1594">
                  <c:v>14.416809279416043</c:v>
                </c:pt>
                <c:pt idx="1595">
                  <c:v>11.786175589530247</c:v>
                </c:pt>
                <c:pt idx="1596">
                  <c:v>14.416809279416043</c:v>
                </c:pt>
                <c:pt idx="1597">
                  <c:v>6.5249082097586548</c:v>
                </c:pt>
                <c:pt idx="1598">
                  <c:v>11.786175589530247</c:v>
                </c:pt>
                <c:pt idx="1599">
                  <c:v>9.1555418996444509</c:v>
                </c:pt>
                <c:pt idx="1600">
                  <c:v>3.8942745198728588</c:v>
                </c:pt>
                <c:pt idx="1601">
                  <c:v>14.416809279416043</c:v>
                </c:pt>
                <c:pt idx="1602">
                  <c:v>14.416809279416043</c:v>
                </c:pt>
                <c:pt idx="1603">
                  <c:v>11.786175589530247</c:v>
                </c:pt>
                <c:pt idx="1604">
                  <c:v>6.5249082097586548</c:v>
                </c:pt>
                <c:pt idx="1605">
                  <c:v>11.786175589530247</c:v>
                </c:pt>
                <c:pt idx="1606">
                  <c:v>14.416809279416043</c:v>
                </c:pt>
                <c:pt idx="1607">
                  <c:v>14.416809279416043</c:v>
                </c:pt>
                <c:pt idx="1608">
                  <c:v>14.416809279416043</c:v>
                </c:pt>
                <c:pt idx="1609">
                  <c:v>9.1555418996444509</c:v>
                </c:pt>
                <c:pt idx="1610">
                  <c:v>14.416809279416043</c:v>
                </c:pt>
                <c:pt idx="1611">
                  <c:v>14.416809279416043</c:v>
                </c:pt>
                <c:pt idx="1612">
                  <c:v>11.786175589530247</c:v>
                </c:pt>
                <c:pt idx="1613">
                  <c:v>9.1555418996444509</c:v>
                </c:pt>
                <c:pt idx="1614">
                  <c:v>11.786175589530247</c:v>
                </c:pt>
                <c:pt idx="1615">
                  <c:v>11.786175589530247</c:v>
                </c:pt>
                <c:pt idx="1616">
                  <c:v>14.416809279416043</c:v>
                </c:pt>
                <c:pt idx="1617">
                  <c:v>9.1555418996444509</c:v>
                </c:pt>
                <c:pt idx="1618">
                  <c:v>14.416809279416043</c:v>
                </c:pt>
                <c:pt idx="1619">
                  <c:v>11.786175589530247</c:v>
                </c:pt>
                <c:pt idx="1620">
                  <c:v>14.416809279416043</c:v>
                </c:pt>
                <c:pt idx="1621">
                  <c:v>14.416809279416043</c:v>
                </c:pt>
                <c:pt idx="1622">
                  <c:v>11.786175589530247</c:v>
                </c:pt>
                <c:pt idx="1623">
                  <c:v>14.416809279416043</c:v>
                </c:pt>
                <c:pt idx="1624">
                  <c:v>14.416809279416043</c:v>
                </c:pt>
                <c:pt idx="1625">
                  <c:v>14.416809279416043</c:v>
                </c:pt>
                <c:pt idx="1626">
                  <c:v>14.416809279416043</c:v>
                </c:pt>
                <c:pt idx="1627">
                  <c:v>14.416809279416043</c:v>
                </c:pt>
                <c:pt idx="1628">
                  <c:v>14.416809279416043</c:v>
                </c:pt>
                <c:pt idx="1629">
                  <c:v>14.416809279416043</c:v>
                </c:pt>
                <c:pt idx="1630">
                  <c:v>14.416809279416043</c:v>
                </c:pt>
                <c:pt idx="1631">
                  <c:v>14.416809279416043</c:v>
                </c:pt>
                <c:pt idx="1632">
                  <c:v>14.416809279416043</c:v>
                </c:pt>
                <c:pt idx="1633">
                  <c:v>14.416809279416043</c:v>
                </c:pt>
                <c:pt idx="1634">
                  <c:v>14.416809279416043</c:v>
                </c:pt>
                <c:pt idx="1635">
                  <c:v>14.416809279416043</c:v>
                </c:pt>
                <c:pt idx="1636">
                  <c:v>14.416809279416043</c:v>
                </c:pt>
                <c:pt idx="1637">
                  <c:v>14.416809279416043</c:v>
                </c:pt>
                <c:pt idx="1638">
                  <c:v>14.416809279416043</c:v>
                </c:pt>
                <c:pt idx="1639">
                  <c:v>14.416809279416043</c:v>
                </c:pt>
                <c:pt idx="1640">
                  <c:v>14.416809279416043</c:v>
                </c:pt>
                <c:pt idx="1641">
                  <c:v>14.416809279416043</c:v>
                </c:pt>
                <c:pt idx="1642">
                  <c:v>14.416809279416043</c:v>
                </c:pt>
                <c:pt idx="1643">
                  <c:v>14.416809279416043</c:v>
                </c:pt>
                <c:pt idx="1644">
                  <c:v>14.416809279416043</c:v>
                </c:pt>
                <c:pt idx="1645">
                  <c:v>3.8942745198728588</c:v>
                </c:pt>
                <c:pt idx="1646">
                  <c:v>14.416809279416043</c:v>
                </c:pt>
                <c:pt idx="1647">
                  <c:v>14.416809279416043</c:v>
                </c:pt>
                <c:pt idx="1648">
                  <c:v>6.5249082097586548</c:v>
                </c:pt>
                <c:pt idx="1649">
                  <c:v>14.416809279416043</c:v>
                </c:pt>
                <c:pt idx="1650">
                  <c:v>11.786175589530247</c:v>
                </c:pt>
                <c:pt idx="1651">
                  <c:v>11.786175589530247</c:v>
                </c:pt>
                <c:pt idx="1652">
                  <c:v>11.786175589530247</c:v>
                </c:pt>
                <c:pt idx="1653">
                  <c:v>14.416809279416043</c:v>
                </c:pt>
                <c:pt idx="1654">
                  <c:v>14.416809279416043</c:v>
                </c:pt>
                <c:pt idx="1655">
                  <c:v>9.1555418996444509</c:v>
                </c:pt>
                <c:pt idx="1656">
                  <c:v>-1.3669928598987333</c:v>
                </c:pt>
                <c:pt idx="1657">
                  <c:v>9.1555418996444509</c:v>
                </c:pt>
                <c:pt idx="1658">
                  <c:v>14.416809279416043</c:v>
                </c:pt>
                <c:pt idx="1659">
                  <c:v>9.1555418996444509</c:v>
                </c:pt>
                <c:pt idx="1660">
                  <c:v>3.8942745198728588</c:v>
                </c:pt>
                <c:pt idx="1661">
                  <c:v>14.416809279416043</c:v>
                </c:pt>
                <c:pt idx="1662">
                  <c:v>11.786175589530247</c:v>
                </c:pt>
                <c:pt idx="1663">
                  <c:v>14.416809279416043</c:v>
                </c:pt>
                <c:pt idx="1664">
                  <c:v>14.416809279416043</c:v>
                </c:pt>
                <c:pt idx="1665">
                  <c:v>6.5249082097586548</c:v>
                </c:pt>
                <c:pt idx="1666">
                  <c:v>11.786175589530247</c:v>
                </c:pt>
                <c:pt idx="1667">
                  <c:v>14.416809279416043</c:v>
                </c:pt>
                <c:pt idx="1668">
                  <c:v>14.416809279416043</c:v>
                </c:pt>
                <c:pt idx="1669">
                  <c:v>11.786175589530247</c:v>
                </c:pt>
                <c:pt idx="1670">
                  <c:v>14.416809279416043</c:v>
                </c:pt>
                <c:pt idx="1671">
                  <c:v>14.416809279416043</c:v>
                </c:pt>
                <c:pt idx="1672">
                  <c:v>-1.3669928598987333</c:v>
                </c:pt>
                <c:pt idx="1673">
                  <c:v>6.5249082097586548</c:v>
                </c:pt>
                <c:pt idx="1674">
                  <c:v>14.416809279416043</c:v>
                </c:pt>
                <c:pt idx="1675">
                  <c:v>14.416809279416043</c:v>
                </c:pt>
                <c:pt idx="1676">
                  <c:v>3.8942745198728588</c:v>
                </c:pt>
                <c:pt idx="1677">
                  <c:v>6.5249082097586548</c:v>
                </c:pt>
                <c:pt idx="1678">
                  <c:v>14.416809279416043</c:v>
                </c:pt>
                <c:pt idx="1679">
                  <c:v>11.786175589530247</c:v>
                </c:pt>
                <c:pt idx="1680">
                  <c:v>14.416809279416043</c:v>
                </c:pt>
                <c:pt idx="1681">
                  <c:v>14.416809279416043</c:v>
                </c:pt>
                <c:pt idx="1682">
                  <c:v>11.786175589530247</c:v>
                </c:pt>
                <c:pt idx="1683">
                  <c:v>14.416809279416043</c:v>
                </c:pt>
                <c:pt idx="1684">
                  <c:v>11.786175589530247</c:v>
                </c:pt>
                <c:pt idx="1685">
                  <c:v>9.1555418996444509</c:v>
                </c:pt>
                <c:pt idx="1686">
                  <c:v>14.416809279416043</c:v>
                </c:pt>
                <c:pt idx="1687">
                  <c:v>14.416809279416043</c:v>
                </c:pt>
                <c:pt idx="1688">
                  <c:v>14.416809279416043</c:v>
                </c:pt>
                <c:pt idx="1689">
                  <c:v>14.416809279416043</c:v>
                </c:pt>
                <c:pt idx="1690">
                  <c:v>3.8942745198728588</c:v>
                </c:pt>
                <c:pt idx="1691">
                  <c:v>6.5249082097586548</c:v>
                </c:pt>
                <c:pt idx="1692">
                  <c:v>14.416809279416043</c:v>
                </c:pt>
                <c:pt idx="1693">
                  <c:v>3.8942745198728588</c:v>
                </c:pt>
                <c:pt idx="1694">
                  <c:v>14.416809279416043</c:v>
                </c:pt>
                <c:pt idx="1695">
                  <c:v>9.1555418996444509</c:v>
                </c:pt>
                <c:pt idx="1696">
                  <c:v>14.416809279416043</c:v>
                </c:pt>
                <c:pt idx="1697">
                  <c:v>6.5249082097586548</c:v>
                </c:pt>
                <c:pt idx="1698">
                  <c:v>14.416809279416043</c:v>
                </c:pt>
                <c:pt idx="1699">
                  <c:v>14.416809279416043</c:v>
                </c:pt>
                <c:pt idx="1700">
                  <c:v>11.786175589530247</c:v>
                </c:pt>
                <c:pt idx="1701">
                  <c:v>14.416809279416043</c:v>
                </c:pt>
                <c:pt idx="1702">
                  <c:v>9.1555418996444509</c:v>
                </c:pt>
                <c:pt idx="1703">
                  <c:v>11.786175589530247</c:v>
                </c:pt>
                <c:pt idx="1704">
                  <c:v>14.416809279416043</c:v>
                </c:pt>
                <c:pt idx="1705">
                  <c:v>11.786175589530247</c:v>
                </c:pt>
                <c:pt idx="1706">
                  <c:v>9.1555418996444509</c:v>
                </c:pt>
                <c:pt idx="1707">
                  <c:v>14.416809279416043</c:v>
                </c:pt>
                <c:pt idx="1708">
                  <c:v>14.416809279416043</c:v>
                </c:pt>
                <c:pt idx="1709">
                  <c:v>6.5249082097586548</c:v>
                </c:pt>
                <c:pt idx="1710">
                  <c:v>11.786175589530247</c:v>
                </c:pt>
                <c:pt idx="1711">
                  <c:v>9.1555418996444509</c:v>
                </c:pt>
                <c:pt idx="1712">
                  <c:v>14.416809279416043</c:v>
                </c:pt>
                <c:pt idx="1713">
                  <c:v>11.786175589530247</c:v>
                </c:pt>
                <c:pt idx="1714">
                  <c:v>6.5249082097586548</c:v>
                </c:pt>
                <c:pt idx="1715">
                  <c:v>14.416809279416043</c:v>
                </c:pt>
                <c:pt idx="1716">
                  <c:v>9.1555418996444509</c:v>
                </c:pt>
                <c:pt idx="1717">
                  <c:v>14.416809279416043</c:v>
                </c:pt>
                <c:pt idx="1718">
                  <c:v>14.416809279416043</c:v>
                </c:pt>
                <c:pt idx="1719">
                  <c:v>14.416809279416043</c:v>
                </c:pt>
                <c:pt idx="1720">
                  <c:v>14.416809279416043</c:v>
                </c:pt>
                <c:pt idx="1721">
                  <c:v>14.416809279416043</c:v>
                </c:pt>
                <c:pt idx="1722">
                  <c:v>14.416809279416043</c:v>
                </c:pt>
                <c:pt idx="1723">
                  <c:v>14.416809279416043</c:v>
                </c:pt>
                <c:pt idx="1724">
                  <c:v>14.416809279416043</c:v>
                </c:pt>
                <c:pt idx="1725">
                  <c:v>14.416809279416043</c:v>
                </c:pt>
                <c:pt idx="1726">
                  <c:v>14.416809279416043</c:v>
                </c:pt>
                <c:pt idx="1727">
                  <c:v>14.416809279416043</c:v>
                </c:pt>
                <c:pt idx="1728">
                  <c:v>14.416809279416043</c:v>
                </c:pt>
                <c:pt idx="1729">
                  <c:v>14.416809279416043</c:v>
                </c:pt>
                <c:pt idx="1730">
                  <c:v>11.786175589530247</c:v>
                </c:pt>
                <c:pt idx="1731">
                  <c:v>14.416809279416043</c:v>
                </c:pt>
                <c:pt idx="1732">
                  <c:v>14.416809279416043</c:v>
                </c:pt>
                <c:pt idx="1733">
                  <c:v>14.416809279416043</c:v>
                </c:pt>
                <c:pt idx="1734">
                  <c:v>14.416809279416043</c:v>
                </c:pt>
                <c:pt idx="1735">
                  <c:v>14.416809279416043</c:v>
                </c:pt>
                <c:pt idx="1736">
                  <c:v>14.416809279416043</c:v>
                </c:pt>
                <c:pt idx="1737">
                  <c:v>14.416809279416043</c:v>
                </c:pt>
                <c:pt idx="1738">
                  <c:v>14.416809279416043</c:v>
                </c:pt>
                <c:pt idx="1739">
                  <c:v>14.416809279416043</c:v>
                </c:pt>
                <c:pt idx="1740">
                  <c:v>14.416809279416043</c:v>
                </c:pt>
                <c:pt idx="1741">
                  <c:v>11.786175589530247</c:v>
                </c:pt>
                <c:pt idx="1742">
                  <c:v>11.786175589530247</c:v>
                </c:pt>
                <c:pt idx="1743">
                  <c:v>11.786175589530247</c:v>
                </c:pt>
                <c:pt idx="1744">
                  <c:v>14.416809279416043</c:v>
                </c:pt>
                <c:pt idx="1745">
                  <c:v>14.416809279416043</c:v>
                </c:pt>
                <c:pt idx="1746">
                  <c:v>9.1555418996444509</c:v>
                </c:pt>
                <c:pt idx="1747">
                  <c:v>14.416809279416043</c:v>
                </c:pt>
                <c:pt idx="1748">
                  <c:v>14.416809279416043</c:v>
                </c:pt>
                <c:pt idx="1749">
                  <c:v>14.416809279416043</c:v>
                </c:pt>
                <c:pt idx="1750">
                  <c:v>14.416809279416043</c:v>
                </c:pt>
                <c:pt idx="1751">
                  <c:v>11.786175589530247</c:v>
                </c:pt>
                <c:pt idx="1752">
                  <c:v>14.416809279416043</c:v>
                </c:pt>
                <c:pt idx="1753">
                  <c:v>11.786175589530247</c:v>
                </c:pt>
                <c:pt idx="1754">
                  <c:v>14.416809279416043</c:v>
                </c:pt>
                <c:pt idx="1755">
                  <c:v>11.786175589530247</c:v>
                </c:pt>
                <c:pt idx="1756">
                  <c:v>14.416809279416043</c:v>
                </c:pt>
                <c:pt idx="1757">
                  <c:v>9.1555418996444509</c:v>
                </c:pt>
                <c:pt idx="1758">
                  <c:v>14.416809279416043</c:v>
                </c:pt>
                <c:pt idx="1759">
                  <c:v>11.786175589530247</c:v>
                </c:pt>
                <c:pt idx="1760">
                  <c:v>9.1555418996444509</c:v>
                </c:pt>
                <c:pt idx="1761">
                  <c:v>11.786175589530247</c:v>
                </c:pt>
                <c:pt idx="1762">
                  <c:v>14.416809279416043</c:v>
                </c:pt>
                <c:pt idx="1763">
                  <c:v>9.1555418996444509</c:v>
                </c:pt>
                <c:pt idx="1764">
                  <c:v>9.1555418996444509</c:v>
                </c:pt>
                <c:pt idx="1765">
                  <c:v>3.8942745198728588</c:v>
                </c:pt>
                <c:pt idx="1766">
                  <c:v>14.416809279416043</c:v>
                </c:pt>
                <c:pt idx="1767">
                  <c:v>11.786175589530247</c:v>
                </c:pt>
                <c:pt idx="1768">
                  <c:v>1.2636408299870627</c:v>
                </c:pt>
                <c:pt idx="1769">
                  <c:v>9.1555418996444509</c:v>
                </c:pt>
                <c:pt idx="1770">
                  <c:v>14.416809279416043</c:v>
                </c:pt>
                <c:pt idx="1771">
                  <c:v>11.786175589530247</c:v>
                </c:pt>
                <c:pt idx="1772">
                  <c:v>11.786175589530247</c:v>
                </c:pt>
                <c:pt idx="1773">
                  <c:v>11.786175589530247</c:v>
                </c:pt>
                <c:pt idx="1774">
                  <c:v>9.1555418996444509</c:v>
                </c:pt>
                <c:pt idx="1775">
                  <c:v>14.416809279416043</c:v>
                </c:pt>
                <c:pt idx="1776">
                  <c:v>14.416809279416043</c:v>
                </c:pt>
                <c:pt idx="1777">
                  <c:v>9.1555418996444509</c:v>
                </c:pt>
                <c:pt idx="1778">
                  <c:v>14.416809279416043</c:v>
                </c:pt>
                <c:pt idx="1779">
                  <c:v>14.416809279416043</c:v>
                </c:pt>
                <c:pt idx="1780">
                  <c:v>14.416809279416043</c:v>
                </c:pt>
                <c:pt idx="1781">
                  <c:v>14.416809279416043</c:v>
                </c:pt>
                <c:pt idx="1782">
                  <c:v>14.416809279416043</c:v>
                </c:pt>
                <c:pt idx="1783">
                  <c:v>6.5249082097586548</c:v>
                </c:pt>
                <c:pt idx="1784">
                  <c:v>3.8942745198728588</c:v>
                </c:pt>
                <c:pt idx="1785">
                  <c:v>14.416809279416043</c:v>
                </c:pt>
                <c:pt idx="1786">
                  <c:v>9.1555418996444509</c:v>
                </c:pt>
                <c:pt idx="1787">
                  <c:v>6.5249082097586548</c:v>
                </c:pt>
                <c:pt idx="1788">
                  <c:v>14.416809279416043</c:v>
                </c:pt>
                <c:pt idx="1789">
                  <c:v>14.416809279416043</c:v>
                </c:pt>
                <c:pt idx="1790">
                  <c:v>14.416809279416043</c:v>
                </c:pt>
                <c:pt idx="1791">
                  <c:v>14.416809279416043</c:v>
                </c:pt>
                <c:pt idx="1792">
                  <c:v>14.416809279416043</c:v>
                </c:pt>
                <c:pt idx="1793">
                  <c:v>11.786175589530247</c:v>
                </c:pt>
                <c:pt idx="1794">
                  <c:v>14.416809279416043</c:v>
                </c:pt>
                <c:pt idx="1795">
                  <c:v>9.1555418996444509</c:v>
                </c:pt>
                <c:pt idx="1796">
                  <c:v>11.786175589530247</c:v>
                </c:pt>
                <c:pt idx="1797">
                  <c:v>14.416809279416043</c:v>
                </c:pt>
                <c:pt idx="1798">
                  <c:v>6.5249082097586548</c:v>
                </c:pt>
                <c:pt idx="1799">
                  <c:v>14.416809279416043</c:v>
                </c:pt>
                <c:pt idx="1800">
                  <c:v>14.416809279416043</c:v>
                </c:pt>
                <c:pt idx="1801">
                  <c:v>11.786175589530247</c:v>
                </c:pt>
                <c:pt idx="1802">
                  <c:v>-1.3669928598987333</c:v>
                </c:pt>
                <c:pt idx="1803">
                  <c:v>6.5249082097586548</c:v>
                </c:pt>
                <c:pt idx="1804">
                  <c:v>14.416809279416043</c:v>
                </c:pt>
                <c:pt idx="1805">
                  <c:v>14.416809279416043</c:v>
                </c:pt>
                <c:pt idx="1806">
                  <c:v>3.8942745198728588</c:v>
                </c:pt>
                <c:pt idx="1807">
                  <c:v>14.416809279416043</c:v>
                </c:pt>
                <c:pt idx="1808">
                  <c:v>14.416809279416043</c:v>
                </c:pt>
                <c:pt idx="1809">
                  <c:v>14.416809279416043</c:v>
                </c:pt>
                <c:pt idx="1810">
                  <c:v>14.416809279416043</c:v>
                </c:pt>
                <c:pt idx="1811">
                  <c:v>14.416809279416043</c:v>
                </c:pt>
                <c:pt idx="1812">
                  <c:v>14.416809279416043</c:v>
                </c:pt>
                <c:pt idx="1813">
                  <c:v>14.416809279416043</c:v>
                </c:pt>
                <c:pt idx="1814">
                  <c:v>14.416809279416043</c:v>
                </c:pt>
                <c:pt idx="1815">
                  <c:v>14.416809279416043</c:v>
                </c:pt>
                <c:pt idx="1816">
                  <c:v>14.416809279416043</c:v>
                </c:pt>
                <c:pt idx="1817">
                  <c:v>14.416809279416043</c:v>
                </c:pt>
                <c:pt idx="1818">
                  <c:v>14.416809279416043</c:v>
                </c:pt>
                <c:pt idx="1819">
                  <c:v>14.416809279416043</c:v>
                </c:pt>
                <c:pt idx="1820">
                  <c:v>14.416809279416043</c:v>
                </c:pt>
                <c:pt idx="1821">
                  <c:v>14.416809279416043</c:v>
                </c:pt>
                <c:pt idx="1822">
                  <c:v>14.416809279416043</c:v>
                </c:pt>
                <c:pt idx="1823">
                  <c:v>14.416809279416043</c:v>
                </c:pt>
                <c:pt idx="1824">
                  <c:v>14.416809279416043</c:v>
                </c:pt>
                <c:pt idx="1825">
                  <c:v>14.416809279416043</c:v>
                </c:pt>
                <c:pt idx="1826">
                  <c:v>14.416809279416043</c:v>
                </c:pt>
                <c:pt idx="1827">
                  <c:v>14.416809279416043</c:v>
                </c:pt>
                <c:pt idx="1828">
                  <c:v>14.416809279416043</c:v>
                </c:pt>
                <c:pt idx="1829">
                  <c:v>14.416809279416043</c:v>
                </c:pt>
                <c:pt idx="1830">
                  <c:v>14.416809279416043</c:v>
                </c:pt>
                <c:pt idx="1831">
                  <c:v>14.416809279416043</c:v>
                </c:pt>
                <c:pt idx="1832">
                  <c:v>14.416809279416043</c:v>
                </c:pt>
                <c:pt idx="1833">
                  <c:v>14.416809279416043</c:v>
                </c:pt>
                <c:pt idx="1834">
                  <c:v>14.416809279416043</c:v>
                </c:pt>
                <c:pt idx="1835">
                  <c:v>-6.6282602396703254</c:v>
                </c:pt>
                <c:pt idx="1836">
                  <c:v>3.8942745198728588</c:v>
                </c:pt>
                <c:pt idx="1837">
                  <c:v>11.786175589530247</c:v>
                </c:pt>
                <c:pt idx="1838">
                  <c:v>6.5249082097586548</c:v>
                </c:pt>
                <c:pt idx="1839">
                  <c:v>11.786175589530247</c:v>
                </c:pt>
                <c:pt idx="1840">
                  <c:v>6.5249082097586548</c:v>
                </c:pt>
                <c:pt idx="1841">
                  <c:v>11.786175589530247</c:v>
                </c:pt>
                <c:pt idx="1842">
                  <c:v>11.786175589530247</c:v>
                </c:pt>
                <c:pt idx="1843">
                  <c:v>14.416809279416043</c:v>
                </c:pt>
                <c:pt idx="1844">
                  <c:v>9.1555418996444509</c:v>
                </c:pt>
                <c:pt idx="1845">
                  <c:v>14.416809279416043</c:v>
                </c:pt>
                <c:pt idx="1846">
                  <c:v>3.8942745198728588</c:v>
                </c:pt>
                <c:pt idx="1847">
                  <c:v>9.1555418996444509</c:v>
                </c:pt>
                <c:pt idx="1848">
                  <c:v>11.786175589530247</c:v>
                </c:pt>
                <c:pt idx="1849">
                  <c:v>14.416809279416043</c:v>
                </c:pt>
                <c:pt idx="1850">
                  <c:v>11.786175589530247</c:v>
                </c:pt>
                <c:pt idx="1851">
                  <c:v>3.8942745198728588</c:v>
                </c:pt>
                <c:pt idx="1852">
                  <c:v>14.416809279416043</c:v>
                </c:pt>
                <c:pt idx="1853">
                  <c:v>11.786175589530247</c:v>
                </c:pt>
                <c:pt idx="1854">
                  <c:v>14.416809279416043</c:v>
                </c:pt>
                <c:pt idx="1855">
                  <c:v>11.786175589530247</c:v>
                </c:pt>
                <c:pt idx="1856">
                  <c:v>3.8942745198728588</c:v>
                </c:pt>
                <c:pt idx="1857">
                  <c:v>11.786175589530247</c:v>
                </c:pt>
                <c:pt idx="1858">
                  <c:v>14.416809279416043</c:v>
                </c:pt>
                <c:pt idx="1859">
                  <c:v>14.416809279416043</c:v>
                </c:pt>
                <c:pt idx="1860">
                  <c:v>9.1555418996444509</c:v>
                </c:pt>
                <c:pt idx="1861">
                  <c:v>6.5249082097586548</c:v>
                </c:pt>
                <c:pt idx="1862">
                  <c:v>14.416809279416043</c:v>
                </c:pt>
                <c:pt idx="1863">
                  <c:v>1.2636408299870627</c:v>
                </c:pt>
                <c:pt idx="1864">
                  <c:v>14.416809279416043</c:v>
                </c:pt>
                <c:pt idx="1865">
                  <c:v>14.416809279416043</c:v>
                </c:pt>
                <c:pt idx="1866">
                  <c:v>14.416809279416043</c:v>
                </c:pt>
                <c:pt idx="1867">
                  <c:v>14.416809279416043</c:v>
                </c:pt>
                <c:pt idx="1868">
                  <c:v>14.416809279416043</c:v>
                </c:pt>
                <c:pt idx="1869">
                  <c:v>14.416809279416043</c:v>
                </c:pt>
                <c:pt idx="1870">
                  <c:v>14.416809279416043</c:v>
                </c:pt>
                <c:pt idx="1871">
                  <c:v>14.416809279416043</c:v>
                </c:pt>
                <c:pt idx="1872">
                  <c:v>11.786175589530247</c:v>
                </c:pt>
                <c:pt idx="1873">
                  <c:v>14.416809279416043</c:v>
                </c:pt>
                <c:pt idx="1874">
                  <c:v>9.1555418996444509</c:v>
                </c:pt>
                <c:pt idx="1875">
                  <c:v>11.786175589530247</c:v>
                </c:pt>
                <c:pt idx="1876">
                  <c:v>14.416809279416043</c:v>
                </c:pt>
                <c:pt idx="1877">
                  <c:v>14.416809279416043</c:v>
                </c:pt>
                <c:pt idx="1878">
                  <c:v>14.416809279416043</c:v>
                </c:pt>
                <c:pt idx="1879">
                  <c:v>9.1555418996444509</c:v>
                </c:pt>
                <c:pt idx="1880">
                  <c:v>9.1555418996444509</c:v>
                </c:pt>
                <c:pt idx="1881">
                  <c:v>9.1555418996444509</c:v>
                </c:pt>
                <c:pt idx="1882">
                  <c:v>14.416809279416043</c:v>
                </c:pt>
                <c:pt idx="1883">
                  <c:v>14.416809279416043</c:v>
                </c:pt>
                <c:pt idx="1884">
                  <c:v>14.416809279416043</c:v>
                </c:pt>
                <c:pt idx="1885">
                  <c:v>14.416809279416043</c:v>
                </c:pt>
                <c:pt idx="1886">
                  <c:v>14.416809279416043</c:v>
                </c:pt>
                <c:pt idx="1887">
                  <c:v>6.5249082097586548</c:v>
                </c:pt>
                <c:pt idx="1888">
                  <c:v>6.5249082097586548</c:v>
                </c:pt>
                <c:pt idx="1889">
                  <c:v>14.416809279416043</c:v>
                </c:pt>
                <c:pt idx="1890">
                  <c:v>14.416809279416043</c:v>
                </c:pt>
                <c:pt idx="1891">
                  <c:v>6.5249082097586548</c:v>
                </c:pt>
                <c:pt idx="1892">
                  <c:v>14.416809279416043</c:v>
                </c:pt>
                <c:pt idx="1893">
                  <c:v>11.786175589530247</c:v>
                </c:pt>
                <c:pt idx="1894">
                  <c:v>-3.9976265497845276</c:v>
                </c:pt>
                <c:pt idx="1895">
                  <c:v>14.416809279416043</c:v>
                </c:pt>
                <c:pt idx="1896">
                  <c:v>11.786175589530247</c:v>
                </c:pt>
                <c:pt idx="1897">
                  <c:v>11.786175589530247</c:v>
                </c:pt>
                <c:pt idx="1898">
                  <c:v>14.416809279416043</c:v>
                </c:pt>
                <c:pt idx="1899">
                  <c:v>14.416809279416043</c:v>
                </c:pt>
                <c:pt idx="1900">
                  <c:v>14.416809279416043</c:v>
                </c:pt>
                <c:pt idx="1901">
                  <c:v>14.416809279416043</c:v>
                </c:pt>
                <c:pt idx="1902">
                  <c:v>14.416809279416043</c:v>
                </c:pt>
                <c:pt idx="1903">
                  <c:v>14.416809279416043</c:v>
                </c:pt>
                <c:pt idx="1904">
                  <c:v>14.416809279416043</c:v>
                </c:pt>
                <c:pt idx="1905">
                  <c:v>14.416809279416043</c:v>
                </c:pt>
                <c:pt idx="1906">
                  <c:v>14.416809279416043</c:v>
                </c:pt>
                <c:pt idx="1907">
                  <c:v>14.416809279416043</c:v>
                </c:pt>
                <c:pt idx="1908">
                  <c:v>14.416809279416043</c:v>
                </c:pt>
                <c:pt idx="1909">
                  <c:v>14.416809279416043</c:v>
                </c:pt>
                <c:pt idx="1910">
                  <c:v>14.416809279416043</c:v>
                </c:pt>
                <c:pt idx="1911">
                  <c:v>14.416809279416043</c:v>
                </c:pt>
                <c:pt idx="1912">
                  <c:v>14.416809279416043</c:v>
                </c:pt>
                <c:pt idx="1913">
                  <c:v>14.416809279416043</c:v>
                </c:pt>
                <c:pt idx="1914">
                  <c:v>14.416809279416043</c:v>
                </c:pt>
                <c:pt idx="1915">
                  <c:v>14.416809279416043</c:v>
                </c:pt>
                <c:pt idx="1916">
                  <c:v>14.416809279416043</c:v>
                </c:pt>
                <c:pt idx="1917">
                  <c:v>14.416809279416043</c:v>
                </c:pt>
                <c:pt idx="1918">
                  <c:v>14.416809279416043</c:v>
                </c:pt>
                <c:pt idx="1919">
                  <c:v>14.416809279416043</c:v>
                </c:pt>
                <c:pt idx="1920">
                  <c:v>14.416809279416043</c:v>
                </c:pt>
              </c:numCache>
            </c:numRef>
          </c:xVal>
          <c:yVal>
            <c:numRef>
              <c:f>Hoja1!$N$4:$N$1924</c:f>
              <c:numCache>
                <c:formatCode>General</c:formatCode>
                <c:ptCount val="1921"/>
                <c:pt idx="0">
                  <c:v>-11.416809279416043</c:v>
                </c:pt>
                <c:pt idx="1">
                  <c:v>0.73635917001293727</c:v>
                </c:pt>
                <c:pt idx="2">
                  <c:v>-8.7861755895302469</c:v>
                </c:pt>
                <c:pt idx="3">
                  <c:v>-9.416809279416043</c:v>
                </c:pt>
                <c:pt idx="4">
                  <c:v>1.583190720583957</c:v>
                </c:pt>
                <c:pt idx="5">
                  <c:v>-6.1555418996444509</c:v>
                </c:pt>
                <c:pt idx="6">
                  <c:v>-2.5249082097586548</c:v>
                </c:pt>
                <c:pt idx="7">
                  <c:v>-4.416809279416043</c:v>
                </c:pt>
                <c:pt idx="8">
                  <c:v>-6.1555418996444509</c:v>
                </c:pt>
                <c:pt idx="9">
                  <c:v>5.2138244104697531</c:v>
                </c:pt>
                <c:pt idx="10">
                  <c:v>-5.416809279416043</c:v>
                </c:pt>
                <c:pt idx="11">
                  <c:v>-9.416809279416043</c:v>
                </c:pt>
                <c:pt idx="12">
                  <c:v>20.583190720583957</c:v>
                </c:pt>
                <c:pt idx="13">
                  <c:v>-4.1555418996444509</c:v>
                </c:pt>
                <c:pt idx="14">
                  <c:v>-9.7861755895302469</c:v>
                </c:pt>
                <c:pt idx="15">
                  <c:v>-6.416809279416043</c:v>
                </c:pt>
                <c:pt idx="16">
                  <c:v>-11.416809279416043</c:v>
                </c:pt>
                <c:pt idx="17">
                  <c:v>-7.1555418996444509</c:v>
                </c:pt>
                <c:pt idx="18">
                  <c:v>-11.416809279416043</c:v>
                </c:pt>
                <c:pt idx="19">
                  <c:v>2.8444581003555491</c:v>
                </c:pt>
                <c:pt idx="20">
                  <c:v>0.73635917001293727</c:v>
                </c:pt>
                <c:pt idx="21">
                  <c:v>3.1057254801271412</c:v>
                </c:pt>
                <c:pt idx="22">
                  <c:v>0.84445810035554913</c:v>
                </c:pt>
                <c:pt idx="23">
                  <c:v>-2.416809279416043</c:v>
                </c:pt>
                <c:pt idx="24">
                  <c:v>20.583190720583957</c:v>
                </c:pt>
                <c:pt idx="25">
                  <c:v>0.10572548012714122</c:v>
                </c:pt>
                <c:pt idx="26">
                  <c:v>-0.89427451987285878</c:v>
                </c:pt>
                <c:pt idx="27">
                  <c:v>-6.1555418996444509</c:v>
                </c:pt>
                <c:pt idx="28">
                  <c:v>1.7363591700129373</c:v>
                </c:pt>
                <c:pt idx="29">
                  <c:v>-1.8942745198728588</c:v>
                </c:pt>
                <c:pt idx="30">
                  <c:v>6.583190720583957</c:v>
                </c:pt>
                <c:pt idx="31">
                  <c:v>-4.1555418996444509</c:v>
                </c:pt>
                <c:pt idx="32">
                  <c:v>0.73635917001293727</c:v>
                </c:pt>
                <c:pt idx="33">
                  <c:v>2.4750917902413452</c:v>
                </c:pt>
                <c:pt idx="34">
                  <c:v>11.844458100355549</c:v>
                </c:pt>
                <c:pt idx="35">
                  <c:v>1.583190720583957</c:v>
                </c:pt>
                <c:pt idx="36">
                  <c:v>6.583190720583957</c:v>
                </c:pt>
                <c:pt idx="37">
                  <c:v>34.583190720583957</c:v>
                </c:pt>
                <c:pt idx="38">
                  <c:v>6.583190720583957</c:v>
                </c:pt>
                <c:pt idx="39">
                  <c:v>3.583190720583957</c:v>
                </c:pt>
                <c:pt idx="40">
                  <c:v>16.844458100355549</c:v>
                </c:pt>
                <c:pt idx="41">
                  <c:v>14.475091790241345</c:v>
                </c:pt>
                <c:pt idx="42">
                  <c:v>66.583190720583957</c:v>
                </c:pt>
                <c:pt idx="43">
                  <c:v>3.8444581003555491</c:v>
                </c:pt>
                <c:pt idx="44">
                  <c:v>-7.7861755895302469</c:v>
                </c:pt>
                <c:pt idx="45">
                  <c:v>-2.8942745198728588</c:v>
                </c:pt>
                <c:pt idx="46">
                  <c:v>-7.7861755895302469</c:v>
                </c:pt>
                <c:pt idx="47">
                  <c:v>-0.41680927941604295</c:v>
                </c:pt>
                <c:pt idx="48">
                  <c:v>-2.8942745198728588</c:v>
                </c:pt>
                <c:pt idx="49">
                  <c:v>-7.7861755895302469</c:v>
                </c:pt>
                <c:pt idx="50">
                  <c:v>-11.416809279416043</c:v>
                </c:pt>
                <c:pt idx="51">
                  <c:v>0.84445810035554913</c:v>
                </c:pt>
                <c:pt idx="52">
                  <c:v>-7.7861755895302469</c:v>
                </c:pt>
                <c:pt idx="53">
                  <c:v>-3.416809279416043</c:v>
                </c:pt>
                <c:pt idx="54">
                  <c:v>-0.78617558953024691</c:v>
                </c:pt>
                <c:pt idx="55">
                  <c:v>21.213824410469755</c:v>
                </c:pt>
                <c:pt idx="56">
                  <c:v>-7.416809279416043</c:v>
                </c:pt>
                <c:pt idx="57">
                  <c:v>-0.89427451987285878</c:v>
                </c:pt>
                <c:pt idx="58">
                  <c:v>1.7363591700129373</c:v>
                </c:pt>
                <c:pt idx="59">
                  <c:v>-3.416809279416043</c:v>
                </c:pt>
                <c:pt idx="60">
                  <c:v>3.7363591700129373</c:v>
                </c:pt>
                <c:pt idx="61">
                  <c:v>0.73635917001293727</c:v>
                </c:pt>
                <c:pt idx="62">
                  <c:v>-3.416809279416043</c:v>
                </c:pt>
                <c:pt idx="63">
                  <c:v>-7.7861755895302469</c:v>
                </c:pt>
                <c:pt idx="64">
                  <c:v>-3.7861755895302469</c:v>
                </c:pt>
                <c:pt idx="65">
                  <c:v>0.58319072058395705</c:v>
                </c:pt>
                <c:pt idx="66">
                  <c:v>7.7363591700129373</c:v>
                </c:pt>
                <c:pt idx="67">
                  <c:v>0.58319072058395705</c:v>
                </c:pt>
                <c:pt idx="68">
                  <c:v>-1.416809279416043</c:v>
                </c:pt>
                <c:pt idx="69">
                  <c:v>0.58319072058395705</c:v>
                </c:pt>
                <c:pt idx="70">
                  <c:v>0.58319072058395705</c:v>
                </c:pt>
                <c:pt idx="71">
                  <c:v>0.58319072058395705</c:v>
                </c:pt>
                <c:pt idx="72">
                  <c:v>0.58319072058395705</c:v>
                </c:pt>
                <c:pt idx="73">
                  <c:v>0.58319072058395705</c:v>
                </c:pt>
                <c:pt idx="74">
                  <c:v>0.58319072058395705</c:v>
                </c:pt>
                <c:pt idx="75">
                  <c:v>0.58319072058395705</c:v>
                </c:pt>
                <c:pt idx="76">
                  <c:v>0.58319072058395705</c:v>
                </c:pt>
                <c:pt idx="77">
                  <c:v>-1.416809279416043</c:v>
                </c:pt>
                <c:pt idx="78">
                  <c:v>0.58319072058395705</c:v>
                </c:pt>
                <c:pt idx="79">
                  <c:v>0.58319072058395705</c:v>
                </c:pt>
                <c:pt idx="80">
                  <c:v>0.58319072058395705</c:v>
                </c:pt>
                <c:pt idx="81">
                  <c:v>0.58319072058395705</c:v>
                </c:pt>
                <c:pt idx="82">
                  <c:v>0.58319072058395705</c:v>
                </c:pt>
                <c:pt idx="83">
                  <c:v>0.58319072058395705</c:v>
                </c:pt>
                <c:pt idx="84">
                  <c:v>0.58319072058395705</c:v>
                </c:pt>
                <c:pt idx="85">
                  <c:v>0.58319072058395705</c:v>
                </c:pt>
                <c:pt idx="86">
                  <c:v>-3.416809279416043</c:v>
                </c:pt>
                <c:pt idx="87">
                  <c:v>0.58319072058395705</c:v>
                </c:pt>
                <c:pt idx="88">
                  <c:v>0.58319072058395705</c:v>
                </c:pt>
                <c:pt idx="89">
                  <c:v>0.58319072058395705</c:v>
                </c:pt>
                <c:pt idx="90">
                  <c:v>-10.416809279416043</c:v>
                </c:pt>
                <c:pt idx="91">
                  <c:v>-4.1555418996444509</c:v>
                </c:pt>
                <c:pt idx="92">
                  <c:v>-1.416809279416043</c:v>
                </c:pt>
                <c:pt idx="93">
                  <c:v>-2.5249082097586548</c:v>
                </c:pt>
                <c:pt idx="94">
                  <c:v>-6.1555418996444509</c:v>
                </c:pt>
                <c:pt idx="95">
                  <c:v>-5.1555418996444509</c:v>
                </c:pt>
                <c:pt idx="96">
                  <c:v>1.2138244104697531</c:v>
                </c:pt>
                <c:pt idx="97">
                  <c:v>-2.5249082097586548</c:v>
                </c:pt>
                <c:pt idx="98">
                  <c:v>-0.15554189964445087</c:v>
                </c:pt>
                <c:pt idx="99">
                  <c:v>-0.78617558953024691</c:v>
                </c:pt>
                <c:pt idx="100">
                  <c:v>-2.7861755895302469</c:v>
                </c:pt>
                <c:pt idx="101">
                  <c:v>21.213824410469755</c:v>
                </c:pt>
                <c:pt idx="102">
                  <c:v>-6.7861755895302469</c:v>
                </c:pt>
                <c:pt idx="103">
                  <c:v>-11.416809279416043</c:v>
                </c:pt>
                <c:pt idx="104">
                  <c:v>0.84445810035554913</c:v>
                </c:pt>
                <c:pt idx="105">
                  <c:v>-11.416809279416043</c:v>
                </c:pt>
                <c:pt idx="106">
                  <c:v>-10.416809279416043</c:v>
                </c:pt>
                <c:pt idx="107">
                  <c:v>4.9976265497845276</c:v>
                </c:pt>
                <c:pt idx="108">
                  <c:v>-8.7861755895302469</c:v>
                </c:pt>
                <c:pt idx="109">
                  <c:v>1.583190720583957</c:v>
                </c:pt>
                <c:pt idx="110">
                  <c:v>-11.416809279416043</c:v>
                </c:pt>
                <c:pt idx="111">
                  <c:v>0.21382441046975309</c:v>
                </c:pt>
                <c:pt idx="112">
                  <c:v>0.21382441046975309</c:v>
                </c:pt>
                <c:pt idx="113">
                  <c:v>8.583190720583957</c:v>
                </c:pt>
                <c:pt idx="114">
                  <c:v>-7.416809279416043</c:v>
                </c:pt>
                <c:pt idx="115">
                  <c:v>-3.5249082097586548</c:v>
                </c:pt>
                <c:pt idx="116">
                  <c:v>0.73635917001293727</c:v>
                </c:pt>
                <c:pt idx="117">
                  <c:v>-1.416809279416043</c:v>
                </c:pt>
                <c:pt idx="118">
                  <c:v>3.3669928598987333</c:v>
                </c:pt>
                <c:pt idx="119">
                  <c:v>-8.7861755895302469</c:v>
                </c:pt>
                <c:pt idx="120">
                  <c:v>-0.89427451987285878</c:v>
                </c:pt>
                <c:pt idx="121">
                  <c:v>-10.416809279416043</c:v>
                </c:pt>
                <c:pt idx="122">
                  <c:v>-3.5249082097586548</c:v>
                </c:pt>
                <c:pt idx="123">
                  <c:v>3.583190720583957</c:v>
                </c:pt>
                <c:pt idx="124">
                  <c:v>1.8444581003555491</c:v>
                </c:pt>
                <c:pt idx="125">
                  <c:v>-1.416809279416043</c:v>
                </c:pt>
                <c:pt idx="126">
                  <c:v>16.583190720583957</c:v>
                </c:pt>
                <c:pt idx="127">
                  <c:v>17.475091790241343</c:v>
                </c:pt>
                <c:pt idx="128">
                  <c:v>6.583190720583957</c:v>
                </c:pt>
                <c:pt idx="129">
                  <c:v>6.583190720583957</c:v>
                </c:pt>
                <c:pt idx="130">
                  <c:v>6.583190720583957</c:v>
                </c:pt>
                <c:pt idx="131">
                  <c:v>70.583190720583957</c:v>
                </c:pt>
                <c:pt idx="132">
                  <c:v>4.583190720583957</c:v>
                </c:pt>
                <c:pt idx="133">
                  <c:v>-4.416809279416043</c:v>
                </c:pt>
                <c:pt idx="134">
                  <c:v>-6.1555418996444509</c:v>
                </c:pt>
                <c:pt idx="135">
                  <c:v>-7.7861755895302469</c:v>
                </c:pt>
                <c:pt idx="136">
                  <c:v>11.583190720583957</c:v>
                </c:pt>
                <c:pt idx="137">
                  <c:v>-10.416809279416043</c:v>
                </c:pt>
                <c:pt idx="138">
                  <c:v>-8.7861755895302469</c:v>
                </c:pt>
                <c:pt idx="139">
                  <c:v>-10.416809279416043</c:v>
                </c:pt>
                <c:pt idx="140">
                  <c:v>-3.416809279416043</c:v>
                </c:pt>
                <c:pt idx="141">
                  <c:v>-0.52490820975865482</c:v>
                </c:pt>
                <c:pt idx="142">
                  <c:v>5.2138244104697531</c:v>
                </c:pt>
                <c:pt idx="143">
                  <c:v>-2.7861755895302469</c:v>
                </c:pt>
                <c:pt idx="144">
                  <c:v>21.213824410469755</c:v>
                </c:pt>
                <c:pt idx="145">
                  <c:v>-3.1555418996444509</c:v>
                </c:pt>
                <c:pt idx="146">
                  <c:v>1.7363591700129373</c:v>
                </c:pt>
                <c:pt idx="147">
                  <c:v>-3.416809279416043</c:v>
                </c:pt>
                <c:pt idx="148">
                  <c:v>-6.1555418996444509</c:v>
                </c:pt>
                <c:pt idx="149">
                  <c:v>-3.5249082097586548</c:v>
                </c:pt>
                <c:pt idx="150">
                  <c:v>-7.7861755895302469</c:v>
                </c:pt>
                <c:pt idx="151">
                  <c:v>-3.5249082097586548</c:v>
                </c:pt>
                <c:pt idx="152">
                  <c:v>3.2138244104697531</c:v>
                </c:pt>
                <c:pt idx="153">
                  <c:v>3.1057254801271412</c:v>
                </c:pt>
                <c:pt idx="154">
                  <c:v>-8.416809279416043</c:v>
                </c:pt>
                <c:pt idx="155">
                  <c:v>0.58319072058395705</c:v>
                </c:pt>
                <c:pt idx="156">
                  <c:v>-3.7861755895302469</c:v>
                </c:pt>
                <c:pt idx="157">
                  <c:v>0.58319072058395705</c:v>
                </c:pt>
                <c:pt idx="158">
                  <c:v>-1.416809279416043</c:v>
                </c:pt>
                <c:pt idx="159">
                  <c:v>0.58319072058395705</c:v>
                </c:pt>
                <c:pt idx="160">
                  <c:v>0.58319072058395705</c:v>
                </c:pt>
                <c:pt idx="161">
                  <c:v>0.58319072058395705</c:v>
                </c:pt>
                <c:pt idx="162">
                  <c:v>0.58319072058395705</c:v>
                </c:pt>
                <c:pt idx="163">
                  <c:v>0.58319072058395705</c:v>
                </c:pt>
                <c:pt idx="164">
                  <c:v>0.58319072058395705</c:v>
                </c:pt>
                <c:pt idx="165">
                  <c:v>0.58319072058395705</c:v>
                </c:pt>
                <c:pt idx="166">
                  <c:v>-0.41680927941604295</c:v>
                </c:pt>
                <c:pt idx="167">
                  <c:v>0.58319072058395705</c:v>
                </c:pt>
                <c:pt idx="168">
                  <c:v>0.58319072058395705</c:v>
                </c:pt>
                <c:pt idx="169">
                  <c:v>0.58319072058395705</c:v>
                </c:pt>
                <c:pt idx="170">
                  <c:v>0.58319072058395705</c:v>
                </c:pt>
                <c:pt idx="171">
                  <c:v>0.58319072058395705</c:v>
                </c:pt>
                <c:pt idx="172">
                  <c:v>0.58319072058395705</c:v>
                </c:pt>
                <c:pt idx="173">
                  <c:v>0.58319072058395705</c:v>
                </c:pt>
                <c:pt idx="174">
                  <c:v>0.58319072058395705</c:v>
                </c:pt>
                <c:pt idx="175">
                  <c:v>0.58319072058395705</c:v>
                </c:pt>
                <c:pt idx="176">
                  <c:v>0.58319072058395705</c:v>
                </c:pt>
                <c:pt idx="177">
                  <c:v>0.58319072058395705</c:v>
                </c:pt>
                <c:pt idx="178">
                  <c:v>0.58319072058395705</c:v>
                </c:pt>
                <c:pt idx="179">
                  <c:v>-0.41680927941604295</c:v>
                </c:pt>
                <c:pt idx="180">
                  <c:v>-9.416809279416043</c:v>
                </c:pt>
                <c:pt idx="181">
                  <c:v>-0.89427451987285878</c:v>
                </c:pt>
                <c:pt idx="182">
                  <c:v>-4.416809279416043</c:v>
                </c:pt>
                <c:pt idx="183">
                  <c:v>-4.1555418996444509</c:v>
                </c:pt>
                <c:pt idx="184">
                  <c:v>-8.7861755895302469</c:v>
                </c:pt>
                <c:pt idx="185">
                  <c:v>-8.7861755895302469</c:v>
                </c:pt>
                <c:pt idx="186">
                  <c:v>0.21382441046975309</c:v>
                </c:pt>
                <c:pt idx="187">
                  <c:v>-2.5249082097586548</c:v>
                </c:pt>
                <c:pt idx="188">
                  <c:v>4.7363591700129373</c:v>
                </c:pt>
                <c:pt idx="189">
                  <c:v>7.583190720583957</c:v>
                </c:pt>
                <c:pt idx="190">
                  <c:v>-2.416809279416043</c:v>
                </c:pt>
                <c:pt idx="191">
                  <c:v>-3.416809279416043</c:v>
                </c:pt>
                <c:pt idx="192">
                  <c:v>-0.89427451987285878</c:v>
                </c:pt>
                <c:pt idx="193">
                  <c:v>-2.5249082097586548</c:v>
                </c:pt>
                <c:pt idx="194">
                  <c:v>8.583190720583957</c:v>
                </c:pt>
                <c:pt idx="195">
                  <c:v>-10.416809279416043</c:v>
                </c:pt>
                <c:pt idx="196">
                  <c:v>-8.7861755895302469</c:v>
                </c:pt>
                <c:pt idx="197">
                  <c:v>-0.89427451987285878</c:v>
                </c:pt>
                <c:pt idx="198">
                  <c:v>-2.7861755895302469</c:v>
                </c:pt>
                <c:pt idx="199">
                  <c:v>-6.1555418996444509</c:v>
                </c:pt>
                <c:pt idx="200">
                  <c:v>1.4750917902413452</c:v>
                </c:pt>
                <c:pt idx="201">
                  <c:v>-3.7861755895302469</c:v>
                </c:pt>
                <c:pt idx="202">
                  <c:v>9.583190720583957</c:v>
                </c:pt>
                <c:pt idx="203">
                  <c:v>-2.7861755895302469</c:v>
                </c:pt>
                <c:pt idx="204">
                  <c:v>-4.7861755895302469</c:v>
                </c:pt>
                <c:pt idx="205">
                  <c:v>-4.1555418996444509</c:v>
                </c:pt>
                <c:pt idx="206">
                  <c:v>-0.26364082998706273</c:v>
                </c:pt>
                <c:pt idx="207">
                  <c:v>8.2138244104697531</c:v>
                </c:pt>
                <c:pt idx="208">
                  <c:v>-10.416809279416043</c:v>
                </c:pt>
                <c:pt idx="209">
                  <c:v>-5.1555418996444509</c:v>
                </c:pt>
                <c:pt idx="210">
                  <c:v>-2.416809279416043</c:v>
                </c:pt>
                <c:pt idx="211">
                  <c:v>0.10572548012714122</c:v>
                </c:pt>
                <c:pt idx="212">
                  <c:v>6.9976265497845276</c:v>
                </c:pt>
                <c:pt idx="213">
                  <c:v>0.84445810035554913</c:v>
                </c:pt>
                <c:pt idx="214">
                  <c:v>6.8444581003555491</c:v>
                </c:pt>
                <c:pt idx="215">
                  <c:v>-2.416809279416043</c:v>
                </c:pt>
                <c:pt idx="216">
                  <c:v>9.583190720583957</c:v>
                </c:pt>
                <c:pt idx="217">
                  <c:v>12.583190720583957</c:v>
                </c:pt>
                <c:pt idx="218">
                  <c:v>60.583190720583957</c:v>
                </c:pt>
                <c:pt idx="219">
                  <c:v>10.583190720583957</c:v>
                </c:pt>
                <c:pt idx="220">
                  <c:v>8.583190720583957</c:v>
                </c:pt>
                <c:pt idx="221">
                  <c:v>-0.41680927941604295</c:v>
                </c:pt>
                <c:pt idx="222">
                  <c:v>48.583190720583957</c:v>
                </c:pt>
                <c:pt idx="223">
                  <c:v>0.73635917001293727</c:v>
                </c:pt>
                <c:pt idx="224">
                  <c:v>-10.416809279416043</c:v>
                </c:pt>
                <c:pt idx="225">
                  <c:v>-5.1555418996444509</c:v>
                </c:pt>
                <c:pt idx="226">
                  <c:v>-2.5249082097586548</c:v>
                </c:pt>
                <c:pt idx="227">
                  <c:v>6.2138244104697531</c:v>
                </c:pt>
                <c:pt idx="228">
                  <c:v>2.1057254801271412</c:v>
                </c:pt>
                <c:pt idx="229">
                  <c:v>-2.7861755895302469</c:v>
                </c:pt>
                <c:pt idx="230">
                  <c:v>-7.416809279416043</c:v>
                </c:pt>
                <c:pt idx="231">
                  <c:v>9.583190720583957</c:v>
                </c:pt>
                <c:pt idx="232">
                  <c:v>-2.416809279416043</c:v>
                </c:pt>
                <c:pt idx="233">
                  <c:v>-10.416809279416043</c:v>
                </c:pt>
                <c:pt idx="234">
                  <c:v>0.58319072058395705</c:v>
                </c:pt>
                <c:pt idx="235">
                  <c:v>-11.416809279416043</c:v>
                </c:pt>
                <c:pt idx="236">
                  <c:v>-0.89427451987285878</c:v>
                </c:pt>
                <c:pt idx="237">
                  <c:v>-0.89427451987285878</c:v>
                </c:pt>
                <c:pt idx="238">
                  <c:v>-5.416809279416043</c:v>
                </c:pt>
                <c:pt idx="239">
                  <c:v>-11.416809279416043</c:v>
                </c:pt>
                <c:pt idx="240">
                  <c:v>-5.1555418996444509</c:v>
                </c:pt>
                <c:pt idx="241">
                  <c:v>-3.1555418996444509</c:v>
                </c:pt>
                <c:pt idx="242">
                  <c:v>3.2138244104697531</c:v>
                </c:pt>
                <c:pt idx="243">
                  <c:v>0.58319072058395705</c:v>
                </c:pt>
                <c:pt idx="244">
                  <c:v>0.58319072058395705</c:v>
                </c:pt>
                <c:pt idx="245">
                  <c:v>1.8444581003555491</c:v>
                </c:pt>
                <c:pt idx="246">
                  <c:v>0.58319072058395705</c:v>
                </c:pt>
                <c:pt idx="247">
                  <c:v>3.2138244104697531</c:v>
                </c:pt>
                <c:pt idx="248">
                  <c:v>0.58319072058395705</c:v>
                </c:pt>
                <c:pt idx="249">
                  <c:v>0.58319072058395705</c:v>
                </c:pt>
                <c:pt idx="250">
                  <c:v>0.58319072058395705</c:v>
                </c:pt>
                <c:pt idx="251">
                  <c:v>0.58319072058395705</c:v>
                </c:pt>
                <c:pt idx="252">
                  <c:v>0.58319072058395705</c:v>
                </c:pt>
                <c:pt idx="253">
                  <c:v>0.58319072058395705</c:v>
                </c:pt>
                <c:pt idx="254">
                  <c:v>0.58319072058395705</c:v>
                </c:pt>
                <c:pt idx="255">
                  <c:v>-2.416809279416043</c:v>
                </c:pt>
                <c:pt idx="256">
                  <c:v>2.2138244104697531</c:v>
                </c:pt>
                <c:pt idx="257">
                  <c:v>0.58319072058395705</c:v>
                </c:pt>
                <c:pt idx="258">
                  <c:v>0.58319072058395705</c:v>
                </c:pt>
                <c:pt idx="259">
                  <c:v>0.58319072058395705</c:v>
                </c:pt>
                <c:pt idx="260">
                  <c:v>0.58319072058395705</c:v>
                </c:pt>
                <c:pt idx="261">
                  <c:v>0.58319072058395705</c:v>
                </c:pt>
                <c:pt idx="262">
                  <c:v>0.58319072058395705</c:v>
                </c:pt>
                <c:pt idx="263">
                  <c:v>0.58319072058395705</c:v>
                </c:pt>
                <c:pt idx="264">
                  <c:v>0.58319072058395705</c:v>
                </c:pt>
                <c:pt idx="265">
                  <c:v>0.58319072058395705</c:v>
                </c:pt>
                <c:pt idx="266">
                  <c:v>0.58319072058395705</c:v>
                </c:pt>
                <c:pt idx="267">
                  <c:v>0.58319072058395705</c:v>
                </c:pt>
                <c:pt idx="268">
                  <c:v>0.58319072058395705</c:v>
                </c:pt>
                <c:pt idx="269">
                  <c:v>0.58319072058395705</c:v>
                </c:pt>
                <c:pt idx="270">
                  <c:v>-10.416809279416043</c:v>
                </c:pt>
                <c:pt idx="271">
                  <c:v>0.10572548012714122</c:v>
                </c:pt>
                <c:pt idx="272">
                  <c:v>-5.1555418996444509</c:v>
                </c:pt>
                <c:pt idx="273">
                  <c:v>1.583190720583957</c:v>
                </c:pt>
                <c:pt idx="274">
                  <c:v>2.7363591700129373</c:v>
                </c:pt>
                <c:pt idx="275">
                  <c:v>-8.7861755895302469</c:v>
                </c:pt>
                <c:pt idx="276">
                  <c:v>0.73635917001293727</c:v>
                </c:pt>
                <c:pt idx="277">
                  <c:v>-7.1555418996444509</c:v>
                </c:pt>
                <c:pt idx="278">
                  <c:v>7.8444581003555491</c:v>
                </c:pt>
                <c:pt idx="279">
                  <c:v>-3.7861755895302469</c:v>
                </c:pt>
                <c:pt idx="280">
                  <c:v>-1.416809279416043</c:v>
                </c:pt>
                <c:pt idx="281">
                  <c:v>-6.416809279416043</c:v>
                </c:pt>
                <c:pt idx="282">
                  <c:v>4.9976265497845276</c:v>
                </c:pt>
                <c:pt idx="283">
                  <c:v>-9.7861755895302469</c:v>
                </c:pt>
                <c:pt idx="284">
                  <c:v>19.583190720583957</c:v>
                </c:pt>
                <c:pt idx="285">
                  <c:v>-11.416809279416043</c:v>
                </c:pt>
                <c:pt idx="286">
                  <c:v>-6.7861755895302469</c:v>
                </c:pt>
                <c:pt idx="287">
                  <c:v>-4.5249082097586548</c:v>
                </c:pt>
                <c:pt idx="288">
                  <c:v>-1.7861755895302469</c:v>
                </c:pt>
                <c:pt idx="289">
                  <c:v>-9.7861755895302469</c:v>
                </c:pt>
                <c:pt idx="290">
                  <c:v>1.7363591700129373</c:v>
                </c:pt>
                <c:pt idx="291">
                  <c:v>5.8444581003555491</c:v>
                </c:pt>
                <c:pt idx="292">
                  <c:v>-4.416809279416043</c:v>
                </c:pt>
                <c:pt idx="293">
                  <c:v>0.21382441046975309</c:v>
                </c:pt>
                <c:pt idx="294">
                  <c:v>-6.416809279416043</c:v>
                </c:pt>
                <c:pt idx="295">
                  <c:v>-9.7861755895302469</c:v>
                </c:pt>
                <c:pt idx="296">
                  <c:v>15.213824410469753</c:v>
                </c:pt>
                <c:pt idx="297">
                  <c:v>-8.416809279416043</c:v>
                </c:pt>
                <c:pt idx="298">
                  <c:v>-3.5249082097586548</c:v>
                </c:pt>
                <c:pt idx="299">
                  <c:v>-1.8942745198728588</c:v>
                </c:pt>
                <c:pt idx="300">
                  <c:v>-0.41680927941604295</c:v>
                </c:pt>
                <c:pt idx="301">
                  <c:v>-3.5249082097586548</c:v>
                </c:pt>
                <c:pt idx="302">
                  <c:v>-3.5249082097586548</c:v>
                </c:pt>
                <c:pt idx="303">
                  <c:v>-3.1555418996444509</c:v>
                </c:pt>
                <c:pt idx="304">
                  <c:v>12.213824410469753</c:v>
                </c:pt>
                <c:pt idx="305">
                  <c:v>-0.41680927941604295</c:v>
                </c:pt>
                <c:pt idx="306">
                  <c:v>-1.1555418996444509</c:v>
                </c:pt>
                <c:pt idx="307">
                  <c:v>5.2138244104697531</c:v>
                </c:pt>
                <c:pt idx="308">
                  <c:v>1.583190720583957</c:v>
                </c:pt>
                <c:pt idx="309">
                  <c:v>11.583190720583957</c:v>
                </c:pt>
                <c:pt idx="310">
                  <c:v>80.583190720583957</c:v>
                </c:pt>
                <c:pt idx="311">
                  <c:v>5.583190720583957</c:v>
                </c:pt>
                <c:pt idx="312">
                  <c:v>7.583190720583957</c:v>
                </c:pt>
                <c:pt idx="313">
                  <c:v>-2.416809279416043</c:v>
                </c:pt>
                <c:pt idx="314">
                  <c:v>-7.7861755895302469</c:v>
                </c:pt>
                <c:pt idx="315">
                  <c:v>28.583190720583957</c:v>
                </c:pt>
                <c:pt idx="316">
                  <c:v>-5.1555418996444509</c:v>
                </c:pt>
                <c:pt idx="317">
                  <c:v>-9.7861755895302469</c:v>
                </c:pt>
                <c:pt idx="318">
                  <c:v>-7.7861755895302469</c:v>
                </c:pt>
                <c:pt idx="319">
                  <c:v>-6.1555418996444509</c:v>
                </c:pt>
                <c:pt idx="320">
                  <c:v>1.583190720583957</c:v>
                </c:pt>
                <c:pt idx="321">
                  <c:v>0.10572548012714122</c:v>
                </c:pt>
                <c:pt idx="322">
                  <c:v>0.47509179024134518</c:v>
                </c:pt>
                <c:pt idx="323">
                  <c:v>0.58319072058395705</c:v>
                </c:pt>
                <c:pt idx="324">
                  <c:v>-7.416809279416043</c:v>
                </c:pt>
                <c:pt idx="325">
                  <c:v>26.844458100355549</c:v>
                </c:pt>
                <c:pt idx="326">
                  <c:v>-11.416809279416043</c:v>
                </c:pt>
                <c:pt idx="327">
                  <c:v>-8.7861755895302469</c:v>
                </c:pt>
                <c:pt idx="328">
                  <c:v>-4.416809279416043</c:v>
                </c:pt>
                <c:pt idx="329">
                  <c:v>-10.416809279416043</c:v>
                </c:pt>
                <c:pt idx="330">
                  <c:v>-1.8942745198728588</c:v>
                </c:pt>
                <c:pt idx="331">
                  <c:v>-6.7861755895302469</c:v>
                </c:pt>
                <c:pt idx="332">
                  <c:v>-3.416809279416043</c:v>
                </c:pt>
                <c:pt idx="333">
                  <c:v>-3.5249082097586548</c:v>
                </c:pt>
                <c:pt idx="334">
                  <c:v>-0.89427451987285878</c:v>
                </c:pt>
                <c:pt idx="335">
                  <c:v>3.7363591700129373</c:v>
                </c:pt>
                <c:pt idx="336">
                  <c:v>3.2138244104697531</c:v>
                </c:pt>
                <c:pt idx="337">
                  <c:v>1.2138244104697531</c:v>
                </c:pt>
                <c:pt idx="338">
                  <c:v>0.58319072058395705</c:v>
                </c:pt>
                <c:pt idx="339">
                  <c:v>-7.416809279416043</c:v>
                </c:pt>
                <c:pt idx="340">
                  <c:v>0.58319072058395705</c:v>
                </c:pt>
                <c:pt idx="341">
                  <c:v>3.2138244104697531</c:v>
                </c:pt>
                <c:pt idx="342">
                  <c:v>0.58319072058395705</c:v>
                </c:pt>
                <c:pt idx="343">
                  <c:v>0.58319072058395705</c:v>
                </c:pt>
                <c:pt idx="344">
                  <c:v>0.58319072058395705</c:v>
                </c:pt>
                <c:pt idx="345">
                  <c:v>0.58319072058395705</c:v>
                </c:pt>
                <c:pt idx="346">
                  <c:v>0.58319072058395705</c:v>
                </c:pt>
                <c:pt idx="347">
                  <c:v>0.58319072058395705</c:v>
                </c:pt>
                <c:pt idx="348">
                  <c:v>0.58319072058395705</c:v>
                </c:pt>
                <c:pt idx="349">
                  <c:v>0.58319072058395705</c:v>
                </c:pt>
                <c:pt idx="350">
                  <c:v>0.58319072058395705</c:v>
                </c:pt>
                <c:pt idx="351">
                  <c:v>-3.416809279416043</c:v>
                </c:pt>
                <c:pt idx="352">
                  <c:v>4.8444581003555491</c:v>
                </c:pt>
                <c:pt idx="353">
                  <c:v>0.58319072058395705</c:v>
                </c:pt>
                <c:pt idx="354">
                  <c:v>0.58319072058395705</c:v>
                </c:pt>
                <c:pt idx="355">
                  <c:v>0.58319072058395705</c:v>
                </c:pt>
                <c:pt idx="356">
                  <c:v>0.58319072058395705</c:v>
                </c:pt>
                <c:pt idx="357">
                  <c:v>0.58319072058395705</c:v>
                </c:pt>
                <c:pt idx="358">
                  <c:v>0.58319072058395705</c:v>
                </c:pt>
                <c:pt idx="359">
                  <c:v>0.58319072058395705</c:v>
                </c:pt>
                <c:pt idx="360">
                  <c:v>0.58319072058395705</c:v>
                </c:pt>
                <c:pt idx="361">
                  <c:v>0.58319072058395705</c:v>
                </c:pt>
                <c:pt idx="362">
                  <c:v>-10.416809279416043</c:v>
                </c:pt>
                <c:pt idx="363">
                  <c:v>-6.1555418996444509</c:v>
                </c:pt>
                <c:pt idx="364">
                  <c:v>-8.7861755895302469</c:v>
                </c:pt>
                <c:pt idx="365">
                  <c:v>-2.8942745198728588</c:v>
                </c:pt>
                <c:pt idx="366">
                  <c:v>0.58319072058395705</c:v>
                </c:pt>
                <c:pt idx="367">
                  <c:v>-5.1555418996444509</c:v>
                </c:pt>
                <c:pt idx="368">
                  <c:v>-3.5249082097586548</c:v>
                </c:pt>
                <c:pt idx="369">
                  <c:v>-0.89427451987285878</c:v>
                </c:pt>
                <c:pt idx="370">
                  <c:v>-2.1555418996444509</c:v>
                </c:pt>
                <c:pt idx="371">
                  <c:v>11.583190720583957</c:v>
                </c:pt>
                <c:pt idx="372">
                  <c:v>-1.416809279416043</c:v>
                </c:pt>
                <c:pt idx="373">
                  <c:v>-1.1555418996444509</c:v>
                </c:pt>
                <c:pt idx="374">
                  <c:v>-9.416809279416043</c:v>
                </c:pt>
                <c:pt idx="375">
                  <c:v>4.583190720583957</c:v>
                </c:pt>
                <c:pt idx="376">
                  <c:v>-2.5249082097586548</c:v>
                </c:pt>
                <c:pt idx="377">
                  <c:v>-0.89427451987285878</c:v>
                </c:pt>
                <c:pt idx="378">
                  <c:v>-7.7861755895302469</c:v>
                </c:pt>
                <c:pt idx="379">
                  <c:v>-3.416809279416043</c:v>
                </c:pt>
                <c:pt idx="380">
                  <c:v>6.3669928598987333</c:v>
                </c:pt>
                <c:pt idx="381">
                  <c:v>-2.7861755895302469</c:v>
                </c:pt>
                <c:pt idx="382">
                  <c:v>-0.78617558953024691</c:v>
                </c:pt>
                <c:pt idx="383">
                  <c:v>17.583190720583957</c:v>
                </c:pt>
                <c:pt idx="384">
                  <c:v>-2.1555418996444509</c:v>
                </c:pt>
                <c:pt idx="385">
                  <c:v>-7.7861755895302469</c:v>
                </c:pt>
                <c:pt idx="386">
                  <c:v>-10.416809279416043</c:v>
                </c:pt>
                <c:pt idx="387">
                  <c:v>1.7363591700129373</c:v>
                </c:pt>
                <c:pt idx="388">
                  <c:v>-7.7861755895302469</c:v>
                </c:pt>
                <c:pt idx="389">
                  <c:v>4.583190720583957</c:v>
                </c:pt>
                <c:pt idx="390">
                  <c:v>-11.416809279416043</c:v>
                </c:pt>
                <c:pt idx="391">
                  <c:v>-6.1555418996444509</c:v>
                </c:pt>
                <c:pt idx="392">
                  <c:v>-6.1555418996444509</c:v>
                </c:pt>
                <c:pt idx="393">
                  <c:v>-7.416809279416043</c:v>
                </c:pt>
                <c:pt idx="394">
                  <c:v>5.2138244104697531</c:v>
                </c:pt>
                <c:pt idx="395">
                  <c:v>-1.1555418996444509</c:v>
                </c:pt>
                <c:pt idx="396">
                  <c:v>-1.7861755895302469</c:v>
                </c:pt>
                <c:pt idx="397">
                  <c:v>10.583190720583957</c:v>
                </c:pt>
                <c:pt idx="398">
                  <c:v>3.583190720583957</c:v>
                </c:pt>
                <c:pt idx="399">
                  <c:v>51.583190720583957</c:v>
                </c:pt>
                <c:pt idx="400">
                  <c:v>8.583190720583957</c:v>
                </c:pt>
                <c:pt idx="401">
                  <c:v>3.583190720583957</c:v>
                </c:pt>
                <c:pt idx="402">
                  <c:v>4.2138244104697531</c:v>
                </c:pt>
                <c:pt idx="403">
                  <c:v>3.2138244104697531</c:v>
                </c:pt>
                <c:pt idx="404">
                  <c:v>-10.416809279416043</c:v>
                </c:pt>
                <c:pt idx="405">
                  <c:v>65.583190720583957</c:v>
                </c:pt>
                <c:pt idx="406">
                  <c:v>-5.1555418996444509</c:v>
                </c:pt>
                <c:pt idx="407">
                  <c:v>-1.8942745198728588</c:v>
                </c:pt>
                <c:pt idx="408">
                  <c:v>-7.1555418996444509</c:v>
                </c:pt>
                <c:pt idx="409">
                  <c:v>0.73635917001293727</c:v>
                </c:pt>
                <c:pt idx="410">
                  <c:v>-0.41680927941604295</c:v>
                </c:pt>
                <c:pt idx="411">
                  <c:v>-11.416809279416043</c:v>
                </c:pt>
                <c:pt idx="412">
                  <c:v>-2.5249082097586548</c:v>
                </c:pt>
                <c:pt idx="413">
                  <c:v>-2.1555418996444509</c:v>
                </c:pt>
                <c:pt idx="414">
                  <c:v>2.583190720583957</c:v>
                </c:pt>
                <c:pt idx="415">
                  <c:v>-4.416809279416043</c:v>
                </c:pt>
                <c:pt idx="416">
                  <c:v>-0.78617558953024691</c:v>
                </c:pt>
                <c:pt idx="417">
                  <c:v>8.2138244104697531</c:v>
                </c:pt>
                <c:pt idx="418">
                  <c:v>-7.7861755895302469</c:v>
                </c:pt>
                <c:pt idx="419">
                  <c:v>-7.7861755895302469</c:v>
                </c:pt>
                <c:pt idx="420">
                  <c:v>-6.1555418996444509</c:v>
                </c:pt>
                <c:pt idx="421">
                  <c:v>-1.416809279416043</c:v>
                </c:pt>
                <c:pt idx="422">
                  <c:v>-1.8942745198728588</c:v>
                </c:pt>
                <c:pt idx="423">
                  <c:v>11.258893929556123</c:v>
                </c:pt>
                <c:pt idx="424">
                  <c:v>-10.416809279416043</c:v>
                </c:pt>
                <c:pt idx="425">
                  <c:v>-2.416809279416043</c:v>
                </c:pt>
                <c:pt idx="426">
                  <c:v>-8.416809279416043</c:v>
                </c:pt>
                <c:pt idx="427">
                  <c:v>-5.416809279416043</c:v>
                </c:pt>
                <c:pt idx="428">
                  <c:v>3.2138244104697531</c:v>
                </c:pt>
                <c:pt idx="429">
                  <c:v>-0.41680927941604295</c:v>
                </c:pt>
                <c:pt idx="430">
                  <c:v>0.58319072058395705</c:v>
                </c:pt>
                <c:pt idx="431">
                  <c:v>3.2138244104697531</c:v>
                </c:pt>
                <c:pt idx="432">
                  <c:v>0.58319072058395705</c:v>
                </c:pt>
                <c:pt idx="433">
                  <c:v>0.58319072058395705</c:v>
                </c:pt>
                <c:pt idx="434">
                  <c:v>0.58319072058395705</c:v>
                </c:pt>
                <c:pt idx="435">
                  <c:v>0.58319072058395705</c:v>
                </c:pt>
                <c:pt idx="436">
                  <c:v>0.58319072058395705</c:v>
                </c:pt>
                <c:pt idx="437">
                  <c:v>0.58319072058395705</c:v>
                </c:pt>
                <c:pt idx="438">
                  <c:v>0.58319072058395705</c:v>
                </c:pt>
                <c:pt idx="439">
                  <c:v>0.58319072058395705</c:v>
                </c:pt>
                <c:pt idx="440">
                  <c:v>0.58319072058395705</c:v>
                </c:pt>
                <c:pt idx="441">
                  <c:v>5.8444581003555491</c:v>
                </c:pt>
                <c:pt idx="442">
                  <c:v>0.58319072058395705</c:v>
                </c:pt>
                <c:pt idx="443">
                  <c:v>0.58319072058395705</c:v>
                </c:pt>
                <c:pt idx="444">
                  <c:v>0.58319072058395705</c:v>
                </c:pt>
                <c:pt idx="445">
                  <c:v>0.58319072058395705</c:v>
                </c:pt>
                <c:pt idx="446">
                  <c:v>0.58319072058395705</c:v>
                </c:pt>
                <c:pt idx="447">
                  <c:v>0.58319072058395705</c:v>
                </c:pt>
                <c:pt idx="448">
                  <c:v>0.58319072058395705</c:v>
                </c:pt>
                <c:pt idx="449">
                  <c:v>0.58319072058395705</c:v>
                </c:pt>
                <c:pt idx="450">
                  <c:v>0.58319072058395705</c:v>
                </c:pt>
                <c:pt idx="451">
                  <c:v>0.58319072058395705</c:v>
                </c:pt>
                <c:pt idx="452">
                  <c:v>-10.416809279416043</c:v>
                </c:pt>
                <c:pt idx="453">
                  <c:v>-7.7861755895302469</c:v>
                </c:pt>
                <c:pt idx="454">
                  <c:v>-5.416809279416043</c:v>
                </c:pt>
                <c:pt idx="455">
                  <c:v>-10.416809279416043</c:v>
                </c:pt>
                <c:pt idx="456">
                  <c:v>3.3669928598987333</c:v>
                </c:pt>
                <c:pt idx="457">
                  <c:v>0.73635917001293727</c:v>
                </c:pt>
                <c:pt idx="458">
                  <c:v>-6.1555418996444509</c:v>
                </c:pt>
                <c:pt idx="459">
                  <c:v>2.583190720583957</c:v>
                </c:pt>
                <c:pt idx="460">
                  <c:v>-8.7861755895302469</c:v>
                </c:pt>
                <c:pt idx="461">
                  <c:v>1.4750917902413452</c:v>
                </c:pt>
                <c:pt idx="462">
                  <c:v>0.58319072058395705</c:v>
                </c:pt>
                <c:pt idx="463">
                  <c:v>-2.1555418996444509</c:v>
                </c:pt>
                <c:pt idx="464">
                  <c:v>-0.41680927941604295</c:v>
                </c:pt>
                <c:pt idx="465">
                  <c:v>10.258893929556123</c:v>
                </c:pt>
                <c:pt idx="466">
                  <c:v>-0.89427451987285878</c:v>
                </c:pt>
                <c:pt idx="467">
                  <c:v>7.583190720583957</c:v>
                </c:pt>
                <c:pt idx="468">
                  <c:v>-8.7861755895302469</c:v>
                </c:pt>
                <c:pt idx="469">
                  <c:v>-11.416809279416043</c:v>
                </c:pt>
                <c:pt idx="470">
                  <c:v>-5.1555418996444509</c:v>
                </c:pt>
                <c:pt idx="471">
                  <c:v>-5.416809279416043</c:v>
                </c:pt>
                <c:pt idx="472">
                  <c:v>-7.7861755895302469</c:v>
                </c:pt>
                <c:pt idx="473">
                  <c:v>-11.416809279416043</c:v>
                </c:pt>
                <c:pt idx="474">
                  <c:v>-3.416809279416043</c:v>
                </c:pt>
                <c:pt idx="475">
                  <c:v>-1.1555418996444509</c:v>
                </c:pt>
                <c:pt idx="476">
                  <c:v>-3.416809279416043</c:v>
                </c:pt>
                <c:pt idx="477">
                  <c:v>-6.416809279416043</c:v>
                </c:pt>
                <c:pt idx="478">
                  <c:v>-4.5249082097586548</c:v>
                </c:pt>
                <c:pt idx="479">
                  <c:v>13.583190720583957</c:v>
                </c:pt>
                <c:pt idx="480">
                  <c:v>-11.416809279416043</c:v>
                </c:pt>
                <c:pt idx="481">
                  <c:v>-12.416809279416043</c:v>
                </c:pt>
                <c:pt idx="482">
                  <c:v>-12.416809279416043</c:v>
                </c:pt>
                <c:pt idx="483">
                  <c:v>-2.5249082097586548</c:v>
                </c:pt>
                <c:pt idx="484">
                  <c:v>0.73635917001293727</c:v>
                </c:pt>
                <c:pt idx="485">
                  <c:v>-0.41680927941604295</c:v>
                </c:pt>
                <c:pt idx="486">
                  <c:v>-5.1555418996444509</c:v>
                </c:pt>
                <c:pt idx="487">
                  <c:v>-6.1555418996444509</c:v>
                </c:pt>
                <c:pt idx="488">
                  <c:v>8.2138244104697531</c:v>
                </c:pt>
                <c:pt idx="489">
                  <c:v>-0.41680927941604295</c:v>
                </c:pt>
                <c:pt idx="490">
                  <c:v>8.583190720583957</c:v>
                </c:pt>
                <c:pt idx="491">
                  <c:v>31.583190720583957</c:v>
                </c:pt>
                <c:pt idx="492">
                  <c:v>6.583190720583957</c:v>
                </c:pt>
                <c:pt idx="493">
                  <c:v>13.583190720583957</c:v>
                </c:pt>
                <c:pt idx="494">
                  <c:v>17.583190720583957</c:v>
                </c:pt>
                <c:pt idx="495">
                  <c:v>49.583190720583957</c:v>
                </c:pt>
                <c:pt idx="496">
                  <c:v>12.213824410469753</c:v>
                </c:pt>
                <c:pt idx="497">
                  <c:v>2.7363591700129373</c:v>
                </c:pt>
                <c:pt idx="498">
                  <c:v>-4.1555418996444509</c:v>
                </c:pt>
                <c:pt idx="499">
                  <c:v>20.213824410469755</c:v>
                </c:pt>
                <c:pt idx="500">
                  <c:v>-5.1555418996444509</c:v>
                </c:pt>
                <c:pt idx="501">
                  <c:v>-10.416809279416043</c:v>
                </c:pt>
                <c:pt idx="502">
                  <c:v>-2.5249082097586548</c:v>
                </c:pt>
                <c:pt idx="503">
                  <c:v>-3.416809279416043</c:v>
                </c:pt>
                <c:pt idx="504">
                  <c:v>-7.416809279416043</c:v>
                </c:pt>
                <c:pt idx="505">
                  <c:v>-2.416809279416043</c:v>
                </c:pt>
                <c:pt idx="506">
                  <c:v>9.2138244104697531</c:v>
                </c:pt>
                <c:pt idx="507">
                  <c:v>0.21382441046975309</c:v>
                </c:pt>
                <c:pt idx="508">
                  <c:v>0.73635917001293727</c:v>
                </c:pt>
                <c:pt idx="509">
                  <c:v>0.58319072058395705</c:v>
                </c:pt>
                <c:pt idx="510">
                  <c:v>-8.7861755895302469</c:v>
                </c:pt>
                <c:pt idx="511">
                  <c:v>-0.89427451987285878</c:v>
                </c:pt>
                <c:pt idx="512">
                  <c:v>-6.1555418996444509</c:v>
                </c:pt>
                <c:pt idx="513">
                  <c:v>-8.7861755895302469</c:v>
                </c:pt>
                <c:pt idx="514">
                  <c:v>-2.416809279416043</c:v>
                </c:pt>
                <c:pt idx="515">
                  <c:v>1.1057254801271412</c:v>
                </c:pt>
                <c:pt idx="516">
                  <c:v>-7.1555418996444509</c:v>
                </c:pt>
                <c:pt idx="517">
                  <c:v>0.58319072058395705</c:v>
                </c:pt>
                <c:pt idx="518">
                  <c:v>-4.416809279416043</c:v>
                </c:pt>
                <c:pt idx="519">
                  <c:v>-0.15554189964445087</c:v>
                </c:pt>
                <c:pt idx="520">
                  <c:v>0.58319072058395705</c:v>
                </c:pt>
                <c:pt idx="521">
                  <c:v>0.58319072058395705</c:v>
                </c:pt>
                <c:pt idx="522">
                  <c:v>0.58319072058395705</c:v>
                </c:pt>
                <c:pt idx="523">
                  <c:v>-2.416809279416043</c:v>
                </c:pt>
                <c:pt idx="524">
                  <c:v>0.58319072058395705</c:v>
                </c:pt>
                <c:pt idx="525">
                  <c:v>0.58319072058395705</c:v>
                </c:pt>
                <c:pt idx="526">
                  <c:v>0.58319072058395705</c:v>
                </c:pt>
                <c:pt idx="527">
                  <c:v>0.58319072058395705</c:v>
                </c:pt>
                <c:pt idx="528">
                  <c:v>0.58319072058395705</c:v>
                </c:pt>
                <c:pt idx="529">
                  <c:v>0.58319072058395705</c:v>
                </c:pt>
                <c:pt idx="530">
                  <c:v>0.58319072058395705</c:v>
                </c:pt>
                <c:pt idx="531">
                  <c:v>0.58319072058395705</c:v>
                </c:pt>
                <c:pt idx="532">
                  <c:v>0.58319072058395705</c:v>
                </c:pt>
                <c:pt idx="533">
                  <c:v>0.58319072058395705</c:v>
                </c:pt>
                <c:pt idx="534">
                  <c:v>0.58319072058395705</c:v>
                </c:pt>
                <c:pt idx="535">
                  <c:v>0.58319072058395705</c:v>
                </c:pt>
                <c:pt idx="536">
                  <c:v>0.58319072058395705</c:v>
                </c:pt>
                <c:pt idx="537">
                  <c:v>0.58319072058395705</c:v>
                </c:pt>
                <c:pt idx="538">
                  <c:v>0.58319072058395705</c:v>
                </c:pt>
                <c:pt idx="539">
                  <c:v>0.58319072058395705</c:v>
                </c:pt>
                <c:pt idx="540">
                  <c:v>0.58319072058395705</c:v>
                </c:pt>
                <c:pt idx="541">
                  <c:v>0.58319072058395705</c:v>
                </c:pt>
                <c:pt idx="542">
                  <c:v>0.58319072058395705</c:v>
                </c:pt>
                <c:pt idx="543">
                  <c:v>0.58319072058395705</c:v>
                </c:pt>
                <c:pt idx="544">
                  <c:v>-9.416809279416043</c:v>
                </c:pt>
                <c:pt idx="545">
                  <c:v>-0.89427451987285878</c:v>
                </c:pt>
                <c:pt idx="546">
                  <c:v>-3.5249082097586548</c:v>
                </c:pt>
                <c:pt idx="547">
                  <c:v>-1.8942745198728588</c:v>
                </c:pt>
                <c:pt idx="548">
                  <c:v>2.583190720583957</c:v>
                </c:pt>
                <c:pt idx="549">
                  <c:v>-7.1555418996444509</c:v>
                </c:pt>
                <c:pt idx="550">
                  <c:v>-8.7861755895302469</c:v>
                </c:pt>
                <c:pt idx="551">
                  <c:v>-5.1555418996444509</c:v>
                </c:pt>
                <c:pt idx="552">
                  <c:v>-3.416809279416043</c:v>
                </c:pt>
                <c:pt idx="553">
                  <c:v>4.4750917902413452</c:v>
                </c:pt>
                <c:pt idx="554">
                  <c:v>2.2138244104697531</c:v>
                </c:pt>
                <c:pt idx="555">
                  <c:v>10.583190720583957</c:v>
                </c:pt>
                <c:pt idx="556">
                  <c:v>-0.52490820975865482</c:v>
                </c:pt>
                <c:pt idx="557">
                  <c:v>-2.5249082097586548</c:v>
                </c:pt>
                <c:pt idx="558">
                  <c:v>-0.89427451987285878</c:v>
                </c:pt>
                <c:pt idx="559">
                  <c:v>-6.1555418996444509</c:v>
                </c:pt>
                <c:pt idx="560">
                  <c:v>3.583190720583957</c:v>
                </c:pt>
                <c:pt idx="561">
                  <c:v>-10.416809279416043</c:v>
                </c:pt>
                <c:pt idx="562">
                  <c:v>-2.5249082097586548</c:v>
                </c:pt>
                <c:pt idx="563">
                  <c:v>0.73635917001293727</c:v>
                </c:pt>
                <c:pt idx="564">
                  <c:v>-2.7861755895302469</c:v>
                </c:pt>
                <c:pt idx="565">
                  <c:v>18.844458100355549</c:v>
                </c:pt>
                <c:pt idx="566">
                  <c:v>-1.7861755895302469</c:v>
                </c:pt>
                <c:pt idx="567">
                  <c:v>-5.416809279416043</c:v>
                </c:pt>
                <c:pt idx="568">
                  <c:v>4.3669928598987333</c:v>
                </c:pt>
                <c:pt idx="569">
                  <c:v>4.583190720583957</c:v>
                </c:pt>
                <c:pt idx="570">
                  <c:v>-10.416809279416043</c:v>
                </c:pt>
                <c:pt idx="571">
                  <c:v>-9.416809279416043</c:v>
                </c:pt>
                <c:pt idx="572">
                  <c:v>-3.5249082097586548</c:v>
                </c:pt>
                <c:pt idx="573">
                  <c:v>6.4750917902413452</c:v>
                </c:pt>
                <c:pt idx="574">
                  <c:v>-7.7861755895302469</c:v>
                </c:pt>
                <c:pt idx="575">
                  <c:v>-1.5249082097586548</c:v>
                </c:pt>
                <c:pt idx="576">
                  <c:v>6.583190720583957</c:v>
                </c:pt>
                <c:pt idx="577">
                  <c:v>9.2138244104697531</c:v>
                </c:pt>
                <c:pt idx="578">
                  <c:v>-2.416809279416043</c:v>
                </c:pt>
                <c:pt idx="579">
                  <c:v>26.583190720583957</c:v>
                </c:pt>
                <c:pt idx="580">
                  <c:v>13.583190720583957</c:v>
                </c:pt>
                <c:pt idx="581">
                  <c:v>8.583190720583957</c:v>
                </c:pt>
                <c:pt idx="582">
                  <c:v>11.583190720583957</c:v>
                </c:pt>
                <c:pt idx="583">
                  <c:v>69.213824410469755</c:v>
                </c:pt>
                <c:pt idx="584">
                  <c:v>14.844458100355549</c:v>
                </c:pt>
                <c:pt idx="585">
                  <c:v>-7.7861755895302469</c:v>
                </c:pt>
                <c:pt idx="586">
                  <c:v>-10.416809279416043</c:v>
                </c:pt>
                <c:pt idx="587">
                  <c:v>8.2138244104697531</c:v>
                </c:pt>
                <c:pt idx="588">
                  <c:v>-8.7861755895302469</c:v>
                </c:pt>
                <c:pt idx="589">
                  <c:v>-7.7861755895302469</c:v>
                </c:pt>
                <c:pt idx="590">
                  <c:v>-1.1555418996444509</c:v>
                </c:pt>
                <c:pt idx="591">
                  <c:v>-3.5249082097586548</c:v>
                </c:pt>
                <c:pt idx="592">
                  <c:v>-3.5249082097586548</c:v>
                </c:pt>
                <c:pt idx="593">
                  <c:v>-11.416809279416043</c:v>
                </c:pt>
                <c:pt idx="594">
                  <c:v>-1.1555418996444509</c:v>
                </c:pt>
                <c:pt idx="595">
                  <c:v>1.8444581003555491</c:v>
                </c:pt>
                <c:pt idx="596">
                  <c:v>-0.41680927941604295</c:v>
                </c:pt>
                <c:pt idx="597">
                  <c:v>16.583190720583957</c:v>
                </c:pt>
                <c:pt idx="598">
                  <c:v>-7.416809279416043</c:v>
                </c:pt>
                <c:pt idx="599">
                  <c:v>-6.7861755895302469</c:v>
                </c:pt>
                <c:pt idx="600">
                  <c:v>-4.1555418996444509</c:v>
                </c:pt>
                <c:pt idx="601">
                  <c:v>-9.7861755895302469</c:v>
                </c:pt>
                <c:pt idx="602">
                  <c:v>3.3669928598987333</c:v>
                </c:pt>
                <c:pt idx="603">
                  <c:v>-7.7861755895302469</c:v>
                </c:pt>
                <c:pt idx="604">
                  <c:v>0.58319072058395705</c:v>
                </c:pt>
                <c:pt idx="605">
                  <c:v>-0.89427451987285878</c:v>
                </c:pt>
                <c:pt idx="606">
                  <c:v>-11.416809279416043</c:v>
                </c:pt>
                <c:pt idx="607">
                  <c:v>8.4750917902413452</c:v>
                </c:pt>
                <c:pt idx="608">
                  <c:v>-0.78617558953024691</c:v>
                </c:pt>
                <c:pt idx="609">
                  <c:v>-3.416809279416043</c:v>
                </c:pt>
                <c:pt idx="610">
                  <c:v>0.58319072058395705</c:v>
                </c:pt>
                <c:pt idx="611">
                  <c:v>-0.41680927941604295</c:v>
                </c:pt>
                <c:pt idx="612">
                  <c:v>1.8444581003555491</c:v>
                </c:pt>
                <c:pt idx="613">
                  <c:v>0.58319072058395705</c:v>
                </c:pt>
                <c:pt idx="614">
                  <c:v>0.58319072058395705</c:v>
                </c:pt>
                <c:pt idx="615">
                  <c:v>0.58319072058395705</c:v>
                </c:pt>
                <c:pt idx="616">
                  <c:v>-2.416809279416043</c:v>
                </c:pt>
                <c:pt idx="617">
                  <c:v>0.58319072058395705</c:v>
                </c:pt>
                <c:pt idx="618">
                  <c:v>0.58319072058395705</c:v>
                </c:pt>
                <c:pt idx="619">
                  <c:v>0.58319072058395705</c:v>
                </c:pt>
                <c:pt idx="620">
                  <c:v>0.58319072058395705</c:v>
                </c:pt>
                <c:pt idx="621">
                  <c:v>-1.416809279416043</c:v>
                </c:pt>
                <c:pt idx="622">
                  <c:v>3.2138244104697531</c:v>
                </c:pt>
                <c:pt idx="623">
                  <c:v>0.58319072058395705</c:v>
                </c:pt>
                <c:pt idx="624">
                  <c:v>0.58319072058395705</c:v>
                </c:pt>
                <c:pt idx="625">
                  <c:v>0.58319072058395705</c:v>
                </c:pt>
                <c:pt idx="626">
                  <c:v>0.58319072058395705</c:v>
                </c:pt>
                <c:pt idx="627">
                  <c:v>0.58319072058395705</c:v>
                </c:pt>
                <c:pt idx="628">
                  <c:v>0.58319072058395705</c:v>
                </c:pt>
                <c:pt idx="629">
                  <c:v>0.58319072058395705</c:v>
                </c:pt>
                <c:pt idx="630">
                  <c:v>0.58319072058395705</c:v>
                </c:pt>
                <c:pt idx="631">
                  <c:v>0.58319072058395705</c:v>
                </c:pt>
                <c:pt idx="632">
                  <c:v>0.58319072058395705</c:v>
                </c:pt>
                <c:pt idx="633">
                  <c:v>-0.41680927941604295</c:v>
                </c:pt>
                <c:pt idx="634">
                  <c:v>0.58319072058395705</c:v>
                </c:pt>
                <c:pt idx="635">
                  <c:v>-12.416809279416043</c:v>
                </c:pt>
                <c:pt idx="636">
                  <c:v>-5.1555418996444509</c:v>
                </c:pt>
                <c:pt idx="637">
                  <c:v>-8.7861755895302469</c:v>
                </c:pt>
                <c:pt idx="638">
                  <c:v>-7.7861755895302469</c:v>
                </c:pt>
                <c:pt idx="639">
                  <c:v>3.583190720583957</c:v>
                </c:pt>
                <c:pt idx="640">
                  <c:v>5.9976265497845276</c:v>
                </c:pt>
                <c:pt idx="641">
                  <c:v>-10.416809279416043</c:v>
                </c:pt>
                <c:pt idx="642">
                  <c:v>-7.1555418996444509</c:v>
                </c:pt>
                <c:pt idx="643">
                  <c:v>5.1057254801271412</c:v>
                </c:pt>
                <c:pt idx="644">
                  <c:v>9.583190720583957</c:v>
                </c:pt>
                <c:pt idx="645">
                  <c:v>-2.7861755895302469</c:v>
                </c:pt>
                <c:pt idx="646">
                  <c:v>-0.78617558953024691</c:v>
                </c:pt>
                <c:pt idx="647">
                  <c:v>-9.416809279416043</c:v>
                </c:pt>
                <c:pt idx="648">
                  <c:v>1.583190720583957</c:v>
                </c:pt>
                <c:pt idx="649">
                  <c:v>4.3669928598987333</c:v>
                </c:pt>
                <c:pt idx="650">
                  <c:v>-3.5249082097586548</c:v>
                </c:pt>
                <c:pt idx="651">
                  <c:v>-5.1555418996444509</c:v>
                </c:pt>
                <c:pt idx="652">
                  <c:v>-6.1555418996444509</c:v>
                </c:pt>
                <c:pt idx="653">
                  <c:v>2.3669928598987333</c:v>
                </c:pt>
                <c:pt idx="654">
                  <c:v>2.583190720583957</c:v>
                </c:pt>
                <c:pt idx="655">
                  <c:v>-10.416809279416043</c:v>
                </c:pt>
                <c:pt idx="656">
                  <c:v>-1.1555418996444509</c:v>
                </c:pt>
                <c:pt idx="657">
                  <c:v>3.583190720583957</c:v>
                </c:pt>
                <c:pt idx="658">
                  <c:v>-6.416809279416043</c:v>
                </c:pt>
                <c:pt idx="659">
                  <c:v>-2.416809279416043</c:v>
                </c:pt>
                <c:pt idx="660">
                  <c:v>-3.5249082097586548</c:v>
                </c:pt>
                <c:pt idx="661">
                  <c:v>5.583190720583957</c:v>
                </c:pt>
                <c:pt idx="662">
                  <c:v>-8.7861755895302469</c:v>
                </c:pt>
                <c:pt idx="663">
                  <c:v>-5.1555418996444509</c:v>
                </c:pt>
                <c:pt idx="664">
                  <c:v>-5.1555418996444509</c:v>
                </c:pt>
                <c:pt idx="665">
                  <c:v>-0.89427451987285878</c:v>
                </c:pt>
                <c:pt idx="666">
                  <c:v>-10.416809279416043</c:v>
                </c:pt>
                <c:pt idx="667">
                  <c:v>6.583190720583957</c:v>
                </c:pt>
                <c:pt idx="668">
                  <c:v>-5.416809279416043</c:v>
                </c:pt>
                <c:pt idx="669">
                  <c:v>4.583190720583957</c:v>
                </c:pt>
                <c:pt idx="670">
                  <c:v>19.213824410469755</c:v>
                </c:pt>
                <c:pt idx="671">
                  <c:v>8.2138244104697531</c:v>
                </c:pt>
                <c:pt idx="672">
                  <c:v>6.583190720583957</c:v>
                </c:pt>
                <c:pt idx="673">
                  <c:v>2.583190720583957</c:v>
                </c:pt>
                <c:pt idx="674">
                  <c:v>12.213824410469753</c:v>
                </c:pt>
                <c:pt idx="675">
                  <c:v>76.583190720583957</c:v>
                </c:pt>
                <c:pt idx="676">
                  <c:v>4.583190720583957</c:v>
                </c:pt>
                <c:pt idx="677">
                  <c:v>0.58319072058395705</c:v>
                </c:pt>
                <c:pt idx="678">
                  <c:v>-6.7861755895302469</c:v>
                </c:pt>
                <c:pt idx="679">
                  <c:v>13.583190720583957</c:v>
                </c:pt>
                <c:pt idx="680">
                  <c:v>-2.5249082097586548</c:v>
                </c:pt>
                <c:pt idx="681">
                  <c:v>0.73635917001293727</c:v>
                </c:pt>
                <c:pt idx="682">
                  <c:v>-11.416809279416043</c:v>
                </c:pt>
                <c:pt idx="683">
                  <c:v>-7.7861755895302469</c:v>
                </c:pt>
                <c:pt idx="684">
                  <c:v>-1.416809279416043</c:v>
                </c:pt>
                <c:pt idx="685">
                  <c:v>1.7363591700129373</c:v>
                </c:pt>
                <c:pt idx="686">
                  <c:v>5.3669928598987333</c:v>
                </c:pt>
                <c:pt idx="687">
                  <c:v>-2.416809279416043</c:v>
                </c:pt>
                <c:pt idx="688">
                  <c:v>7.583190720583957</c:v>
                </c:pt>
                <c:pt idx="689">
                  <c:v>-3.7861755895302469</c:v>
                </c:pt>
                <c:pt idx="690">
                  <c:v>-5.7861755895302469</c:v>
                </c:pt>
                <c:pt idx="691">
                  <c:v>-4.5249082097586548</c:v>
                </c:pt>
                <c:pt idx="692">
                  <c:v>-4.5249082097586548</c:v>
                </c:pt>
                <c:pt idx="693">
                  <c:v>-0.41680927941604295</c:v>
                </c:pt>
                <c:pt idx="694">
                  <c:v>-6.7861755895302469</c:v>
                </c:pt>
                <c:pt idx="695">
                  <c:v>-2.5249082097586548</c:v>
                </c:pt>
                <c:pt idx="696">
                  <c:v>-0.89427451987285878</c:v>
                </c:pt>
                <c:pt idx="697">
                  <c:v>-5.1555418996444509</c:v>
                </c:pt>
                <c:pt idx="698">
                  <c:v>0.58319072058395705</c:v>
                </c:pt>
                <c:pt idx="699">
                  <c:v>-1.7861755895302469</c:v>
                </c:pt>
                <c:pt idx="700">
                  <c:v>3.2138244104697531</c:v>
                </c:pt>
                <c:pt idx="701">
                  <c:v>-2.7861755895302469</c:v>
                </c:pt>
                <c:pt idx="702">
                  <c:v>0.58319072058395705</c:v>
                </c:pt>
                <c:pt idx="703">
                  <c:v>3.2138244104697531</c:v>
                </c:pt>
                <c:pt idx="704">
                  <c:v>0.58319072058395705</c:v>
                </c:pt>
                <c:pt idx="705">
                  <c:v>0.58319072058395705</c:v>
                </c:pt>
                <c:pt idx="706">
                  <c:v>0.58319072058395705</c:v>
                </c:pt>
                <c:pt idx="707">
                  <c:v>0.58319072058395705</c:v>
                </c:pt>
                <c:pt idx="708">
                  <c:v>0.58319072058395705</c:v>
                </c:pt>
                <c:pt idx="709">
                  <c:v>0.58319072058395705</c:v>
                </c:pt>
                <c:pt idx="710">
                  <c:v>0.58319072058395705</c:v>
                </c:pt>
                <c:pt idx="711">
                  <c:v>0.58319072058395705</c:v>
                </c:pt>
                <c:pt idx="712">
                  <c:v>0.58319072058395705</c:v>
                </c:pt>
                <c:pt idx="713">
                  <c:v>0.58319072058395705</c:v>
                </c:pt>
                <c:pt idx="714">
                  <c:v>0.58319072058395705</c:v>
                </c:pt>
                <c:pt idx="715">
                  <c:v>0.58319072058395705</c:v>
                </c:pt>
                <c:pt idx="716">
                  <c:v>0.58319072058395705</c:v>
                </c:pt>
                <c:pt idx="717">
                  <c:v>0.58319072058395705</c:v>
                </c:pt>
                <c:pt idx="718">
                  <c:v>0.58319072058395705</c:v>
                </c:pt>
                <c:pt idx="719">
                  <c:v>0.58319072058395705</c:v>
                </c:pt>
                <c:pt idx="720">
                  <c:v>0.58319072058395705</c:v>
                </c:pt>
                <c:pt idx="721">
                  <c:v>0.58319072058395705</c:v>
                </c:pt>
                <c:pt idx="722">
                  <c:v>0.58319072058395705</c:v>
                </c:pt>
                <c:pt idx="723">
                  <c:v>0.58319072058395705</c:v>
                </c:pt>
                <c:pt idx="724">
                  <c:v>0.58319072058395705</c:v>
                </c:pt>
                <c:pt idx="725">
                  <c:v>0.58319072058395705</c:v>
                </c:pt>
                <c:pt idx="726">
                  <c:v>-10.416809279416043</c:v>
                </c:pt>
                <c:pt idx="727">
                  <c:v>-12.416809279416043</c:v>
                </c:pt>
                <c:pt idx="728">
                  <c:v>-8.7861755895302469</c:v>
                </c:pt>
                <c:pt idx="729">
                  <c:v>-3.416809279416043</c:v>
                </c:pt>
                <c:pt idx="730">
                  <c:v>-6.1555418996444509</c:v>
                </c:pt>
                <c:pt idx="731">
                  <c:v>-7.1555418996444509</c:v>
                </c:pt>
                <c:pt idx="732">
                  <c:v>-6.1555418996444509</c:v>
                </c:pt>
                <c:pt idx="733">
                  <c:v>-10.416809279416043</c:v>
                </c:pt>
                <c:pt idx="734">
                  <c:v>-2.416809279416043</c:v>
                </c:pt>
                <c:pt idx="735">
                  <c:v>4.4750917902413452</c:v>
                </c:pt>
                <c:pt idx="736">
                  <c:v>-1.1555418996444509</c:v>
                </c:pt>
                <c:pt idx="737">
                  <c:v>-6.416809279416043</c:v>
                </c:pt>
                <c:pt idx="738">
                  <c:v>-8.7861755895302469</c:v>
                </c:pt>
                <c:pt idx="739">
                  <c:v>22.583190720583957</c:v>
                </c:pt>
                <c:pt idx="740">
                  <c:v>-9.416809279416043</c:v>
                </c:pt>
                <c:pt idx="741">
                  <c:v>-4.1555418996444509</c:v>
                </c:pt>
                <c:pt idx="742">
                  <c:v>-0.89427451987285878</c:v>
                </c:pt>
                <c:pt idx="743">
                  <c:v>-5.416809279416043</c:v>
                </c:pt>
                <c:pt idx="744">
                  <c:v>-2.5249082097586548</c:v>
                </c:pt>
                <c:pt idx="745">
                  <c:v>-7.1555418996444509</c:v>
                </c:pt>
                <c:pt idx="746">
                  <c:v>0.21382441046975309</c:v>
                </c:pt>
                <c:pt idx="747">
                  <c:v>-5.7861755895302469</c:v>
                </c:pt>
                <c:pt idx="748">
                  <c:v>-5.416809279416043</c:v>
                </c:pt>
                <c:pt idx="749">
                  <c:v>1.2138244104697531</c:v>
                </c:pt>
                <c:pt idx="750">
                  <c:v>-6.1555418996444509</c:v>
                </c:pt>
                <c:pt idx="751">
                  <c:v>17.583190720583957</c:v>
                </c:pt>
                <c:pt idx="752">
                  <c:v>-7.7861755895302469</c:v>
                </c:pt>
                <c:pt idx="753">
                  <c:v>4.3669928598987333</c:v>
                </c:pt>
                <c:pt idx="754">
                  <c:v>-5.1555418996444509</c:v>
                </c:pt>
                <c:pt idx="755">
                  <c:v>-3.416809279416043</c:v>
                </c:pt>
                <c:pt idx="756">
                  <c:v>-8.7861755895302469</c:v>
                </c:pt>
                <c:pt idx="757">
                  <c:v>-2.5249082097586548</c:v>
                </c:pt>
                <c:pt idx="758">
                  <c:v>-5.7861755895302469</c:v>
                </c:pt>
                <c:pt idx="759">
                  <c:v>-1.1555418996444509</c:v>
                </c:pt>
                <c:pt idx="760">
                  <c:v>9.583190720583957</c:v>
                </c:pt>
                <c:pt idx="761">
                  <c:v>-1.416809279416043</c:v>
                </c:pt>
                <c:pt idx="762">
                  <c:v>5.583190720583957</c:v>
                </c:pt>
                <c:pt idx="763">
                  <c:v>4.583190720583957</c:v>
                </c:pt>
                <c:pt idx="764">
                  <c:v>57.583190720583957</c:v>
                </c:pt>
                <c:pt idx="765">
                  <c:v>11.583190720583957</c:v>
                </c:pt>
                <c:pt idx="766">
                  <c:v>11.583190720583957</c:v>
                </c:pt>
                <c:pt idx="767">
                  <c:v>1.2138244104697531</c:v>
                </c:pt>
                <c:pt idx="768">
                  <c:v>-1.416809279416043</c:v>
                </c:pt>
                <c:pt idx="769">
                  <c:v>46.583190720583957</c:v>
                </c:pt>
                <c:pt idx="770">
                  <c:v>-3.5249082097586548</c:v>
                </c:pt>
                <c:pt idx="771">
                  <c:v>-6.1555418996444509</c:v>
                </c:pt>
                <c:pt idx="772">
                  <c:v>-12.416809279416043</c:v>
                </c:pt>
                <c:pt idx="773">
                  <c:v>-4.416809279416043</c:v>
                </c:pt>
                <c:pt idx="774">
                  <c:v>-10.416809279416043</c:v>
                </c:pt>
                <c:pt idx="775">
                  <c:v>0.47509179024134518</c:v>
                </c:pt>
                <c:pt idx="776">
                  <c:v>-3.5249082097586548</c:v>
                </c:pt>
                <c:pt idx="777">
                  <c:v>5.9976265497845276</c:v>
                </c:pt>
                <c:pt idx="778">
                  <c:v>0.47509179024134518</c:v>
                </c:pt>
                <c:pt idx="779">
                  <c:v>-0.41680927941604295</c:v>
                </c:pt>
                <c:pt idx="780">
                  <c:v>-0.41680927941604295</c:v>
                </c:pt>
                <c:pt idx="781">
                  <c:v>-5.416809279416043</c:v>
                </c:pt>
                <c:pt idx="782">
                  <c:v>10.213824410469753</c:v>
                </c:pt>
                <c:pt idx="783">
                  <c:v>-9.416809279416043</c:v>
                </c:pt>
                <c:pt idx="784">
                  <c:v>0.73635917001293727</c:v>
                </c:pt>
                <c:pt idx="785">
                  <c:v>12.258893929556123</c:v>
                </c:pt>
                <c:pt idx="786">
                  <c:v>-8.7861755895302469</c:v>
                </c:pt>
                <c:pt idx="787">
                  <c:v>0.58319072058395705</c:v>
                </c:pt>
                <c:pt idx="788">
                  <c:v>-1.8942745198728588</c:v>
                </c:pt>
                <c:pt idx="789">
                  <c:v>-7.7861755895302469</c:v>
                </c:pt>
                <c:pt idx="790">
                  <c:v>-1.8942745198728588</c:v>
                </c:pt>
                <c:pt idx="791">
                  <c:v>0.58319072058395705</c:v>
                </c:pt>
                <c:pt idx="792">
                  <c:v>-6.416809279416043</c:v>
                </c:pt>
                <c:pt idx="793">
                  <c:v>-1.7861755895302469</c:v>
                </c:pt>
                <c:pt idx="794">
                  <c:v>0.58319072058395705</c:v>
                </c:pt>
                <c:pt idx="795">
                  <c:v>-7.416809279416043</c:v>
                </c:pt>
                <c:pt idx="796">
                  <c:v>0.58319072058395705</c:v>
                </c:pt>
                <c:pt idx="797">
                  <c:v>0.58319072058395705</c:v>
                </c:pt>
                <c:pt idx="798">
                  <c:v>0.58319072058395705</c:v>
                </c:pt>
                <c:pt idx="799">
                  <c:v>0.58319072058395705</c:v>
                </c:pt>
                <c:pt idx="800">
                  <c:v>0.58319072058395705</c:v>
                </c:pt>
                <c:pt idx="801">
                  <c:v>0.58319072058395705</c:v>
                </c:pt>
                <c:pt idx="802">
                  <c:v>0.58319072058395705</c:v>
                </c:pt>
                <c:pt idx="803">
                  <c:v>0.58319072058395705</c:v>
                </c:pt>
                <c:pt idx="804">
                  <c:v>0.58319072058395705</c:v>
                </c:pt>
                <c:pt idx="805">
                  <c:v>0.58319072058395705</c:v>
                </c:pt>
                <c:pt idx="806">
                  <c:v>0.58319072058395705</c:v>
                </c:pt>
                <c:pt idx="807">
                  <c:v>0.58319072058395705</c:v>
                </c:pt>
                <c:pt idx="808">
                  <c:v>0.58319072058395705</c:v>
                </c:pt>
                <c:pt idx="809">
                  <c:v>0.58319072058395705</c:v>
                </c:pt>
                <c:pt idx="810">
                  <c:v>0.58319072058395705</c:v>
                </c:pt>
                <c:pt idx="811">
                  <c:v>0.58319072058395705</c:v>
                </c:pt>
                <c:pt idx="812">
                  <c:v>0.58319072058395705</c:v>
                </c:pt>
                <c:pt idx="813">
                  <c:v>0.58319072058395705</c:v>
                </c:pt>
                <c:pt idx="814">
                  <c:v>0.58319072058395705</c:v>
                </c:pt>
                <c:pt idx="815">
                  <c:v>0.58319072058395705</c:v>
                </c:pt>
                <c:pt idx="816">
                  <c:v>0.58319072058395705</c:v>
                </c:pt>
                <c:pt idx="817">
                  <c:v>0.58319072058395705</c:v>
                </c:pt>
                <c:pt idx="818">
                  <c:v>0.58319072058395705</c:v>
                </c:pt>
                <c:pt idx="819">
                  <c:v>-10.416809279416043</c:v>
                </c:pt>
                <c:pt idx="820">
                  <c:v>-1.8942745198728588</c:v>
                </c:pt>
                <c:pt idx="821">
                  <c:v>-3.5249082097586548</c:v>
                </c:pt>
                <c:pt idx="822">
                  <c:v>0.10572548012714122</c:v>
                </c:pt>
                <c:pt idx="823">
                  <c:v>1.583190720583957</c:v>
                </c:pt>
                <c:pt idx="824">
                  <c:v>-11.416809279416043</c:v>
                </c:pt>
                <c:pt idx="825">
                  <c:v>-6.1555418996444509</c:v>
                </c:pt>
                <c:pt idx="826">
                  <c:v>-8.7861755895302469</c:v>
                </c:pt>
                <c:pt idx="827">
                  <c:v>10.583190720583957</c:v>
                </c:pt>
                <c:pt idx="828">
                  <c:v>3.583190720583957</c:v>
                </c:pt>
                <c:pt idx="829">
                  <c:v>-5.416809279416043</c:v>
                </c:pt>
                <c:pt idx="830">
                  <c:v>-12.416809279416043</c:v>
                </c:pt>
                <c:pt idx="831">
                  <c:v>-8.7861755895302469</c:v>
                </c:pt>
                <c:pt idx="832">
                  <c:v>8.583190720583957</c:v>
                </c:pt>
                <c:pt idx="833">
                  <c:v>-8.7861755895302469</c:v>
                </c:pt>
                <c:pt idx="834">
                  <c:v>-8.416809279416043</c:v>
                </c:pt>
                <c:pt idx="835">
                  <c:v>-9.7861755895302469</c:v>
                </c:pt>
                <c:pt idx="836">
                  <c:v>-7.1555418996444509</c:v>
                </c:pt>
                <c:pt idx="837">
                  <c:v>-7.1555418996444509</c:v>
                </c:pt>
                <c:pt idx="838">
                  <c:v>3.583190720583957</c:v>
                </c:pt>
                <c:pt idx="839">
                  <c:v>-7.1555418996444509</c:v>
                </c:pt>
                <c:pt idx="840">
                  <c:v>-2.7861755895302469</c:v>
                </c:pt>
                <c:pt idx="841">
                  <c:v>6.2138244104697531</c:v>
                </c:pt>
                <c:pt idx="842">
                  <c:v>-11.416809279416043</c:v>
                </c:pt>
                <c:pt idx="843">
                  <c:v>26.213824410469755</c:v>
                </c:pt>
                <c:pt idx="844">
                  <c:v>-5.1555418996444509</c:v>
                </c:pt>
                <c:pt idx="845">
                  <c:v>9.6282602396703254</c:v>
                </c:pt>
                <c:pt idx="846">
                  <c:v>-4.7861755895302469</c:v>
                </c:pt>
                <c:pt idx="847">
                  <c:v>-3.5249082097586548</c:v>
                </c:pt>
                <c:pt idx="848">
                  <c:v>-1.8942745198728588</c:v>
                </c:pt>
                <c:pt idx="849">
                  <c:v>-2.8942745198728588</c:v>
                </c:pt>
                <c:pt idx="850">
                  <c:v>-8.7861755895302469</c:v>
                </c:pt>
                <c:pt idx="851">
                  <c:v>-2.416809279416043</c:v>
                </c:pt>
                <c:pt idx="852">
                  <c:v>-3.5249082097586548</c:v>
                </c:pt>
                <c:pt idx="853">
                  <c:v>-3.7861755895302469</c:v>
                </c:pt>
                <c:pt idx="854">
                  <c:v>-6.416809279416043</c:v>
                </c:pt>
                <c:pt idx="855">
                  <c:v>-2.416809279416043</c:v>
                </c:pt>
                <c:pt idx="856">
                  <c:v>29.213824410469755</c:v>
                </c:pt>
                <c:pt idx="857">
                  <c:v>20.844458100355549</c:v>
                </c:pt>
                <c:pt idx="858">
                  <c:v>12.213824410469753</c:v>
                </c:pt>
                <c:pt idx="859">
                  <c:v>49.583190720583957</c:v>
                </c:pt>
                <c:pt idx="860">
                  <c:v>12.583190720583957</c:v>
                </c:pt>
                <c:pt idx="861">
                  <c:v>16.844458100355549</c:v>
                </c:pt>
                <c:pt idx="862">
                  <c:v>-5.416809279416043</c:v>
                </c:pt>
                <c:pt idx="863">
                  <c:v>-10.416809279416043</c:v>
                </c:pt>
                <c:pt idx="864">
                  <c:v>27.583190720583957</c:v>
                </c:pt>
                <c:pt idx="865">
                  <c:v>-7.1555418996444509</c:v>
                </c:pt>
                <c:pt idx="866">
                  <c:v>3.3669928598987333</c:v>
                </c:pt>
                <c:pt idx="867">
                  <c:v>5.3669928598987333</c:v>
                </c:pt>
                <c:pt idx="868">
                  <c:v>-4.416809279416043</c:v>
                </c:pt>
                <c:pt idx="869">
                  <c:v>3.3669928598987333</c:v>
                </c:pt>
                <c:pt idx="870">
                  <c:v>-11.416809279416043</c:v>
                </c:pt>
                <c:pt idx="871">
                  <c:v>-2.1555418996444509</c:v>
                </c:pt>
                <c:pt idx="872">
                  <c:v>1.583190720583957</c:v>
                </c:pt>
                <c:pt idx="873">
                  <c:v>-6.416809279416043</c:v>
                </c:pt>
                <c:pt idx="874">
                  <c:v>-0.41680927941604295</c:v>
                </c:pt>
                <c:pt idx="875">
                  <c:v>3.583190720583957</c:v>
                </c:pt>
                <c:pt idx="876">
                  <c:v>-10.416809279416043</c:v>
                </c:pt>
                <c:pt idx="877">
                  <c:v>-0.89427451987285878</c:v>
                </c:pt>
                <c:pt idx="878">
                  <c:v>-6.7861755895302469</c:v>
                </c:pt>
                <c:pt idx="879">
                  <c:v>0.58319072058395705</c:v>
                </c:pt>
                <c:pt idx="880">
                  <c:v>-6.1555418996444509</c:v>
                </c:pt>
                <c:pt idx="881">
                  <c:v>-6.7861755895302469</c:v>
                </c:pt>
                <c:pt idx="882">
                  <c:v>-11.416809279416043</c:v>
                </c:pt>
                <c:pt idx="883">
                  <c:v>-1.416809279416043</c:v>
                </c:pt>
                <c:pt idx="884">
                  <c:v>-1.5249082097586548</c:v>
                </c:pt>
                <c:pt idx="885">
                  <c:v>-8.416809279416043</c:v>
                </c:pt>
                <c:pt idx="886">
                  <c:v>3.2138244104697531</c:v>
                </c:pt>
                <c:pt idx="887">
                  <c:v>3.8444581003555491</c:v>
                </c:pt>
                <c:pt idx="888">
                  <c:v>0.58319072058395705</c:v>
                </c:pt>
                <c:pt idx="889">
                  <c:v>0.58319072058395705</c:v>
                </c:pt>
                <c:pt idx="890">
                  <c:v>0.58319072058395705</c:v>
                </c:pt>
                <c:pt idx="891">
                  <c:v>0.58319072058395705</c:v>
                </c:pt>
                <c:pt idx="892">
                  <c:v>0.58319072058395705</c:v>
                </c:pt>
                <c:pt idx="893">
                  <c:v>0.58319072058395705</c:v>
                </c:pt>
                <c:pt idx="894">
                  <c:v>0.58319072058395705</c:v>
                </c:pt>
                <c:pt idx="895">
                  <c:v>0.58319072058395705</c:v>
                </c:pt>
                <c:pt idx="896">
                  <c:v>0.58319072058395705</c:v>
                </c:pt>
                <c:pt idx="897">
                  <c:v>0.58319072058395705</c:v>
                </c:pt>
                <c:pt idx="898">
                  <c:v>0.58319072058395705</c:v>
                </c:pt>
                <c:pt idx="899">
                  <c:v>0.58319072058395705</c:v>
                </c:pt>
                <c:pt idx="900">
                  <c:v>3.2138244104697531</c:v>
                </c:pt>
                <c:pt idx="901">
                  <c:v>0.58319072058395705</c:v>
                </c:pt>
                <c:pt idx="902">
                  <c:v>0.58319072058395705</c:v>
                </c:pt>
                <c:pt idx="903">
                  <c:v>0.58319072058395705</c:v>
                </c:pt>
                <c:pt idx="904">
                  <c:v>0.58319072058395705</c:v>
                </c:pt>
                <c:pt idx="905">
                  <c:v>0.58319072058395705</c:v>
                </c:pt>
                <c:pt idx="906">
                  <c:v>0.58319072058395705</c:v>
                </c:pt>
                <c:pt idx="907">
                  <c:v>-2.416809279416043</c:v>
                </c:pt>
                <c:pt idx="908">
                  <c:v>0.58319072058395705</c:v>
                </c:pt>
                <c:pt idx="909">
                  <c:v>0.58319072058395705</c:v>
                </c:pt>
                <c:pt idx="910">
                  <c:v>-12.416809279416043</c:v>
                </c:pt>
                <c:pt idx="911">
                  <c:v>-0.89427451987285878</c:v>
                </c:pt>
                <c:pt idx="912">
                  <c:v>-11.416809279416043</c:v>
                </c:pt>
                <c:pt idx="913">
                  <c:v>-3.416809279416043</c:v>
                </c:pt>
                <c:pt idx="914">
                  <c:v>-7.1555418996444509</c:v>
                </c:pt>
                <c:pt idx="915">
                  <c:v>-2.8942745198728588</c:v>
                </c:pt>
                <c:pt idx="916">
                  <c:v>-10.416809279416043</c:v>
                </c:pt>
                <c:pt idx="917">
                  <c:v>-4.416809279416043</c:v>
                </c:pt>
                <c:pt idx="918">
                  <c:v>-6.1555418996444509</c:v>
                </c:pt>
                <c:pt idx="919">
                  <c:v>4.3669928598987333</c:v>
                </c:pt>
                <c:pt idx="920">
                  <c:v>2.1057254801271412</c:v>
                </c:pt>
                <c:pt idx="921">
                  <c:v>14.213824410469753</c:v>
                </c:pt>
                <c:pt idx="922">
                  <c:v>-0.41680927941604295</c:v>
                </c:pt>
                <c:pt idx="923">
                  <c:v>-4.416809279416043</c:v>
                </c:pt>
                <c:pt idx="924">
                  <c:v>0.10572548012714122</c:v>
                </c:pt>
                <c:pt idx="925">
                  <c:v>-11.416809279416043</c:v>
                </c:pt>
                <c:pt idx="926">
                  <c:v>-8.7861755895302469</c:v>
                </c:pt>
                <c:pt idx="927">
                  <c:v>5.583190720583957</c:v>
                </c:pt>
                <c:pt idx="928">
                  <c:v>-3.5249082097586548</c:v>
                </c:pt>
                <c:pt idx="929">
                  <c:v>-4.5249082097586548</c:v>
                </c:pt>
                <c:pt idx="930">
                  <c:v>-1.1555418996444509</c:v>
                </c:pt>
                <c:pt idx="931">
                  <c:v>-4.5249082097586548</c:v>
                </c:pt>
                <c:pt idx="932">
                  <c:v>-3.5249082097586548</c:v>
                </c:pt>
                <c:pt idx="933">
                  <c:v>4.1057254801271412</c:v>
                </c:pt>
                <c:pt idx="934">
                  <c:v>-6.416809279416043</c:v>
                </c:pt>
                <c:pt idx="935">
                  <c:v>16.583190720583957</c:v>
                </c:pt>
                <c:pt idx="936">
                  <c:v>-4.416809279416043</c:v>
                </c:pt>
                <c:pt idx="937">
                  <c:v>-9.416809279416043</c:v>
                </c:pt>
                <c:pt idx="938">
                  <c:v>-1.8942745198728588</c:v>
                </c:pt>
                <c:pt idx="939">
                  <c:v>-5.5249082097586548</c:v>
                </c:pt>
                <c:pt idx="940">
                  <c:v>-5.7861755895302469</c:v>
                </c:pt>
                <c:pt idx="941">
                  <c:v>0.58319072058395705</c:v>
                </c:pt>
                <c:pt idx="942">
                  <c:v>-11.416809279416043</c:v>
                </c:pt>
                <c:pt idx="943">
                  <c:v>-10.416809279416043</c:v>
                </c:pt>
                <c:pt idx="944">
                  <c:v>-3.416809279416043</c:v>
                </c:pt>
                <c:pt idx="945">
                  <c:v>-7.7861755895302469</c:v>
                </c:pt>
                <c:pt idx="946">
                  <c:v>2.4750917902413452</c:v>
                </c:pt>
                <c:pt idx="947">
                  <c:v>-4.416809279416043</c:v>
                </c:pt>
                <c:pt idx="948">
                  <c:v>13.583190720583957</c:v>
                </c:pt>
                <c:pt idx="949">
                  <c:v>-3.7861755895302469</c:v>
                </c:pt>
                <c:pt idx="950">
                  <c:v>3.583190720583957</c:v>
                </c:pt>
                <c:pt idx="951">
                  <c:v>10.213824410469753</c:v>
                </c:pt>
                <c:pt idx="952">
                  <c:v>10.213824410469753</c:v>
                </c:pt>
                <c:pt idx="953">
                  <c:v>1.2138244104697531</c:v>
                </c:pt>
                <c:pt idx="954">
                  <c:v>71.213824410469755</c:v>
                </c:pt>
                <c:pt idx="955">
                  <c:v>13.583190720583957</c:v>
                </c:pt>
                <c:pt idx="956">
                  <c:v>-2.416809279416043</c:v>
                </c:pt>
                <c:pt idx="957">
                  <c:v>27.583190720583957</c:v>
                </c:pt>
                <c:pt idx="958">
                  <c:v>-1.5249082097586548</c:v>
                </c:pt>
                <c:pt idx="959">
                  <c:v>-10.416809279416043</c:v>
                </c:pt>
                <c:pt idx="960">
                  <c:v>-11.416809279416043</c:v>
                </c:pt>
                <c:pt idx="961">
                  <c:v>-3.5249082097586548</c:v>
                </c:pt>
                <c:pt idx="962">
                  <c:v>5.8444581003555491</c:v>
                </c:pt>
                <c:pt idx="963">
                  <c:v>7.6282602396703254</c:v>
                </c:pt>
                <c:pt idx="964">
                  <c:v>-3.5249082097586548</c:v>
                </c:pt>
                <c:pt idx="965">
                  <c:v>4.1057254801271412</c:v>
                </c:pt>
                <c:pt idx="966">
                  <c:v>3.8444581003555491</c:v>
                </c:pt>
                <c:pt idx="967">
                  <c:v>19.844458100355549</c:v>
                </c:pt>
                <c:pt idx="968">
                  <c:v>-4.416809279416043</c:v>
                </c:pt>
                <c:pt idx="969">
                  <c:v>-3.5249082097586548</c:v>
                </c:pt>
                <c:pt idx="970">
                  <c:v>-12.416809279416043</c:v>
                </c:pt>
                <c:pt idx="971">
                  <c:v>-7.7861755895302469</c:v>
                </c:pt>
                <c:pt idx="972">
                  <c:v>0.58319072058395705</c:v>
                </c:pt>
                <c:pt idx="973">
                  <c:v>-3.5249082097586548</c:v>
                </c:pt>
                <c:pt idx="974">
                  <c:v>-4.5249082097586548</c:v>
                </c:pt>
                <c:pt idx="975">
                  <c:v>-11.416809279416043</c:v>
                </c:pt>
                <c:pt idx="976">
                  <c:v>-3.5249082097586548</c:v>
                </c:pt>
                <c:pt idx="977">
                  <c:v>0.58319072058395705</c:v>
                </c:pt>
                <c:pt idx="978">
                  <c:v>-5.416809279416043</c:v>
                </c:pt>
                <c:pt idx="979">
                  <c:v>0.58319072058395705</c:v>
                </c:pt>
                <c:pt idx="980">
                  <c:v>-5.416809279416043</c:v>
                </c:pt>
                <c:pt idx="981">
                  <c:v>0.58319072058395705</c:v>
                </c:pt>
                <c:pt idx="982">
                  <c:v>0.58319072058395705</c:v>
                </c:pt>
                <c:pt idx="983">
                  <c:v>0.58319072058395705</c:v>
                </c:pt>
                <c:pt idx="984">
                  <c:v>0.58319072058395705</c:v>
                </c:pt>
                <c:pt idx="985">
                  <c:v>0.58319072058395705</c:v>
                </c:pt>
                <c:pt idx="986">
                  <c:v>0.58319072058395705</c:v>
                </c:pt>
                <c:pt idx="987">
                  <c:v>0.58319072058395705</c:v>
                </c:pt>
                <c:pt idx="988">
                  <c:v>0.58319072058395705</c:v>
                </c:pt>
                <c:pt idx="989">
                  <c:v>0.58319072058395705</c:v>
                </c:pt>
                <c:pt idx="990">
                  <c:v>0.58319072058395705</c:v>
                </c:pt>
                <c:pt idx="991">
                  <c:v>0.58319072058395705</c:v>
                </c:pt>
                <c:pt idx="992">
                  <c:v>0.58319072058395705</c:v>
                </c:pt>
                <c:pt idx="993">
                  <c:v>0.58319072058395705</c:v>
                </c:pt>
                <c:pt idx="994">
                  <c:v>0.58319072058395705</c:v>
                </c:pt>
                <c:pt idx="995">
                  <c:v>0.58319072058395705</c:v>
                </c:pt>
                <c:pt idx="996">
                  <c:v>0.58319072058395705</c:v>
                </c:pt>
                <c:pt idx="997">
                  <c:v>0.58319072058395705</c:v>
                </c:pt>
                <c:pt idx="998">
                  <c:v>0.58319072058395705</c:v>
                </c:pt>
                <c:pt idx="999">
                  <c:v>0.58319072058395705</c:v>
                </c:pt>
                <c:pt idx="1000">
                  <c:v>0.58319072058395705</c:v>
                </c:pt>
                <c:pt idx="1001">
                  <c:v>0.58319072058395705</c:v>
                </c:pt>
                <c:pt idx="1002">
                  <c:v>0.58319072058395705</c:v>
                </c:pt>
                <c:pt idx="1003">
                  <c:v>0.58319072058395705</c:v>
                </c:pt>
                <c:pt idx="1004">
                  <c:v>-10.416809279416043</c:v>
                </c:pt>
                <c:pt idx="1005">
                  <c:v>-6.416809279416043</c:v>
                </c:pt>
                <c:pt idx="1006">
                  <c:v>-7.7861755895302469</c:v>
                </c:pt>
                <c:pt idx="1007">
                  <c:v>3.3669928598987333</c:v>
                </c:pt>
                <c:pt idx="1008">
                  <c:v>-3.5249082097586548</c:v>
                </c:pt>
                <c:pt idx="1009">
                  <c:v>-0.89427451987285878</c:v>
                </c:pt>
                <c:pt idx="1010">
                  <c:v>-3.5249082097586548</c:v>
                </c:pt>
                <c:pt idx="1011">
                  <c:v>1.583190720583957</c:v>
                </c:pt>
                <c:pt idx="1012">
                  <c:v>-7.1555418996444509</c:v>
                </c:pt>
                <c:pt idx="1013">
                  <c:v>-4.1555418996444509</c:v>
                </c:pt>
                <c:pt idx="1014">
                  <c:v>1.8444581003555491</c:v>
                </c:pt>
                <c:pt idx="1015">
                  <c:v>12.583190720583957</c:v>
                </c:pt>
                <c:pt idx="1016">
                  <c:v>-4.416809279416043</c:v>
                </c:pt>
                <c:pt idx="1017">
                  <c:v>-8.416809279416043</c:v>
                </c:pt>
                <c:pt idx="1018">
                  <c:v>-11.416809279416043</c:v>
                </c:pt>
                <c:pt idx="1019">
                  <c:v>-8.7861755895302469</c:v>
                </c:pt>
                <c:pt idx="1020">
                  <c:v>-8.416809279416043</c:v>
                </c:pt>
                <c:pt idx="1021">
                  <c:v>-8.7861755895302469</c:v>
                </c:pt>
                <c:pt idx="1022">
                  <c:v>9.583190720583957</c:v>
                </c:pt>
                <c:pt idx="1023">
                  <c:v>3.3669928598987333</c:v>
                </c:pt>
                <c:pt idx="1024">
                  <c:v>-5.1555418996444509</c:v>
                </c:pt>
                <c:pt idx="1025">
                  <c:v>-7.416809279416043</c:v>
                </c:pt>
                <c:pt idx="1026">
                  <c:v>13.844458100355549</c:v>
                </c:pt>
                <c:pt idx="1027">
                  <c:v>-2.416809279416043</c:v>
                </c:pt>
                <c:pt idx="1028">
                  <c:v>-5.416809279416043</c:v>
                </c:pt>
                <c:pt idx="1029">
                  <c:v>-5.1555418996444509</c:v>
                </c:pt>
                <c:pt idx="1030">
                  <c:v>-5.1555418996444509</c:v>
                </c:pt>
                <c:pt idx="1031">
                  <c:v>1.7363591700129373</c:v>
                </c:pt>
                <c:pt idx="1032">
                  <c:v>-0.89427451987285878</c:v>
                </c:pt>
                <c:pt idx="1033">
                  <c:v>15.583190720583957</c:v>
                </c:pt>
                <c:pt idx="1034">
                  <c:v>4.3669928598987333</c:v>
                </c:pt>
                <c:pt idx="1035">
                  <c:v>0.73635917001293727</c:v>
                </c:pt>
                <c:pt idx="1036">
                  <c:v>2.2138244104697531</c:v>
                </c:pt>
                <c:pt idx="1037">
                  <c:v>-2.7861755895302469</c:v>
                </c:pt>
                <c:pt idx="1038">
                  <c:v>2.2138244104697531</c:v>
                </c:pt>
                <c:pt idx="1039">
                  <c:v>6.583190720583957</c:v>
                </c:pt>
                <c:pt idx="1040">
                  <c:v>11.844458100355549</c:v>
                </c:pt>
                <c:pt idx="1041">
                  <c:v>59.583190720583957</c:v>
                </c:pt>
                <c:pt idx="1042">
                  <c:v>6.583190720583957</c:v>
                </c:pt>
                <c:pt idx="1043">
                  <c:v>3.583190720583957</c:v>
                </c:pt>
                <c:pt idx="1044">
                  <c:v>13.583190720583957</c:v>
                </c:pt>
                <c:pt idx="1045">
                  <c:v>49.583190720583957</c:v>
                </c:pt>
                <c:pt idx="1046">
                  <c:v>2.2138244104697531</c:v>
                </c:pt>
                <c:pt idx="1047">
                  <c:v>-8.7861755895302469</c:v>
                </c:pt>
                <c:pt idx="1048">
                  <c:v>0.10572548012714122</c:v>
                </c:pt>
                <c:pt idx="1049">
                  <c:v>-1.416809279416043</c:v>
                </c:pt>
                <c:pt idx="1050">
                  <c:v>-7.7861755895302469</c:v>
                </c:pt>
                <c:pt idx="1051">
                  <c:v>-3.5249082097586548</c:v>
                </c:pt>
                <c:pt idx="1052">
                  <c:v>-11.416809279416043</c:v>
                </c:pt>
                <c:pt idx="1053">
                  <c:v>1.2138244104697531</c:v>
                </c:pt>
                <c:pt idx="1054">
                  <c:v>-6.7861755895302469</c:v>
                </c:pt>
                <c:pt idx="1055">
                  <c:v>-0.78617558953024691</c:v>
                </c:pt>
                <c:pt idx="1056">
                  <c:v>-3.416809279416043</c:v>
                </c:pt>
                <c:pt idx="1057">
                  <c:v>19.213824410469755</c:v>
                </c:pt>
                <c:pt idx="1058">
                  <c:v>-9.416809279416043</c:v>
                </c:pt>
                <c:pt idx="1059">
                  <c:v>-6.1555418996444509</c:v>
                </c:pt>
                <c:pt idx="1060">
                  <c:v>-9.7861755895302469</c:v>
                </c:pt>
                <c:pt idx="1061">
                  <c:v>-9.416809279416043</c:v>
                </c:pt>
                <c:pt idx="1062">
                  <c:v>0.58319072058395705</c:v>
                </c:pt>
                <c:pt idx="1063">
                  <c:v>-7.7861755895302469</c:v>
                </c:pt>
                <c:pt idx="1064">
                  <c:v>-2.5249082097586548</c:v>
                </c:pt>
                <c:pt idx="1065">
                  <c:v>-7.1555418996444509</c:v>
                </c:pt>
                <c:pt idx="1066">
                  <c:v>-1.416809279416043</c:v>
                </c:pt>
                <c:pt idx="1067">
                  <c:v>-4.416809279416043</c:v>
                </c:pt>
                <c:pt idx="1068">
                  <c:v>-5.7861755895302469</c:v>
                </c:pt>
                <c:pt idx="1069">
                  <c:v>0.58319072058395705</c:v>
                </c:pt>
                <c:pt idx="1070">
                  <c:v>2.8444581003555491</c:v>
                </c:pt>
                <c:pt idx="1071">
                  <c:v>0.58319072058395705</c:v>
                </c:pt>
                <c:pt idx="1072">
                  <c:v>0.58319072058395705</c:v>
                </c:pt>
                <c:pt idx="1073">
                  <c:v>0.58319072058395705</c:v>
                </c:pt>
                <c:pt idx="1074">
                  <c:v>0.58319072058395705</c:v>
                </c:pt>
                <c:pt idx="1075">
                  <c:v>0.58319072058395705</c:v>
                </c:pt>
                <c:pt idx="1076">
                  <c:v>0.58319072058395705</c:v>
                </c:pt>
                <c:pt idx="1077">
                  <c:v>0.58319072058395705</c:v>
                </c:pt>
                <c:pt idx="1078">
                  <c:v>0.58319072058395705</c:v>
                </c:pt>
                <c:pt idx="1079">
                  <c:v>0.58319072058395705</c:v>
                </c:pt>
                <c:pt idx="1080">
                  <c:v>0.58319072058395705</c:v>
                </c:pt>
                <c:pt idx="1081">
                  <c:v>0.58319072058395705</c:v>
                </c:pt>
                <c:pt idx="1082">
                  <c:v>0.58319072058395705</c:v>
                </c:pt>
                <c:pt idx="1083">
                  <c:v>0.58319072058395705</c:v>
                </c:pt>
                <c:pt idx="1084">
                  <c:v>0.58319072058395705</c:v>
                </c:pt>
                <c:pt idx="1085">
                  <c:v>0.58319072058395705</c:v>
                </c:pt>
                <c:pt idx="1086">
                  <c:v>0.58319072058395705</c:v>
                </c:pt>
                <c:pt idx="1087">
                  <c:v>-2.416809279416043</c:v>
                </c:pt>
                <c:pt idx="1088">
                  <c:v>0.58319072058395705</c:v>
                </c:pt>
                <c:pt idx="1089">
                  <c:v>0.58319072058395705</c:v>
                </c:pt>
                <c:pt idx="1090">
                  <c:v>0.58319072058395705</c:v>
                </c:pt>
                <c:pt idx="1091">
                  <c:v>0.58319072058395705</c:v>
                </c:pt>
                <c:pt idx="1092">
                  <c:v>0.58319072058395705</c:v>
                </c:pt>
                <c:pt idx="1093">
                  <c:v>-9.416809279416043</c:v>
                </c:pt>
                <c:pt idx="1094">
                  <c:v>1.7363591700129373</c:v>
                </c:pt>
                <c:pt idx="1095">
                  <c:v>-2.416809279416043</c:v>
                </c:pt>
                <c:pt idx="1096">
                  <c:v>-6.1555418996444509</c:v>
                </c:pt>
                <c:pt idx="1097">
                  <c:v>-2.5249082097586548</c:v>
                </c:pt>
                <c:pt idx="1098">
                  <c:v>3.3669928598987333</c:v>
                </c:pt>
                <c:pt idx="1099">
                  <c:v>2.3669928598987333</c:v>
                </c:pt>
                <c:pt idx="1100">
                  <c:v>-11.416809279416043</c:v>
                </c:pt>
                <c:pt idx="1101">
                  <c:v>0.58319072058395705</c:v>
                </c:pt>
                <c:pt idx="1102">
                  <c:v>2.4750917902413452</c:v>
                </c:pt>
                <c:pt idx="1103">
                  <c:v>1.8444581003555491</c:v>
                </c:pt>
                <c:pt idx="1104">
                  <c:v>-6.416809279416043</c:v>
                </c:pt>
                <c:pt idx="1105">
                  <c:v>21.213824410469755</c:v>
                </c:pt>
                <c:pt idx="1106">
                  <c:v>-7.416809279416043</c:v>
                </c:pt>
                <c:pt idx="1107">
                  <c:v>-1.5249082097586548</c:v>
                </c:pt>
                <c:pt idx="1108">
                  <c:v>-0.78617558953024691</c:v>
                </c:pt>
                <c:pt idx="1109">
                  <c:v>-11.416809279416043</c:v>
                </c:pt>
                <c:pt idx="1110">
                  <c:v>0.10572548012714122</c:v>
                </c:pt>
                <c:pt idx="1111">
                  <c:v>-7.7861755895302469</c:v>
                </c:pt>
                <c:pt idx="1112">
                  <c:v>-5.7861755895302469</c:v>
                </c:pt>
                <c:pt idx="1113">
                  <c:v>-5.7861755895302469</c:v>
                </c:pt>
                <c:pt idx="1114">
                  <c:v>10.583190720583957</c:v>
                </c:pt>
                <c:pt idx="1115">
                  <c:v>-1.416809279416043</c:v>
                </c:pt>
                <c:pt idx="1116">
                  <c:v>-6.7861755895302469</c:v>
                </c:pt>
                <c:pt idx="1117">
                  <c:v>-11.416809279416043</c:v>
                </c:pt>
                <c:pt idx="1118">
                  <c:v>-3.5249082097586548</c:v>
                </c:pt>
                <c:pt idx="1119">
                  <c:v>12.583190720583957</c:v>
                </c:pt>
                <c:pt idx="1120">
                  <c:v>-7.7861755895302469</c:v>
                </c:pt>
                <c:pt idx="1121">
                  <c:v>-7.7861755895302469</c:v>
                </c:pt>
                <c:pt idx="1122">
                  <c:v>3.3669928598987333</c:v>
                </c:pt>
                <c:pt idx="1123">
                  <c:v>4.3669928598987333</c:v>
                </c:pt>
                <c:pt idx="1124">
                  <c:v>-9.7861755895302469</c:v>
                </c:pt>
                <c:pt idx="1125">
                  <c:v>3.583190720583957</c:v>
                </c:pt>
                <c:pt idx="1126">
                  <c:v>3.4750917902413452</c:v>
                </c:pt>
                <c:pt idx="1127">
                  <c:v>1.8444581003555491</c:v>
                </c:pt>
                <c:pt idx="1128">
                  <c:v>13.844458100355549</c:v>
                </c:pt>
                <c:pt idx="1129">
                  <c:v>32.583190720583957</c:v>
                </c:pt>
                <c:pt idx="1130">
                  <c:v>2.2138244104697531</c:v>
                </c:pt>
                <c:pt idx="1131">
                  <c:v>10.213824410469753</c:v>
                </c:pt>
                <c:pt idx="1132">
                  <c:v>13.583190720583957</c:v>
                </c:pt>
                <c:pt idx="1133">
                  <c:v>52.583190720583957</c:v>
                </c:pt>
                <c:pt idx="1134">
                  <c:v>5.583190720583957</c:v>
                </c:pt>
                <c:pt idx="1135">
                  <c:v>-1.416809279416043</c:v>
                </c:pt>
                <c:pt idx="1136">
                  <c:v>8.583190720583957</c:v>
                </c:pt>
                <c:pt idx="1137">
                  <c:v>-11.416809279416043</c:v>
                </c:pt>
                <c:pt idx="1138">
                  <c:v>-4.5249082097586548</c:v>
                </c:pt>
                <c:pt idx="1139">
                  <c:v>-10.416809279416043</c:v>
                </c:pt>
                <c:pt idx="1140">
                  <c:v>-2.416809279416043</c:v>
                </c:pt>
                <c:pt idx="1141">
                  <c:v>-10.416809279416043</c:v>
                </c:pt>
                <c:pt idx="1142">
                  <c:v>-0.89427451987285878</c:v>
                </c:pt>
                <c:pt idx="1143">
                  <c:v>0.47509179024134518</c:v>
                </c:pt>
                <c:pt idx="1144">
                  <c:v>-9.416809279416043</c:v>
                </c:pt>
                <c:pt idx="1145">
                  <c:v>-5.416809279416043</c:v>
                </c:pt>
                <c:pt idx="1146">
                  <c:v>7.583190720583957</c:v>
                </c:pt>
                <c:pt idx="1147">
                  <c:v>-0.41680927941604295</c:v>
                </c:pt>
                <c:pt idx="1148">
                  <c:v>-8.7861755895302469</c:v>
                </c:pt>
                <c:pt idx="1149">
                  <c:v>-11.416809279416043</c:v>
                </c:pt>
                <c:pt idx="1150">
                  <c:v>-0.41680927941604295</c:v>
                </c:pt>
                <c:pt idx="1151">
                  <c:v>-6.1555418996444509</c:v>
                </c:pt>
                <c:pt idx="1152">
                  <c:v>-8.7861755895302469</c:v>
                </c:pt>
                <c:pt idx="1153">
                  <c:v>4.9976265497845276</c:v>
                </c:pt>
                <c:pt idx="1154">
                  <c:v>-7.1555418996444509</c:v>
                </c:pt>
                <c:pt idx="1155">
                  <c:v>-6.1555418996444509</c:v>
                </c:pt>
                <c:pt idx="1156">
                  <c:v>-1.416809279416043</c:v>
                </c:pt>
                <c:pt idx="1157">
                  <c:v>-8.7861755895302469</c:v>
                </c:pt>
                <c:pt idx="1158">
                  <c:v>-10.416809279416043</c:v>
                </c:pt>
                <c:pt idx="1159">
                  <c:v>0.58319072058395705</c:v>
                </c:pt>
                <c:pt idx="1160">
                  <c:v>8.3669928598987333</c:v>
                </c:pt>
                <c:pt idx="1161">
                  <c:v>-4.416809279416043</c:v>
                </c:pt>
                <c:pt idx="1162">
                  <c:v>0.58319072058395705</c:v>
                </c:pt>
                <c:pt idx="1163">
                  <c:v>4.4750917902413452</c:v>
                </c:pt>
                <c:pt idx="1164">
                  <c:v>0.58319072058395705</c:v>
                </c:pt>
                <c:pt idx="1165">
                  <c:v>0.58319072058395705</c:v>
                </c:pt>
                <c:pt idx="1166">
                  <c:v>0.58319072058395705</c:v>
                </c:pt>
                <c:pt idx="1167">
                  <c:v>0.58319072058395705</c:v>
                </c:pt>
                <c:pt idx="1168">
                  <c:v>0.58319072058395705</c:v>
                </c:pt>
                <c:pt idx="1169">
                  <c:v>0.58319072058395705</c:v>
                </c:pt>
                <c:pt idx="1170">
                  <c:v>0.58319072058395705</c:v>
                </c:pt>
                <c:pt idx="1171">
                  <c:v>0.58319072058395705</c:v>
                </c:pt>
                <c:pt idx="1172">
                  <c:v>0.58319072058395705</c:v>
                </c:pt>
                <c:pt idx="1173">
                  <c:v>0.58319072058395705</c:v>
                </c:pt>
                <c:pt idx="1174">
                  <c:v>0.58319072058395705</c:v>
                </c:pt>
                <c:pt idx="1175">
                  <c:v>0.58319072058395705</c:v>
                </c:pt>
                <c:pt idx="1176">
                  <c:v>0.58319072058395705</c:v>
                </c:pt>
                <c:pt idx="1177">
                  <c:v>0.58319072058395705</c:v>
                </c:pt>
                <c:pt idx="1178">
                  <c:v>3.2138244104697531</c:v>
                </c:pt>
                <c:pt idx="1179">
                  <c:v>0.58319072058395705</c:v>
                </c:pt>
                <c:pt idx="1180">
                  <c:v>0.58319072058395705</c:v>
                </c:pt>
                <c:pt idx="1181">
                  <c:v>0.58319072058395705</c:v>
                </c:pt>
                <c:pt idx="1182">
                  <c:v>0.58319072058395705</c:v>
                </c:pt>
                <c:pt idx="1183">
                  <c:v>0.58319072058395705</c:v>
                </c:pt>
                <c:pt idx="1184">
                  <c:v>0.58319072058395705</c:v>
                </c:pt>
                <c:pt idx="1185">
                  <c:v>0.58319072058395705</c:v>
                </c:pt>
                <c:pt idx="1186">
                  <c:v>-9.416809279416043</c:v>
                </c:pt>
                <c:pt idx="1187">
                  <c:v>-0.26364082998706273</c:v>
                </c:pt>
                <c:pt idx="1188">
                  <c:v>-7.1555418996444509</c:v>
                </c:pt>
                <c:pt idx="1189">
                  <c:v>10.258893929556123</c:v>
                </c:pt>
                <c:pt idx="1190">
                  <c:v>-2.416809279416043</c:v>
                </c:pt>
                <c:pt idx="1191">
                  <c:v>-5.1555418996444509</c:v>
                </c:pt>
                <c:pt idx="1192">
                  <c:v>-0.89427451987285878</c:v>
                </c:pt>
                <c:pt idx="1193">
                  <c:v>-3.5249082097586548</c:v>
                </c:pt>
                <c:pt idx="1194">
                  <c:v>2.1057254801271412</c:v>
                </c:pt>
                <c:pt idx="1195">
                  <c:v>5.583190720583957</c:v>
                </c:pt>
                <c:pt idx="1196">
                  <c:v>-3.7861755895302469</c:v>
                </c:pt>
                <c:pt idx="1197">
                  <c:v>-3.416809279416043</c:v>
                </c:pt>
                <c:pt idx="1198">
                  <c:v>-3.7861755895302469</c:v>
                </c:pt>
                <c:pt idx="1199">
                  <c:v>9.583190720583957</c:v>
                </c:pt>
                <c:pt idx="1200">
                  <c:v>-4.5249082097586548</c:v>
                </c:pt>
                <c:pt idx="1201">
                  <c:v>-5.7861755895302469</c:v>
                </c:pt>
                <c:pt idx="1202">
                  <c:v>-4.5249082097586548</c:v>
                </c:pt>
                <c:pt idx="1203">
                  <c:v>-3.416809279416043</c:v>
                </c:pt>
                <c:pt idx="1204">
                  <c:v>-0.26364082998706273</c:v>
                </c:pt>
                <c:pt idx="1205">
                  <c:v>-8.7861755895302469</c:v>
                </c:pt>
                <c:pt idx="1206">
                  <c:v>-1.8942745198728588</c:v>
                </c:pt>
                <c:pt idx="1207">
                  <c:v>-8.7861755895302469</c:v>
                </c:pt>
                <c:pt idx="1208">
                  <c:v>-2.416809279416043</c:v>
                </c:pt>
                <c:pt idx="1209">
                  <c:v>3.4750917902413452</c:v>
                </c:pt>
                <c:pt idx="1210">
                  <c:v>-4.416809279416043</c:v>
                </c:pt>
                <c:pt idx="1211">
                  <c:v>-6.416809279416043</c:v>
                </c:pt>
                <c:pt idx="1212">
                  <c:v>15.583190720583957</c:v>
                </c:pt>
                <c:pt idx="1213">
                  <c:v>-11.416809279416043</c:v>
                </c:pt>
                <c:pt idx="1214">
                  <c:v>-7.7861755895302469</c:v>
                </c:pt>
                <c:pt idx="1215">
                  <c:v>-6.1555418996444509</c:v>
                </c:pt>
                <c:pt idx="1216">
                  <c:v>-0.89427451987285878</c:v>
                </c:pt>
                <c:pt idx="1217">
                  <c:v>3.583190720583957</c:v>
                </c:pt>
                <c:pt idx="1218">
                  <c:v>-7.7861755895302469</c:v>
                </c:pt>
                <c:pt idx="1219">
                  <c:v>-8.7861755895302469</c:v>
                </c:pt>
                <c:pt idx="1220">
                  <c:v>-4.5249082097586548</c:v>
                </c:pt>
                <c:pt idx="1221">
                  <c:v>-2.416809279416043</c:v>
                </c:pt>
                <c:pt idx="1222">
                  <c:v>8.583190720583957</c:v>
                </c:pt>
                <c:pt idx="1223">
                  <c:v>-1.416809279416043</c:v>
                </c:pt>
                <c:pt idx="1224">
                  <c:v>11.213824410469753</c:v>
                </c:pt>
                <c:pt idx="1225">
                  <c:v>18.583190720583957</c:v>
                </c:pt>
                <c:pt idx="1226">
                  <c:v>7.2138244104697531</c:v>
                </c:pt>
                <c:pt idx="1227">
                  <c:v>82.583190720583957</c:v>
                </c:pt>
                <c:pt idx="1228">
                  <c:v>6.583190720583957</c:v>
                </c:pt>
                <c:pt idx="1229">
                  <c:v>5.583190720583957</c:v>
                </c:pt>
                <c:pt idx="1230">
                  <c:v>-10.416809279416043</c:v>
                </c:pt>
                <c:pt idx="1231">
                  <c:v>25.583190720583957</c:v>
                </c:pt>
                <c:pt idx="1232">
                  <c:v>-2.5249082097586548</c:v>
                </c:pt>
                <c:pt idx="1233">
                  <c:v>-7.1555418996444509</c:v>
                </c:pt>
                <c:pt idx="1234">
                  <c:v>-8.7861755895302469</c:v>
                </c:pt>
                <c:pt idx="1235">
                  <c:v>-3.416809279416043</c:v>
                </c:pt>
                <c:pt idx="1236">
                  <c:v>-0.89427451987285878</c:v>
                </c:pt>
                <c:pt idx="1237">
                  <c:v>-0.89427451987285878</c:v>
                </c:pt>
                <c:pt idx="1238">
                  <c:v>-1.5249082097586548</c:v>
                </c:pt>
                <c:pt idx="1239">
                  <c:v>-2.416809279416043</c:v>
                </c:pt>
                <c:pt idx="1240">
                  <c:v>17.583190720583957</c:v>
                </c:pt>
                <c:pt idx="1241">
                  <c:v>-5.416809279416043</c:v>
                </c:pt>
                <c:pt idx="1242">
                  <c:v>-8.416809279416043</c:v>
                </c:pt>
                <c:pt idx="1243">
                  <c:v>-8.7861755895302469</c:v>
                </c:pt>
                <c:pt idx="1244">
                  <c:v>3.2138244104697531</c:v>
                </c:pt>
                <c:pt idx="1245">
                  <c:v>-8.7861755895302469</c:v>
                </c:pt>
                <c:pt idx="1246">
                  <c:v>-8.7861755895302469</c:v>
                </c:pt>
                <c:pt idx="1247">
                  <c:v>-10.416809279416043</c:v>
                </c:pt>
                <c:pt idx="1248">
                  <c:v>-1.7861755895302469</c:v>
                </c:pt>
                <c:pt idx="1249">
                  <c:v>-6.7861755895302469</c:v>
                </c:pt>
                <c:pt idx="1250">
                  <c:v>-3.5249082097586548</c:v>
                </c:pt>
                <c:pt idx="1251">
                  <c:v>2.4750917902413452</c:v>
                </c:pt>
                <c:pt idx="1252">
                  <c:v>-1.416809279416043</c:v>
                </c:pt>
                <c:pt idx="1253">
                  <c:v>0.58319072058395705</c:v>
                </c:pt>
                <c:pt idx="1254">
                  <c:v>-2.416809279416043</c:v>
                </c:pt>
                <c:pt idx="1255">
                  <c:v>0.58319072058395705</c:v>
                </c:pt>
                <c:pt idx="1256">
                  <c:v>3.2138244104697531</c:v>
                </c:pt>
                <c:pt idx="1257">
                  <c:v>0.58319072058395705</c:v>
                </c:pt>
                <c:pt idx="1258">
                  <c:v>0.58319072058395705</c:v>
                </c:pt>
                <c:pt idx="1259">
                  <c:v>0.58319072058395705</c:v>
                </c:pt>
                <c:pt idx="1260">
                  <c:v>0.58319072058395705</c:v>
                </c:pt>
                <c:pt idx="1261">
                  <c:v>0.58319072058395705</c:v>
                </c:pt>
                <c:pt idx="1262">
                  <c:v>0.58319072058395705</c:v>
                </c:pt>
                <c:pt idx="1263">
                  <c:v>0.58319072058395705</c:v>
                </c:pt>
                <c:pt idx="1264">
                  <c:v>0.58319072058395705</c:v>
                </c:pt>
                <c:pt idx="1265">
                  <c:v>0.58319072058395705</c:v>
                </c:pt>
                <c:pt idx="1266">
                  <c:v>0.58319072058395705</c:v>
                </c:pt>
                <c:pt idx="1267">
                  <c:v>0.58319072058395705</c:v>
                </c:pt>
                <c:pt idx="1268">
                  <c:v>0.58319072058395705</c:v>
                </c:pt>
                <c:pt idx="1269">
                  <c:v>0.58319072058395705</c:v>
                </c:pt>
                <c:pt idx="1270">
                  <c:v>0.58319072058395705</c:v>
                </c:pt>
                <c:pt idx="1271">
                  <c:v>0.58319072058395705</c:v>
                </c:pt>
                <c:pt idx="1272">
                  <c:v>0.58319072058395705</c:v>
                </c:pt>
                <c:pt idx="1273">
                  <c:v>0.58319072058395705</c:v>
                </c:pt>
                <c:pt idx="1274">
                  <c:v>0.58319072058395705</c:v>
                </c:pt>
                <c:pt idx="1275">
                  <c:v>0.58319072058395705</c:v>
                </c:pt>
                <c:pt idx="1276">
                  <c:v>0.58319072058395705</c:v>
                </c:pt>
                <c:pt idx="1277">
                  <c:v>0.58319072058395705</c:v>
                </c:pt>
                <c:pt idx="1278">
                  <c:v>-12.416809279416043</c:v>
                </c:pt>
                <c:pt idx="1279">
                  <c:v>-11.416809279416043</c:v>
                </c:pt>
                <c:pt idx="1280">
                  <c:v>-3.5249082097586548</c:v>
                </c:pt>
                <c:pt idx="1281">
                  <c:v>-2.416809279416043</c:v>
                </c:pt>
                <c:pt idx="1282">
                  <c:v>1.7363591700129373</c:v>
                </c:pt>
                <c:pt idx="1283">
                  <c:v>-6.1555418996444509</c:v>
                </c:pt>
                <c:pt idx="1284">
                  <c:v>-5.1555418996444509</c:v>
                </c:pt>
                <c:pt idx="1285">
                  <c:v>0.21382441046975309</c:v>
                </c:pt>
                <c:pt idx="1286">
                  <c:v>0.73635917001293727</c:v>
                </c:pt>
                <c:pt idx="1287">
                  <c:v>-12.416809279416043</c:v>
                </c:pt>
                <c:pt idx="1288">
                  <c:v>3.583190720583957</c:v>
                </c:pt>
                <c:pt idx="1289">
                  <c:v>-8.416809279416043</c:v>
                </c:pt>
                <c:pt idx="1290">
                  <c:v>29.475091790241343</c:v>
                </c:pt>
                <c:pt idx="1291">
                  <c:v>-2.7861755895302469</c:v>
                </c:pt>
                <c:pt idx="1292">
                  <c:v>-1.8942745198728588</c:v>
                </c:pt>
                <c:pt idx="1293">
                  <c:v>-8.7861755895302469</c:v>
                </c:pt>
                <c:pt idx="1294">
                  <c:v>1.8444581003555491</c:v>
                </c:pt>
                <c:pt idx="1295">
                  <c:v>-10.416809279416043</c:v>
                </c:pt>
                <c:pt idx="1296">
                  <c:v>-11.416809279416043</c:v>
                </c:pt>
                <c:pt idx="1297">
                  <c:v>-6.1555418996444509</c:v>
                </c:pt>
                <c:pt idx="1298">
                  <c:v>-4.5249082097586548</c:v>
                </c:pt>
                <c:pt idx="1299">
                  <c:v>-7.416809279416043</c:v>
                </c:pt>
                <c:pt idx="1300">
                  <c:v>-2.416809279416043</c:v>
                </c:pt>
                <c:pt idx="1301">
                  <c:v>19.583190720583957</c:v>
                </c:pt>
                <c:pt idx="1302">
                  <c:v>-4.416809279416043</c:v>
                </c:pt>
                <c:pt idx="1303">
                  <c:v>-6.7861755895302469</c:v>
                </c:pt>
                <c:pt idx="1304">
                  <c:v>-0.41680927941604295</c:v>
                </c:pt>
                <c:pt idx="1305">
                  <c:v>-4.1555418996444509</c:v>
                </c:pt>
                <c:pt idx="1306">
                  <c:v>5.9976265497845276</c:v>
                </c:pt>
                <c:pt idx="1307">
                  <c:v>-3.416809279416043</c:v>
                </c:pt>
                <c:pt idx="1308">
                  <c:v>-10.416809279416043</c:v>
                </c:pt>
                <c:pt idx="1309">
                  <c:v>-4.5249082097586548</c:v>
                </c:pt>
                <c:pt idx="1310">
                  <c:v>-0.52490820975865482</c:v>
                </c:pt>
                <c:pt idx="1311">
                  <c:v>-2.7861755895302469</c:v>
                </c:pt>
                <c:pt idx="1312">
                  <c:v>6.583190720583957</c:v>
                </c:pt>
                <c:pt idx="1313">
                  <c:v>3.7363591700129373</c:v>
                </c:pt>
                <c:pt idx="1314">
                  <c:v>10.213824410469753</c:v>
                </c:pt>
                <c:pt idx="1315">
                  <c:v>8.2138244104697531</c:v>
                </c:pt>
                <c:pt idx="1316">
                  <c:v>45.583190720583957</c:v>
                </c:pt>
                <c:pt idx="1317">
                  <c:v>8.2138244104697531</c:v>
                </c:pt>
                <c:pt idx="1318">
                  <c:v>11.583190720583957</c:v>
                </c:pt>
                <c:pt idx="1319">
                  <c:v>13.213824410469753</c:v>
                </c:pt>
                <c:pt idx="1320">
                  <c:v>54.583190720583957</c:v>
                </c:pt>
                <c:pt idx="1321">
                  <c:v>1.583190720583957</c:v>
                </c:pt>
                <c:pt idx="1322">
                  <c:v>-2.5249082097586548</c:v>
                </c:pt>
                <c:pt idx="1323">
                  <c:v>-4.5249082097586548</c:v>
                </c:pt>
                <c:pt idx="1324">
                  <c:v>-8.7861755895302469</c:v>
                </c:pt>
                <c:pt idx="1325">
                  <c:v>4.583190720583957</c:v>
                </c:pt>
                <c:pt idx="1326">
                  <c:v>-11.416809279416043</c:v>
                </c:pt>
                <c:pt idx="1327">
                  <c:v>-4.5249082097586548</c:v>
                </c:pt>
                <c:pt idx="1328">
                  <c:v>-9.7861755895302469</c:v>
                </c:pt>
                <c:pt idx="1329">
                  <c:v>-8.7861755895302469</c:v>
                </c:pt>
                <c:pt idx="1330">
                  <c:v>0.47509179024134518</c:v>
                </c:pt>
                <c:pt idx="1331">
                  <c:v>4.583190720583957</c:v>
                </c:pt>
                <c:pt idx="1332">
                  <c:v>-0.78617558953024691</c:v>
                </c:pt>
                <c:pt idx="1333">
                  <c:v>-3.7861755895302469</c:v>
                </c:pt>
                <c:pt idx="1334">
                  <c:v>5.583190720583957</c:v>
                </c:pt>
                <c:pt idx="1335">
                  <c:v>-8.416809279416043</c:v>
                </c:pt>
                <c:pt idx="1336">
                  <c:v>-5.1555418996444509</c:v>
                </c:pt>
                <c:pt idx="1337">
                  <c:v>-5.1555418996444509</c:v>
                </c:pt>
                <c:pt idx="1338">
                  <c:v>0.58319072058395705</c:v>
                </c:pt>
                <c:pt idx="1339">
                  <c:v>-6.7861755895302469</c:v>
                </c:pt>
                <c:pt idx="1340">
                  <c:v>-3.5249082097586548</c:v>
                </c:pt>
                <c:pt idx="1341">
                  <c:v>-2.8942745198728588</c:v>
                </c:pt>
                <c:pt idx="1342">
                  <c:v>-4.5249082097586548</c:v>
                </c:pt>
                <c:pt idx="1343">
                  <c:v>-1.416809279416043</c:v>
                </c:pt>
                <c:pt idx="1344">
                  <c:v>-2.7861755895302469</c:v>
                </c:pt>
                <c:pt idx="1345">
                  <c:v>0.58319072058395705</c:v>
                </c:pt>
                <c:pt idx="1346">
                  <c:v>-3.416809279416043</c:v>
                </c:pt>
                <c:pt idx="1347">
                  <c:v>-3.7861755895302469</c:v>
                </c:pt>
                <c:pt idx="1348">
                  <c:v>0.58319072058395705</c:v>
                </c:pt>
                <c:pt idx="1349">
                  <c:v>0.58319072058395705</c:v>
                </c:pt>
                <c:pt idx="1350">
                  <c:v>0.58319072058395705</c:v>
                </c:pt>
                <c:pt idx="1351">
                  <c:v>0.58319072058395705</c:v>
                </c:pt>
                <c:pt idx="1352">
                  <c:v>0.58319072058395705</c:v>
                </c:pt>
                <c:pt idx="1353">
                  <c:v>0.58319072058395705</c:v>
                </c:pt>
                <c:pt idx="1354">
                  <c:v>0.58319072058395705</c:v>
                </c:pt>
                <c:pt idx="1355">
                  <c:v>0.58319072058395705</c:v>
                </c:pt>
                <c:pt idx="1356">
                  <c:v>0.58319072058395705</c:v>
                </c:pt>
                <c:pt idx="1357">
                  <c:v>0.58319072058395705</c:v>
                </c:pt>
                <c:pt idx="1358">
                  <c:v>0.58319072058395705</c:v>
                </c:pt>
                <c:pt idx="1359">
                  <c:v>0.58319072058395705</c:v>
                </c:pt>
                <c:pt idx="1360">
                  <c:v>0.58319072058395705</c:v>
                </c:pt>
                <c:pt idx="1361">
                  <c:v>0.58319072058395705</c:v>
                </c:pt>
                <c:pt idx="1362">
                  <c:v>0.58319072058395705</c:v>
                </c:pt>
                <c:pt idx="1363">
                  <c:v>0.58319072058395705</c:v>
                </c:pt>
                <c:pt idx="1364">
                  <c:v>0.58319072058395705</c:v>
                </c:pt>
                <c:pt idx="1365">
                  <c:v>0.58319072058395705</c:v>
                </c:pt>
                <c:pt idx="1366">
                  <c:v>0.58319072058395705</c:v>
                </c:pt>
                <c:pt idx="1367">
                  <c:v>0.58319072058395705</c:v>
                </c:pt>
                <c:pt idx="1368">
                  <c:v>-2.416809279416043</c:v>
                </c:pt>
                <c:pt idx="1369">
                  <c:v>0.58319072058395705</c:v>
                </c:pt>
                <c:pt idx="1370">
                  <c:v>-10.416809279416043</c:v>
                </c:pt>
                <c:pt idx="1371">
                  <c:v>0.10572548012714122</c:v>
                </c:pt>
                <c:pt idx="1372">
                  <c:v>-8.7861755895302469</c:v>
                </c:pt>
                <c:pt idx="1373">
                  <c:v>-1.416809279416043</c:v>
                </c:pt>
                <c:pt idx="1374">
                  <c:v>-10.416809279416043</c:v>
                </c:pt>
                <c:pt idx="1375">
                  <c:v>-8.416809279416043</c:v>
                </c:pt>
                <c:pt idx="1376">
                  <c:v>-4.5249082097586548</c:v>
                </c:pt>
                <c:pt idx="1377">
                  <c:v>4.2138244104697531</c:v>
                </c:pt>
                <c:pt idx="1378">
                  <c:v>1.2138244104697531</c:v>
                </c:pt>
                <c:pt idx="1379">
                  <c:v>-3.416809279416043</c:v>
                </c:pt>
                <c:pt idx="1380">
                  <c:v>-4.7861755895302469</c:v>
                </c:pt>
                <c:pt idx="1381">
                  <c:v>-3.5249082097586548</c:v>
                </c:pt>
                <c:pt idx="1382">
                  <c:v>4.3669928598987333</c:v>
                </c:pt>
                <c:pt idx="1383">
                  <c:v>25.583190720583957</c:v>
                </c:pt>
                <c:pt idx="1384">
                  <c:v>-2.5249082097586548</c:v>
                </c:pt>
                <c:pt idx="1385">
                  <c:v>-5.1555418996444509</c:v>
                </c:pt>
                <c:pt idx="1386">
                  <c:v>-4.416809279416043</c:v>
                </c:pt>
                <c:pt idx="1387">
                  <c:v>-5.1555418996444509</c:v>
                </c:pt>
                <c:pt idx="1388">
                  <c:v>-10.416809279416043</c:v>
                </c:pt>
                <c:pt idx="1389">
                  <c:v>-0.41680927941604295</c:v>
                </c:pt>
                <c:pt idx="1390">
                  <c:v>0.84445810035554913</c:v>
                </c:pt>
                <c:pt idx="1391">
                  <c:v>20.583190720583957</c:v>
                </c:pt>
                <c:pt idx="1392">
                  <c:v>-9.416809279416043</c:v>
                </c:pt>
                <c:pt idx="1393">
                  <c:v>-10.416809279416043</c:v>
                </c:pt>
                <c:pt idx="1394">
                  <c:v>-10.416809279416043</c:v>
                </c:pt>
                <c:pt idx="1395">
                  <c:v>-0.41680927941604295</c:v>
                </c:pt>
                <c:pt idx="1396">
                  <c:v>1.7363591700129373</c:v>
                </c:pt>
                <c:pt idx="1397">
                  <c:v>-4.5249082097586548</c:v>
                </c:pt>
                <c:pt idx="1398">
                  <c:v>-3.5249082097586548</c:v>
                </c:pt>
                <c:pt idx="1399">
                  <c:v>-3.7861755895302469</c:v>
                </c:pt>
                <c:pt idx="1400">
                  <c:v>-1.8942745198728588</c:v>
                </c:pt>
                <c:pt idx="1401">
                  <c:v>-10.416809279416043</c:v>
                </c:pt>
                <c:pt idx="1402">
                  <c:v>3.2138244104697531</c:v>
                </c:pt>
                <c:pt idx="1403">
                  <c:v>16.213824410469755</c:v>
                </c:pt>
                <c:pt idx="1404">
                  <c:v>-0.41680927941604295</c:v>
                </c:pt>
                <c:pt idx="1405">
                  <c:v>10.213824410469753</c:v>
                </c:pt>
                <c:pt idx="1406">
                  <c:v>27.213824410469755</c:v>
                </c:pt>
                <c:pt idx="1407">
                  <c:v>6.583190720583957</c:v>
                </c:pt>
                <c:pt idx="1408">
                  <c:v>21.213824410469755</c:v>
                </c:pt>
                <c:pt idx="1409">
                  <c:v>11.213824410469753</c:v>
                </c:pt>
                <c:pt idx="1410">
                  <c:v>51.583190720583957</c:v>
                </c:pt>
                <c:pt idx="1411">
                  <c:v>-4.416809279416043</c:v>
                </c:pt>
                <c:pt idx="1412">
                  <c:v>-9.7861755895302469</c:v>
                </c:pt>
                <c:pt idx="1413">
                  <c:v>2.2138244104697531</c:v>
                </c:pt>
                <c:pt idx="1414">
                  <c:v>6.9976265497845276</c:v>
                </c:pt>
                <c:pt idx="1415">
                  <c:v>-7.7861755895302469</c:v>
                </c:pt>
                <c:pt idx="1416">
                  <c:v>-4.1555418996444509</c:v>
                </c:pt>
                <c:pt idx="1417">
                  <c:v>4.3669928598987333</c:v>
                </c:pt>
                <c:pt idx="1418">
                  <c:v>7.8444581003555491</c:v>
                </c:pt>
                <c:pt idx="1419">
                  <c:v>-6.1555418996444509</c:v>
                </c:pt>
                <c:pt idx="1420">
                  <c:v>-4.7861755895302469</c:v>
                </c:pt>
                <c:pt idx="1421">
                  <c:v>-1.416809279416043</c:v>
                </c:pt>
                <c:pt idx="1422">
                  <c:v>9.583190720583957</c:v>
                </c:pt>
                <c:pt idx="1423">
                  <c:v>-5.416809279416043</c:v>
                </c:pt>
                <c:pt idx="1424">
                  <c:v>-7.1555418996444509</c:v>
                </c:pt>
                <c:pt idx="1425">
                  <c:v>-7.1555418996444509</c:v>
                </c:pt>
                <c:pt idx="1426">
                  <c:v>0.58319072058395705</c:v>
                </c:pt>
                <c:pt idx="1427">
                  <c:v>3.3669928598987333</c:v>
                </c:pt>
                <c:pt idx="1428">
                  <c:v>-6.1555418996444509</c:v>
                </c:pt>
                <c:pt idx="1429">
                  <c:v>-11.416809279416043</c:v>
                </c:pt>
                <c:pt idx="1430">
                  <c:v>-3.416809279416043</c:v>
                </c:pt>
                <c:pt idx="1431">
                  <c:v>-7.1555418996444509</c:v>
                </c:pt>
                <c:pt idx="1432">
                  <c:v>-9.416809279416043</c:v>
                </c:pt>
                <c:pt idx="1433">
                  <c:v>-2.8942745198728588</c:v>
                </c:pt>
                <c:pt idx="1434">
                  <c:v>3.2138244104697531</c:v>
                </c:pt>
                <c:pt idx="1435">
                  <c:v>-6.416809279416043</c:v>
                </c:pt>
                <c:pt idx="1436">
                  <c:v>-0.41680927941604295</c:v>
                </c:pt>
                <c:pt idx="1437">
                  <c:v>0.58319072058395705</c:v>
                </c:pt>
                <c:pt idx="1438">
                  <c:v>3.2138244104697531</c:v>
                </c:pt>
                <c:pt idx="1439">
                  <c:v>0.58319072058395705</c:v>
                </c:pt>
                <c:pt idx="1440">
                  <c:v>0.58319072058395705</c:v>
                </c:pt>
                <c:pt idx="1441">
                  <c:v>0.58319072058395705</c:v>
                </c:pt>
                <c:pt idx="1442">
                  <c:v>0.58319072058395705</c:v>
                </c:pt>
                <c:pt idx="1443">
                  <c:v>0.58319072058395705</c:v>
                </c:pt>
                <c:pt idx="1444">
                  <c:v>0.58319072058395705</c:v>
                </c:pt>
                <c:pt idx="1445">
                  <c:v>0.58319072058395705</c:v>
                </c:pt>
                <c:pt idx="1446">
                  <c:v>0.58319072058395705</c:v>
                </c:pt>
                <c:pt idx="1447">
                  <c:v>-2.416809279416043</c:v>
                </c:pt>
                <c:pt idx="1448">
                  <c:v>0.58319072058395705</c:v>
                </c:pt>
                <c:pt idx="1449">
                  <c:v>0.58319072058395705</c:v>
                </c:pt>
                <c:pt idx="1450">
                  <c:v>-1.416809279416043</c:v>
                </c:pt>
                <c:pt idx="1451">
                  <c:v>0.58319072058395705</c:v>
                </c:pt>
                <c:pt idx="1452">
                  <c:v>0.58319072058395705</c:v>
                </c:pt>
                <c:pt idx="1453">
                  <c:v>0.58319072058395705</c:v>
                </c:pt>
                <c:pt idx="1454">
                  <c:v>0.58319072058395705</c:v>
                </c:pt>
                <c:pt idx="1455">
                  <c:v>0.58319072058395705</c:v>
                </c:pt>
                <c:pt idx="1456">
                  <c:v>0.58319072058395705</c:v>
                </c:pt>
                <c:pt idx="1457">
                  <c:v>0.58319072058395705</c:v>
                </c:pt>
                <c:pt idx="1458">
                  <c:v>0.58319072058395705</c:v>
                </c:pt>
                <c:pt idx="1459">
                  <c:v>0.58319072058395705</c:v>
                </c:pt>
                <c:pt idx="1460">
                  <c:v>-10.416809279416043</c:v>
                </c:pt>
                <c:pt idx="1461">
                  <c:v>-10.416809279416043</c:v>
                </c:pt>
                <c:pt idx="1462">
                  <c:v>-2.416809279416043</c:v>
                </c:pt>
                <c:pt idx="1463">
                  <c:v>-10.416809279416043</c:v>
                </c:pt>
                <c:pt idx="1464">
                  <c:v>-7.1555418996444509</c:v>
                </c:pt>
                <c:pt idx="1465">
                  <c:v>-6.1555418996444509</c:v>
                </c:pt>
                <c:pt idx="1466">
                  <c:v>-8.7861755895302469</c:v>
                </c:pt>
                <c:pt idx="1467">
                  <c:v>2.583190720583957</c:v>
                </c:pt>
                <c:pt idx="1468">
                  <c:v>-5.416809279416043</c:v>
                </c:pt>
                <c:pt idx="1469">
                  <c:v>4.4750917902413452</c:v>
                </c:pt>
                <c:pt idx="1470">
                  <c:v>7.583190720583957</c:v>
                </c:pt>
                <c:pt idx="1471">
                  <c:v>-1.416809279416043</c:v>
                </c:pt>
                <c:pt idx="1472">
                  <c:v>-8.416809279416043</c:v>
                </c:pt>
                <c:pt idx="1473">
                  <c:v>-6.1555418996444509</c:v>
                </c:pt>
                <c:pt idx="1474">
                  <c:v>-7.1555418996444509</c:v>
                </c:pt>
                <c:pt idx="1475">
                  <c:v>5.583190720583957</c:v>
                </c:pt>
                <c:pt idx="1476">
                  <c:v>-11.416809279416043</c:v>
                </c:pt>
                <c:pt idx="1477">
                  <c:v>-11.416809279416043</c:v>
                </c:pt>
                <c:pt idx="1478">
                  <c:v>-6.1555418996444509</c:v>
                </c:pt>
                <c:pt idx="1479">
                  <c:v>-3.416809279416043</c:v>
                </c:pt>
                <c:pt idx="1480">
                  <c:v>2.583190720583957</c:v>
                </c:pt>
                <c:pt idx="1481">
                  <c:v>1.2138244104697531</c:v>
                </c:pt>
                <c:pt idx="1482">
                  <c:v>16.583190720583957</c:v>
                </c:pt>
                <c:pt idx="1483">
                  <c:v>-8.416809279416043</c:v>
                </c:pt>
                <c:pt idx="1484">
                  <c:v>-11.416809279416043</c:v>
                </c:pt>
                <c:pt idx="1485">
                  <c:v>3.8444581003555491</c:v>
                </c:pt>
                <c:pt idx="1486">
                  <c:v>-10.416809279416043</c:v>
                </c:pt>
                <c:pt idx="1487">
                  <c:v>3.3669928598987333</c:v>
                </c:pt>
                <c:pt idx="1488">
                  <c:v>-6.1555418996444509</c:v>
                </c:pt>
                <c:pt idx="1489">
                  <c:v>-2.7861755895302469</c:v>
                </c:pt>
                <c:pt idx="1490">
                  <c:v>-9.7861755895302469</c:v>
                </c:pt>
                <c:pt idx="1491">
                  <c:v>-9.416809279416043</c:v>
                </c:pt>
                <c:pt idx="1492">
                  <c:v>-0.78617558953024691</c:v>
                </c:pt>
                <c:pt idx="1493">
                  <c:v>6.583190720583957</c:v>
                </c:pt>
                <c:pt idx="1494">
                  <c:v>-4.416809279416043</c:v>
                </c:pt>
                <c:pt idx="1495">
                  <c:v>-1.416809279416043</c:v>
                </c:pt>
                <c:pt idx="1496">
                  <c:v>1.583190720583957</c:v>
                </c:pt>
                <c:pt idx="1497">
                  <c:v>14.213824410469753</c:v>
                </c:pt>
                <c:pt idx="1498">
                  <c:v>55.583190720583957</c:v>
                </c:pt>
                <c:pt idx="1499">
                  <c:v>15.475091790241345</c:v>
                </c:pt>
                <c:pt idx="1500">
                  <c:v>-1.416809279416043</c:v>
                </c:pt>
                <c:pt idx="1501">
                  <c:v>8.583190720583957</c:v>
                </c:pt>
                <c:pt idx="1502">
                  <c:v>44.583190720583957</c:v>
                </c:pt>
                <c:pt idx="1503">
                  <c:v>-8.416809279416043</c:v>
                </c:pt>
                <c:pt idx="1504">
                  <c:v>-10.416809279416043</c:v>
                </c:pt>
                <c:pt idx="1505">
                  <c:v>-6.1555418996444509</c:v>
                </c:pt>
                <c:pt idx="1506">
                  <c:v>1.583190720583957</c:v>
                </c:pt>
                <c:pt idx="1507">
                  <c:v>-5.1555418996444509</c:v>
                </c:pt>
                <c:pt idx="1508">
                  <c:v>-5.1555418996444509</c:v>
                </c:pt>
                <c:pt idx="1509">
                  <c:v>0.10572548012714122</c:v>
                </c:pt>
                <c:pt idx="1510">
                  <c:v>2.4750917902413452</c:v>
                </c:pt>
                <c:pt idx="1511">
                  <c:v>4.583190720583957</c:v>
                </c:pt>
                <c:pt idx="1512">
                  <c:v>-4.1555418996444509</c:v>
                </c:pt>
                <c:pt idx="1513">
                  <c:v>-1.7861755895302469</c:v>
                </c:pt>
                <c:pt idx="1514">
                  <c:v>4.583190720583957</c:v>
                </c:pt>
                <c:pt idx="1515">
                  <c:v>-10.416809279416043</c:v>
                </c:pt>
                <c:pt idx="1516">
                  <c:v>-2.5249082097586548</c:v>
                </c:pt>
                <c:pt idx="1517">
                  <c:v>-7.7861755895302469</c:v>
                </c:pt>
                <c:pt idx="1518">
                  <c:v>0.58319072058395705</c:v>
                </c:pt>
                <c:pt idx="1519">
                  <c:v>-7.7861755895302469</c:v>
                </c:pt>
                <c:pt idx="1520">
                  <c:v>-1.8942745198728588</c:v>
                </c:pt>
                <c:pt idx="1521">
                  <c:v>-6.1555418996444509</c:v>
                </c:pt>
                <c:pt idx="1522">
                  <c:v>-2.416809279416043</c:v>
                </c:pt>
                <c:pt idx="1523">
                  <c:v>-4.1555418996444509</c:v>
                </c:pt>
                <c:pt idx="1524">
                  <c:v>-1.7861755895302469</c:v>
                </c:pt>
                <c:pt idx="1525">
                  <c:v>0.58319072058395705</c:v>
                </c:pt>
                <c:pt idx="1526">
                  <c:v>1.2138244104697531</c:v>
                </c:pt>
                <c:pt idx="1527">
                  <c:v>0.58319072058395705</c:v>
                </c:pt>
                <c:pt idx="1528">
                  <c:v>0.58319072058395705</c:v>
                </c:pt>
                <c:pt idx="1529">
                  <c:v>0.58319072058395705</c:v>
                </c:pt>
                <c:pt idx="1530">
                  <c:v>0.58319072058395705</c:v>
                </c:pt>
                <c:pt idx="1531">
                  <c:v>0.58319072058395705</c:v>
                </c:pt>
                <c:pt idx="1532">
                  <c:v>0.58319072058395705</c:v>
                </c:pt>
                <c:pt idx="1533">
                  <c:v>0.58319072058395705</c:v>
                </c:pt>
                <c:pt idx="1534">
                  <c:v>0.58319072058395705</c:v>
                </c:pt>
                <c:pt idx="1535">
                  <c:v>0.58319072058395705</c:v>
                </c:pt>
                <c:pt idx="1536">
                  <c:v>0.58319072058395705</c:v>
                </c:pt>
                <c:pt idx="1537">
                  <c:v>0.58319072058395705</c:v>
                </c:pt>
                <c:pt idx="1538">
                  <c:v>0.58319072058395705</c:v>
                </c:pt>
                <c:pt idx="1539">
                  <c:v>0.58319072058395705</c:v>
                </c:pt>
                <c:pt idx="1540">
                  <c:v>0.58319072058395705</c:v>
                </c:pt>
                <c:pt idx="1541">
                  <c:v>0.58319072058395705</c:v>
                </c:pt>
                <c:pt idx="1542">
                  <c:v>0.58319072058395705</c:v>
                </c:pt>
                <c:pt idx="1543">
                  <c:v>0.58319072058395705</c:v>
                </c:pt>
                <c:pt idx="1544">
                  <c:v>0.58319072058395705</c:v>
                </c:pt>
                <c:pt idx="1545">
                  <c:v>-0.41680927941604295</c:v>
                </c:pt>
                <c:pt idx="1546">
                  <c:v>0.58319072058395705</c:v>
                </c:pt>
                <c:pt idx="1547">
                  <c:v>0.58319072058395705</c:v>
                </c:pt>
                <c:pt idx="1548">
                  <c:v>-0.41680927941604295</c:v>
                </c:pt>
                <c:pt idx="1549">
                  <c:v>3.2138244104697531</c:v>
                </c:pt>
                <c:pt idx="1550">
                  <c:v>-8.416809279416043</c:v>
                </c:pt>
                <c:pt idx="1551">
                  <c:v>-3.5249082097586548</c:v>
                </c:pt>
                <c:pt idx="1552">
                  <c:v>-7.1555418996444509</c:v>
                </c:pt>
                <c:pt idx="1553">
                  <c:v>-7.1555418996444509</c:v>
                </c:pt>
                <c:pt idx="1554">
                  <c:v>1.583190720583957</c:v>
                </c:pt>
                <c:pt idx="1555">
                  <c:v>-2.5249082097586548</c:v>
                </c:pt>
                <c:pt idx="1556">
                  <c:v>-7.1555418996444509</c:v>
                </c:pt>
                <c:pt idx="1557">
                  <c:v>-10.416809279416043</c:v>
                </c:pt>
                <c:pt idx="1558">
                  <c:v>1.583190720583957</c:v>
                </c:pt>
                <c:pt idx="1559">
                  <c:v>1.2138244104697531</c:v>
                </c:pt>
                <c:pt idx="1560">
                  <c:v>-1.7861755895302469</c:v>
                </c:pt>
                <c:pt idx="1561">
                  <c:v>-6.7861755895302469</c:v>
                </c:pt>
                <c:pt idx="1562">
                  <c:v>11.583190720583957</c:v>
                </c:pt>
                <c:pt idx="1563">
                  <c:v>-5.1555418996444509</c:v>
                </c:pt>
                <c:pt idx="1564">
                  <c:v>0.10572548012714122</c:v>
                </c:pt>
                <c:pt idx="1565">
                  <c:v>0.10572548012714122</c:v>
                </c:pt>
                <c:pt idx="1566">
                  <c:v>-0.78617558953024691</c:v>
                </c:pt>
                <c:pt idx="1567">
                  <c:v>-7.1555418996444509</c:v>
                </c:pt>
                <c:pt idx="1568">
                  <c:v>-11.416809279416043</c:v>
                </c:pt>
                <c:pt idx="1569">
                  <c:v>-4.7861755895302469</c:v>
                </c:pt>
                <c:pt idx="1570">
                  <c:v>-10.416809279416043</c:v>
                </c:pt>
                <c:pt idx="1571">
                  <c:v>-7.7861755895302469</c:v>
                </c:pt>
                <c:pt idx="1572">
                  <c:v>7.8444581003555491</c:v>
                </c:pt>
                <c:pt idx="1573">
                  <c:v>-0.15554189964445087</c:v>
                </c:pt>
                <c:pt idx="1574">
                  <c:v>3.8444581003555491</c:v>
                </c:pt>
                <c:pt idx="1575">
                  <c:v>-9.416809279416043</c:v>
                </c:pt>
                <c:pt idx="1576">
                  <c:v>-8.7861755895302469</c:v>
                </c:pt>
                <c:pt idx="1577">
                  <c:v>-3.5249082097586548</c:v>
                </c:pt>
                <c:pt idx="1578">
                  <c:v>17.213824410469755</c:v>
                </c:pt>
                <c:pt idx="1579">
                  <c:v>-0.89427451987285878</c:v>
                </c:pt>
                <c:pt idx="1580">
                  <c:v>-11.416809279416043</c:v>
                </c:pt>
                <c:pt idx="1581">
                  <c:v>-10.416809279416043</c:v>
                </c:pt>
                <c:pt idx="1582">
                  <c:v>-12.416809279416043</c:v>
                </c:pt>
                <c:pt idx="1583">
                  <c:v>-1.5249082097586548</c:v>
                </c:pt>
                <c:pt idx="1584">
                  <c:v>5.583190720583957</c:v>
                </c:pt>
                <c:pt idx="1585">
                  <c:v>-5.416809279416043</c:v>
                </c:pt>
                <c:pt idx="1586">
                  <c:v>-2.416809279416043</c:v>
                </c:pt>
                <c:pt idx="1587">
                  <c:v>12.213824410469753</c:v>
                </c:pt>
                <c:pt idx="1588">
                  <c:v>37.583190720583957</c:v>
                </c:pt>
                <c:pt idx="1589">
                  <c:v>11.583190720583957</c:v>
                </c:pt>
                <c:pt idx="1590">
                  <c:v>15.583190720583957</c:v>
                </c:pt>
                <c:pt idx="1591">
                  <c:v>-2.416809279416043</c:v>
                </c:pt>
                <c:pt idx="1592">
                  <c:v>63.583190720583957</c:v>
                </c:pt>
                <c:pt idx="1593">
                  <c:v>10.844458100355549</c:v>
                </c:pt>
                <c:pt idx="1594">
                  <c:v>-10.416809279416043</c:v>
                </c:pt>
                <c:pt idx="1595">
                  <c:v>-7.7861755895302469</c:v>
                </c:pt>
                <c:pt idx="1596">
                  <c:v>-0.41680927941604295</c:v>
                </c:pt>
                <c:pt idx="1597">
                  <c:v>-3.5249082097586548</c:v>
                </c:pt>
                <c:pt idx="1598">
                  <c:v>-7.7861755895302469</c:v>
                </c:pt>
                <c:pt idx="1599">
                  <c:v>-7.1555418996444509</c:v>
                </c:pt>
                <c:pt idx="1600">
                  <c:v>-1.8942745198728588</c:v>
                </c:pt>
                <c:pt idx="1601">
                  <c:v>-2.416809279416043</c:v>
                </c:pt>
                <c:pt idx="1602">
                  <c:v>-9.416809279416043</c:v>
                </c:pt>
                <c:pt idx="1603">
                  <c:v>1.2138244104697531</c:v>
                </c:pt>
                <c:pt idx="1604">
                  <c:v>15.475091790241345</c:v>
                </c:pt>
                <c:pt idx="1605">
                  <c:v>0.21382441046975309</c:v>
                </c:pt>
                <c:pt idx="1606">
                  <c:v>-9.416809279416043</c:v>
                </c:pt>
                <c:pt idx="1607">
                  <c:v>0.58319072058395705</c:v>
                </c:pt>
                <c:pt idx="1608">
                  <c:v>-11.416809279416043</c:v>
                </c:pt>
                <c:pt idx="1609">
                  <c:v>-6.1555418996444509</c:v>
                </c:pt>
                <c:pt idx="1610">
                  <c:v>-10.416809279416043</c:v>
                </c:pt>
                <c:pt idx="1611">
                  <c:v>-1.416809279416043</c:v>
                </c:pt>
                <c:pt idx="1612">
                  <c:v>-8.7861755895302469</c:v>
                </c:pt>
                <c:pt idx="1613">
                  <c:v>-6.1555418996444509</c:v>
                </c:pt>
                <c:pt idx="1614">
                  <c:v>-8.7861755895302469</c:v>
                </c:pt>
                <c:pt idx="1615">
                  <c:v>2.2138244104697531</c:v>
                </c:pt>
                <c:pt idx="1616">
                  <c:v>-8.416809279416043</c:v>
                </c:pt>
                <c:pt idx="1617">
                  <c:v>0.84445810035554913</c:v>
                </c:pt>
                <c:pt idx="1618">
                  <c:v>0.58319072058395705</c:v>
                </c:pt>
                <c:pt idx="1619">
                  <c:v>0.21382441046975309</c:v>
                </c:pt>
                <c:pt idx="1620">
                  <c:v>-2.416809279416043</c:v>
                </c:pt>
                <c:pt idx="1621">
                  <c:v>0.58319072058395705</c:v>
                </c:pt>
                <c:pt idx="1622">
                  <c:v>3.2138244104697531</c:v>
                </c:pt>
                <c:pt idx="1623">
                  <c:v>0.58319072058395705</c:v>
                </c:pt>
                <c:pt idx="1624">
                  <c:v>0.58319072058395705</c:v>
                </c:pt>
                <c:pt idx="1625">
                  <c:v>0.58319072058395705</c:v>
                </c:pt>
                <c:pt idx="1626">
                  <c:v>-5.416809279416043</c:v>
                </c:pt>
                <c:pt idx="1627">
                  <c:v>0.58319072058395705</c:v>
                </c:pt>
                <c:pt idx="1628">
                  <c:v>0.58319072058395705</c:v>
                </c:pt>
                <c:pt idx="1629">
                  <c:v>0.58319072058395705</c:v>
                </c:pt>
                <c:pt idx="1630">
                  <c:v>0.58319072058395705</c:v>
                </c:pt>
                <c:pt idx="1631">
                  <c:v>0.58319072058395705</c:v>
                </c:pt>
                <c:pt idx="1632">
                  <c:v>0.58319072058395705</c:v>
                </c:pt>
                <c:pt idx="1633">
                  <c:v>0.58319072058395705</c:v>
                </c:pt>
                <c:pt idx="1634">
                  <c:v>0.58319072058395705</c:v>
                </c:pt>
                <c:pt idx="1635">
                  <c:v>0.58319072058395705</c:v>
                </c:pt>
                <c:pt idx="1636">
                  <c:v>0.58319072058395705</c:v>
                </c:pt>
                <c:pt idx="1637">
                  <c:v>-0.41680927941604295</c:v>
                </c:pt>
                <c:pt idx="1638">
                  <c:v>0.58319072058395705</c:v>
                </c:pt>
                <c:pt idx="1639">
                  <c:v>0.58319072058395705</c:v>
                </c:pt>
                <c:pt idx="1640">
                  <c:v>-1.416809279416043</c:v>
                </c:pt>
                <c:pt idx="1641">
                  <c:v>0.58319072058395705</c:v>
                </c:pt>
                <c:pt idx="1642">
                  <c:v>0.58319072058395705</c:v>
                </c:pt>
                <c:pt idx="1643">
                  <c:v>-11.416809279416043</c:v>
                </c:pt>
                <c:pt idx="1644">
                  <c:v>-11.416809279416043</c:v>
                </c:pt>
                <c:pt idx="1645">
                  <c:v>-0.89427451987285878</c:v>
                </c:pt>
                <c:pt idx="1646">
                  <c:v>-2.416809279416043</c:v>
                </c:pt>
                <c:pt idx="1647">
                  <c:v>-9.416809279416043</c:v>
                </c:pt>
                <c:pt idx="1648">
                  <c:v>-2.5249082097586548</c:v>
                </c:pt>
                <c:pt idx="1649">
                  <c:v>-4.416809279416043</c:v>
                </c:pt>
                <c:pt idx="1650">
                  <c:v>-7.7861755895302469</c:v>
                </c:pt>
                <c:pt idx="1651">
                  <c:v>-4.7861755895302469</c:v>
                </c:pt>
                <c:pt idx="1652">
                  <c:v>-4.7861755895302469</c:v>
                </c:pt>
                <c:pt idx="1653">
                  <c:v>-4.416809279416043</c:v>
                </c:pt>
                <c:pt idx="1654">
                  <c:v>19.583190720583957</c:v>
                </c:pt>
                <c:pt idx="1655">
                  <c:v>-3.1555418996444509</c:v>
                </c:pt>
                <c:pt idx="1656">
                  <c:v>4.3669928598987333</c:v>
                </c:pt>
                <c:pt idx="1657">
                  <c:v>-6.1555418996444509</c:v>
                </c:pt>
                <c:pt idx="1658">
                  <c:v>-4.416809279416043</c:v>
                </c:pt>
                <c:pt idx="1659">
                  <c:v>-6.1555418996444509</c:v>
                </c:pt>
                <c:pt idx="1660">
                  <c:v>-1.8942745198728588</c:v>
                </c:pt>
                <c:pt idx="1661">
                  <c:v>-11.416809279416043</c:v>
                </c:pt>
                <c:pt idx="1662">
                  <c:v>-0.78617558953024691</c:v>
                </c:pt>
                <c:pt idx="1663">
                  <c:v>-10.416809279416043</c:v>
                </c:pt>
                <c:pt idx="1664">
                  <c:v>-8.416809279416043</c:v>
                </c:pt>
                <c:pt idx="1665">
                  <c:v>1.4750917902413452</c:v>
                </c:pt>
                <c:pt idx="1666">
                  <c:v>-1.7861755895302469</c:v>
                </c:pt>
                <c:pt idx="1667">
                  <c:v>-1.416809279416043</c:v>
                </c:pt>
                <c:pt idx="1668">
                  <c:v>11.583190720583957</c:v>
                </c:pt>
                <c:pt idx="1669">
                  <c:v>-7.7861755895302469</c:v>
                </c:pt>
                <c:pt idx="1670">
                  <c:v>-9.416809279416043</c:v>
                </c:pt>
                <c:pt idx="1671">
                  <c:v>-7.416809279416043</c:v>
                </c:pt>
                <c:pt idx="1672">
                  <c:v>4.3669928598987333</c:v>
                </c:pt>
                <c:pt idx="1673">
                  <c:v>-3.5249082097586548</c:v>
                </c:pt>
                <c:pt idx="1674">
                  <c:v>-2.416809279416043</c:v>
                </c:pt>
                <c:pt idx="1675">
                  <c:v>-9.416809279416043</c:v>
                </c:pt>
                <c:pt idx="1676">
                  <c:v>-1.8942745198728588</c:v>
                </c:pt>
                <c:pt idx="1677">
                  <c:v>-3.5249082097586548</c:v>
                </c:pt>
                <c:pt idx="1678">
                  <c:v>-5.416809279416043</c:v>
                </c:pt>
                <c:pt idx="1679">
                  <c:v>-2.7861755895302469</c:v>
                </c:pt>
                <c:pt idx="1680">
                  <c:v>16.583190720583957</c:v>
                </c:pt>
                <c:pt idx="1681">
                  <c:v>-1.416809279416043</c:v>
                </c:pt>
                <c:pt idx="1682">
                  <c:v>12.213824410469753</c:v>
                </c:pt>
                <c:pt idx="1683">
                  <c:v>2.583190720583957</c:v>
                </c:pt>
                <c:pt idx="1684">
                  <c:v>66.213824410469755</c:v>
                </c:pt>
                <c:pt idx="1685">
                  <c:v>20.844458100355549</c:v>
                </c:pt>
                <c:pt idx="1686">
                  <c:v>3.583190720583957</c:v>
                </c:pt>
                <c:pt idx="1687">
                  <c:v>-1.416809279416043</c:v>
                </c:pt>
                <c:pt idx="1688">
                  <c:v>-10.416809279416043</c:v>
                </c:pt>
                <c:pt idx="1689">
                  <c:v>32.583190720583957</c:v>
                </c:pt>
                <c:pt idx="1690">
                  <c:v>-0.89427451987285878</c:v>
                </c:pt>
                <c:pt idx="1691">
                  <c:v>-3.5249082097586548</c:v>
                </c:pt>
                <c:pt idx="1692">
                  <c:v>-10.416809279416043</c:v>
                </c:pt>
                <c:pt idx="1693">
                  <c:v>-0.89427451987285878</c:v>
                </c:pt>
                <c:pt idx="1694">
                  <c:v>2.583190720583957</c:v>
                </c:pt>
                <c:pt idx="1695">
                  <c:v>-6.1555418996444509</c:v>
                </c:pt>
                <c:pt idx="1696">
                  <c:v>-11.416809279416043</c:v>
                </c:pt>
                <c:pt idx="1697">
                  <c:v>0.47509179024134518</c:v>
                </c:pt>
                <c:pt idx="1698">
                  <c:v>3.583190720583957</c:v>
                </c:pt>
                <c:pt idx="1699">
                  <c:v>-2.416809279416043</c:v>
                </c:pt>
                <c:pt idx="1700">
                  <c:v>7.2138244104697531</c:v>
                </c:pt>
                <c:pt idx="1701">
                  <c:v>-3.416809279416043</c:v>
                </c:pt>
                <c:pt idx="1702">
                  <c:v>-5.1555418996444509</c:v>
                </c:pt>
                <c:pt idx="1703">
                  <c:v>-9.7861755895302469</c:v>
                </c:pt>
                <c:pt idx="1704">
                  <c:v>-3.416809279416043</c:v>
                </c:pt>
                <c:pt idx="1705">
                  <c:v>-8.7861755895302469</c:v>
                </c:pt>
                <c:pt idx="1706">
                  <c:v>-8.1555418996444509</c:v>
                </c:pt>
                <c:pt idx="1707">
                  <c:v>-11.416809279416043</c:v>
                </c:pt>
                <c:pt idx="1708">
                  <c:v>-11.416809279416043</c:v>
                </c:pt>
                <c:pt idx="1709">
                  <c:v>-3.5249082097586548</c:v>
                </c:pt>
                <c:pt idx="1710">
                  <c:v>3.2138244104697531</c:v>
                </c:pt>
                <c:pt idx="1711">
                  <c:v>-4.1555418996444509</c:v>
                </c:pt>
                <c:pt idx="1712">
                  <c:v>-5.416809279416043</c:v>
                </c:pt>
                <c:pt idx="1713">
                  <c:v>3.2138244104697531</c:v>
                </c:pt>
                <c:pt idx="1714">
                  <c:v>3.4750917902413452</c:v>
                </c:pt>
                <c:pt idx="1715">
                  <c:v>0.58319072058395705</c:v>
                </c:pt>
                <c:pt idx="1716">
                  <c:v>5.8444581003555491</c:v>
                </c:pt>
                <c:pt idx="1717">
                  <c:v>0.58319072058395705</c:v>
                </c:pt>
                <c:pt idx="1718">
                  <c:v>0.58319072058395705</c:v>
                </c:pt>
                <c:pt idx="1719">
                  <c:v>0.58319072058395705</c:v>
                </c:pt>
                <c:pt idx="1720">
                  <c:v>0.58319072058395705</c:v>
                </c:pt>
                <c:pt idx="1721">
                  <c:v>0.58319072058395705</c:v>
                </c:pt>
                <c:pt idx="1722">
                  <c:v>0.58319072058395705</c:v>
                </c:pt>
                <c:pt idx="1723">
                  <c:v>0.58319072058395705</c:v>
                </c:pt>
                <c:pt idx="1724">
                  <c:v>0.58319072058395705</c:v>
                </c:pt>
                <c:pt idx="1725">
                  <c:v>0.58319072058395705</c:v>
                </c:pt>
                <c:pt idx="1726">
                  <c:v>0.58319072058395705</c:v>
                </c:pt>
                <c:pt idx="1727">
                  <c:v>0.58319072058395705</c:v>
                </c:pt>
                <c:pt idx="1728">
                  <c:v>0.58319072058395705</c:v>
                </c:pt>
                <c:pt idx="1729">
                  <c:v>-0.41680927941604295</c:v>
                </c:pt>
                <c:pt idx="1730">
                  <c:v>3.2138244104697531</c:v>
                </c:pt>
                <c:pt idx="1731">
                  <c:v>0.58319072058395705</c:v>
                </c:pt>
                <c:pt idx="1732">
                  <c:v>0.58319072058395705</c:v>
                </c:pt>
                <c:pt idx="1733">
                  <c:v>0.58319072058395705</c:v>
                </c:pt>
                <c:pt idx="1734">
                  <c:v>0.58319072058395705</c:v>
                </c:pt>
                <c:pt idx="1735">
                  <c:v>0.58319072058395705</c:v>
                </c:pt>
                <c:pt idx="1736">
                  <c:v>0.58319072058395705</c:v>
                </c:pt>
                <c:pt idx="1737">
                  <c:v>0.58319072058395705</c:v>
                </c:pt>
                <c:pt idx="1738">
                  <c:v>-12.416809279416043</c:v>
                </c:pt>
                <c:pt idx="1739">
                  <c:v>-10.416809279416043</c:v>
                </c:pt>
                <c:pt idx="1740">
                  <c:v>-3.416809279416043</c:v>
                </c:pt>
                <c:pt idx="1741">
                  <c:v>-7.7861755895302469</c:v>
                </c:pt>
                <c:pt idx="1742">
                  <c:v>-7.7861755895302469</c:v>
                </c:pt>
                <c:pt idx="1743">
                  <c:v>-8.7861755895302469</c:v>
                </c:pt>
                <c:pt idx="1744">
                  <c:v>-10.416809279416043</c:v>
                </c:pt>
                <c:pt idx="1745">
                  <c:v>2.583190720583957</c:v>
                </c:pt>
                <c:pt idx="1746">
                  <c:v>-4.1555418996444509</c:v>
                </c:pt>
                <c:pt idx="1747">
                  <c:v>-4.416809279416043</c:v>
                </c:pt>
                <c:pt idx="1748">
                  <c:v>-3.416809279416043</c:v>
                </c:pt>
                <c:pt idx="1749">
                  <c:v>11.583190720583957</c:v>
                </c:pt>
                <c:pt idx="1750">
                  <c:v>-9.416809279416043</c:v>
                </c:pt>
                <c:pt idx="1751">
                  <c:v>-9.7861755895302469</c:v>
                </c:pt>
                <c:pt idx="1752">
                  <c:v>-10.416809279416043</c:v>
                </c:pt>
                <c:pt idx="1753">
                  <c:v>0.21382441046975309</c:v>
                </c:pt>
                <c:pt idx="1754">
                  <c:v>-10.416809279416043</c:v>
                </c:pt>
                <c:pt idx="1755">
                  <c:v>-9.7861755895302469</c:v>
                </c:pt>
                <c:pt idx="1756">
                  <c:v>-9.416809279416043</c:v>
                </c:pt>
                <c:pt idx="1757">
                  <c:v>6.8444581003555491</c:v>
                </c:pt>
                <c:pt idx="1758">
                  <c:v>-10.416809279416043</c:v>
                </c:pt>
                <c:pt idx="1759">
                  <c:v>0.21382441046975309</c:v>
                </c:pt>
                <c:pt idx="1760">
                  <c:v>3.8444581003555491</c:v>
                </c:pt>
                <c:pt idx="1761">
                  <c:v>-5.7861755895302469</c:v>
                </c:pt>
                <c:pt idx="1762">
                  <c:v>19.583190720583957</c:v>
                </c:pt>
                <c:pt idx="1763">
                  <c:v>-6.1555418996444509</c:v>
                </c:pt>
                <c:pt idx="1764">
                  <c:v>-7.1555418996444509</c:v>
                </c:pt>
                <c:pt idx="1765">
                  <c:v>-1.8942745198728588</c:v>
                </c:pt>
                <c:pt idx="1766">
                  <c:v>-11.416809279416043</c:v>
                </c:pt>
                <c:pt idx="1767">
                  <c:v>1.2138244104697531</c:v>
                </c:pt>
                <c:pt idx="1768">
                  <c:v>0.73635917001293727</c:v>
                </c:pt>
                <c:pt idx="1769">
                  <c:v>-7.1555418996444509</c:v>
                </c:pt>
                <c:pt idx="1770">
                  <c:v>-12.416809279416043</c:v>
                </c:pt>
                <c:pt idx="1771">
                  <c:v>-0.78617558953024691</c:v>
                </c:pt>
                <c:pt idx="1772">
                  <c:v>-4.7861755895302469</c:v>
                </c:pt>
                <c:pt idx="1773">
                  <c:v>-2.7861755895302469</c:v>
                </c:pt>
                <c:pt idx="1774">
                  <c:v>-2.1555418996444509</c:v>
                </c:pt>
                <c:pt idx="1775">
                  <c:v>4.583190720583957</c:v>
                </c:pt>
                <c:pt idx="1776">
                  <c:v>35.583190720583957</c:v>
                </c:pt>
                <c:pt idx="1777">
                  <c:v>12.844458100355549</c:v>
                </c:pt>
                <c:pt idx="1778">
                  <c:v>5.583190720583957</c:v>
                </c:pt>
                <c:pt idx="1779">
                  <c:v>3.583190720583957</c:v>
                </c:pt>
                <c:pt idx="1780">
                  <c:v>55.583190720583957</c:v>
                </c:pt>
                <c:pt idx="1781">
                  <c:v>9.583190720583957</c:v>
                </c:pt>
                <c:pt idx="1782">
                  <c:v>1.583190720583957</c:v>
                </c:pt>
                <c:pt idx="1783">
                  <c:v>-1.5249082097586548</c:v>
                </c:pt>
                <c:pt idx="1784">
                  <c:v>-0.89427451987285878</c:v>
                </c:pt>
                <c:pt idx="1785">
                  <c:v>17.583190720583957</c:v>
                </c:pt>
                <c:pt idx="1786">
                  <c:v>-5.1555418996444509</c:v>
                </c:pt>
                <c:pt idx="1787">
                  <c:v>-3.5249082097586548</c:v>
                </c:pt>
                <c:pt idx="1788">
                  <c:v>-10.416809279416043</c:v>
                </c:pt>
                <c:pt idx="1789">
                  <c:v>-1.416809279416043</c:v>
                </c:pt>
                <c:pt idx="1790">
                  <c:v>-11.416809279416043</c:v>
                </c:pt>
                <c:pt idx="1791">
                  <c:v>-3.416809279416043</c:v>
                </c:pt>
                <c:pt idx="1792">
                  <c:v>11.583190720583957</c:v>
                </c:pt>
                <c:pt idx="1793">
                  <c:v>7.2138244104697531</c:v>
                </c:pt>
                <c:pt idx="1794">
                  <c:v>-9.416809279416043</c:v>
                </c:pt>
                <c:pt idx="1795">
                  <c:v>-7.1555418996444509</c:v>
                </c:pt>
                <c:pt idx="1796">
                  <c:v>-8.7861755895302469</c:v>
                </c:pt>
                <c:pt idx="1797">
                  <c:v>-1.416809279416043</c:v>
                </c:pt>
                <c:pt idx="1798">
                  <c:v>-3.5249082097586548</c:v>
                </c:pt>
                <c:pt idx="1799">
                  <c:v>-10.416809279416043</c:v>
                </c:pt>
                <c:pt idx="1800">
                  <c:v>-2.416809279416043</c:v>
                </c:pt>
                <c:pt idx="1801">
                  <c:v>-7.7861755895302469</c:v>
                </c:pt>
                <c:pt idx="1802">
                  <c:v>5.3669928598987333</c:v>
                </c:pt>
                <c:pt idx="1803">
                  <c:v>2.4750917902413452</c:v>
                </c:pt>
                <c:pt idx="1804">
                  <c:v>0.58319072058395705</c:v>
                </c:pt>
                <c:pt idx="1805">
                  <c:v>-8.416809279416043</c:v>
                </c:pt>
                <c:pt idx="1806">
                  <c:v>0.10572548012714122</c:v>
                </c:pt>
                <c:pt idx="1807">
                  <c:v>0.58319072058395705</c:v>
                </c:pt>
                <c:pt idx="1808">
                  <c:v>0.58319072058395705</c:v>
                </c:pt>
                <c:pt idx="1809">
                  <c:v>0.58319072058395705</c:v>
                </c:pt>
                <c:pt idx="1810">
                  <c:v>0.58319072058395705</c:v>
                </c:pt>
                <c:pt idx="1811">
                  <c:v>-4.416809279416043</c:v>
                </c:pt>
                <c:pt idx="1812">
                  <c:v>0.58319072058395705</c:v>
                </c:pt>
                <c:pt idx="1813">
                  <c:v>0.58319072058395705</c:v>
                </c:pt>
                <c:pt idx="1814">
                  <c:v>0.58319072058395705</c:v>
                </c:pt>
                <c:pt idx="1815">
                  <c:v>0.58319072058395705</c:v>
                </c:pt>
                <c:pt idx="1816">
                  <c:v>0.58319072058395705</c:v>
                </c:pt>
                <c:pt idx="1817">
                  <c:v>0.58319072058395705</c:v>
                </c:pt>
                <c:pt idx="1818">
                  <c:v>0.58319072058395705</c:v>
                </c:pt>
                <c:pt idx="1819">
                  <c:v>0.58319072058395705</c:v>
                </c:pt>
                <c:pt idx="1820">
                  <c:v>0.58319072058395705</c:v>
                </c:pt>
                <c:pt idx="1821">
                  <c:v>0.58319072058395705</c:v>
                </c:pt>
                <c:pt idx="1822">
                  <c:v>0.58319072058395705</c:v>
                </c:pt>
                <c:pt idx="1823">
                  <c:v>0.58319072058395705</c:v>
                </c:pt>
                <c:pt idx="1824">
                  <c:v>0.58319072058395705</c:v>
                </c:pt>
                <c:pt idx="1825">
                  <c:v>-1.416809279416043</c:v>
                </c:pt>
                <c:pt idx="1826">
                  <c:v>0.58319072058395705</c:v>
                </c:pt>
                <c:pt idx="1827">
                  <c:v>0.58319072058395705</c:v>
                </c:pt>
                <c:pt idx="1828">
                  <c:v>0.58319072058395705</c:v>
                </c:pt>
                <c:pt idx="1829">
                  <c:v>0.58319072058395705</c:v>
                </c:pt>
                <c:pt idx="1830">
                  <c:v>-2.416809279416043</c:v>
                </c:pt>
                <c:pt idx="1831">
                  <c:v>-10.416809279416043</c:v>
                </c:pt>
                <c:pt idx="1832">
                  <c:v>-10.416809279416043</c:v>
                </c:pt>
                <c:pt idx="1833">
                  <c:v>-5.416809279416043</c:v>
                </c:pt>
                <c:pt idx="1834">
                  <c:v>-8.416809279416043</c:v>
                </c:pt>
                <c:pt idx="1835">
                  <c:v>8.6282602396703254</c:v>
                </c:pt>
                <c:pt idx="1836">
                  <c:v>-0.89427451987285878</c:v>
                </c:pt>
                <c:pt idx="1837">
                  <c:v>2.2138244104697531</c:v>
                </c:pt>
                <c:pt idx="1838">
                  <c:v>-2.5249082097586548</c:v>
                </c:pt>
                <c:pt idx="1839">
                  <c:v>-6.7861755895302469</c:v>
                </c:pt>
                <c:pt idx="1840">
                  <c:v>17.475091790241343</c:v>
                </c:pt>
                <c:pt idx="1841">
                  <c:v>4.2138244104697531</c:v>
                </c:pt>
                <c:pt idx="1842">
                  <c:v>-2.7861755895302469</c:v>
                </c:pt>
                <c:pt idx="1843">
                  <c:v>-9.416809279416043</c:v>
                </c:pt>
                <c:pt idx="1844">
                  <c:v>-7.1555418996444509</c:v>
                </c:pt>
                <c:pt idx="1845">
                  <c:v>5.583190720583957</c:v>
                </c:pt>
                <c:pt idx="1846">
                  <c:v>-1.8942745198728588</c:v>
                </c:pt>
                <c:pt idx="1847">
                  <c:v>-4.1555418996444509</c:v>
                </c:pt>
                <c:pt idx="1848">
                  <c:v>-7.7861755895302469</c:v>
                </c:pt>
                <c:pt idx="1849">
                  <c:v>-3.416809279416043</c:v>
                </c:pt>
                <c:pt idx="1850">
                  <c:v>-5.7861755895302469</c:v>
                </c:pt>
                <c:pt idx="1851">
                  <c:v>4.1057254801271412</c:v>
                </c:pt>
                <c:pt idx="1852">
                  <c:v>-7.416809279416043</c:v>
                </c:pt>
                <c:pt idx="1853">
                  <c:v>0.21382441046975309</c:v>
                </c:pt>
                <c:pt idx="1854">
                  <c:v>22.583190720583957</c:v>
                </c:pt>
                <c:pt idx="1855">
                  <c:v>-7.7861755895302469</c:v>
                </c:pt>
                <c:pt idx="1856">
                  <c:v>-1.8942745198728588</c:v>
                </c:pt>
                <c:pt idx="1857">
                  <c:v>-7.7861755895302469</c:v>
                </c:pt>
                <c:pt idx="1858">
                  <c:v>-12.416809279416043</c:v>
                </c:pt>
                <c:pt idx="1859">
                  <c:v>-0.41680927941604295</c:v>
                </c:pt>
                <c:pt idx="1860">
                  <c:v>-6.1555418996444509</c:v>
                </c:pt>
                <c:pt idx="1861">
                  <c:v>-3.5249082097586548</c:v>
                </c:pt>
                <c:pt idx="1862">
                  <c:v>-5.416809279416043</c:v>
                </c:pt>
                <c:pt idx="1863">
                  <c:v>2.7363591700129373</c:v>
                </c:pt>
                <c:pt idx="1864">
                  <c:v>-5.416809279416043</c:v>
                </c:pt>
                <c:pt idx="1865">
                  <c:v>-4.416809279416043</c:v>
                </c:pt>
                <c:pt idx="1866">
                  <c:v>6.583190720583957</c:v>
                </c:pt>
                <c:pt idx="1867">
                  <c:v>50.583190720583957</c:v>
                </c:pt>
                <c:pt idx="1868">
                  <c:v>10.583190720583957</c:v>
                </c:pt>
                <c:pt idx="1869">
                  <c:v>12.583190720583957</c:v>
                </c:pt>
                <c:pt idx="1870">
                  <c:v>2.583190720583957</c:v>
                </c:pt>
                <c:pt idx="1871">
                  <c:v>62.583190720583957</c:v>
                </c:pt>
                <c:pt idx="1872">
                  <c:v>12.213824410469753</c:v>
                </c:pt>
                <c:pt idx="1873">
                  <c:v>-10.416809279416043</c:v>
                </c:pt>
                <c:pt idx="1874">
                  <c:v>-5.1555418996444509</c:v>
                </c:pt>
                <c:pt idx="1875">
                  <c:v>-8.7861755895302469</c:v>
                </c:pt>
                <c:pt idx="1876">
                  <c:v>5.583190720583957</c:v>
                </c:pt>
                <c:pt idx="1877">
                  <c:v>-9.416809279416043</c:v>
                </c:pt>
                <c:pt idx="1878">
                  <c:v>-10.416809279416043</c:v>
                </c:pt>
                <c:pt idx="1879">
                  <c:v>-2.1555418996444509</c:v>
                </c:pt>
                <c:pt idx="1880">
                  <c:v>-7.1555418996444509</c:v>
                </c:pt>
                <c:pt idx="1881">
                  <c:v>-4.1555418996444509</c:v>
                </c:pt>
                <c:pt idx="1882">
                  <c:v>-7.416809279416043</c:v>
                </c:pt>
                <c:pt idx="1883">
                  <c:v>9.583190720583957</c:v>
                </c:pt>
                <c:pt idx="1884">
                  <c:v>-0.41680927941604295</c:v>
                </c:pt>
                <c:pt idx="1885">
                  <c:v>-7.416809279416043</c:v>
                </c:pt>
                <c:pt idx="1886">
                  <c:v>0.58319072058395705</c:v>
                </c:pt>
                <c:pt idx="1887">
                  <c:v>-3.5249082097586548</c:v>
                </c:pt>
                <c:pt idx="1888">
                  <c:v>-3.5249082097586548</c:v>
                </c:pt>
                <c:pt idx="1889">
                  <c:v>-10.416809279416043</c:v>
                </c:pt>
                <c:pt idx="1890">
                  <c:v>-2.416809279416043</c:v>
                </c:pt>
                <c:pt idx="1891">
                  <c:v>-2.5249082097586548</c:v>
                </c:pt>
                <c:pt idx="1892">
                  <c:v>-7.416809279416043</c:v>
                </c:pt>
                <c:pt idx="1893">
                  <c:v>-6.7861755895302469</c:v>
                </c:pt>
                <c:pt idx="1894">
                  <c:v>7.9976265497845276</c:v>
                </c:pt>
                <c:pt idx="1895">
                  <c:v>0.58319072058395705</c:v>
                </c:pt>
                <c:pt idx="1896">
                  <c:v>2.2138244104697531</c:v>
                </c:pt>
                <c:pt idx="1897">
                  <c:v>-2.7861755895302469</c:v>
                </c:pt>
                <c:pt idx="1898">
                  <c:v>0.58319072058395705</c:v>
                </c:pt>
                <c:pt idx="1899">
                  <c:v>0.58319072058395705</c:v>
                </c:pt>
                <c:pt idx="1900">
                  <c:v>0.58319072058395705</c:v>
                </c:pt>
                <c:pt idx="1901">
                  <c:v>0.58319072058395705</c:v>
                </c:pt>
                <c:pt idx="1902">
                  <c:v>0.58319072058395705</c:v>
                </c:pt>
                <c:pt idx="1903">
                  <c:v>0.58319072058395705</c:v>
                </c:pt>
                <c:pt idx="1904">
                  <c:v>0.58319072058395705</c:v>
                </c:pt>
                <c:pt idx="1905">
                  <c:v>0.58319072058395705</c:v>
                </c:pt>
                <c:pt idx="1906">
                  <c:v>0.58319072058395705</c:v>
                </c:pt>
                <c:pt idx="1907">
                  <c:v>-0.41680927941604295</c:v>
                </c:pt>
                <c:pt idx="1908">
                  <c:v>0.58319072058395705</c:v>
                </c:pt>
                <c:pt idx="1909">
                  <c:v>0.58319072058395705</c:v>
                </c:pt>
                <c:pt idx="1910">
                  <c:v>0.58319072058395705</c:v>
                </c:pt>
                <c:pt idx="1911">
                  <c:v>0.58319072058395705</c:v>
                </c:pt>
                <c:pt idx="1912">
                  <c:v>0.58319072058395705</c:v>
                </c:pt>
                <c:pt idx="1913">
                  <c:v>0.58319072058395705</c:v>
                </c:pt>
                <c:pt idx="1914">
                  <c:v>0.58319072058395705</c:v>
                </c:pt>
                <c:pt idx="1915">
                  <c:v>0.58319072058395705</c:v>
                </c:pt>
                <c:pt idx="1916">
                  <c:v>0.58319072058395705</c:v>
                </c:pt>
                <c:pt idx="1917">
                  <c:v>0.58319072058395705</c:v>
                </c:pt>
                <c:pt idx="1918">
                  <c:v>0.58319072058395705</c:v>
                </c:pt>
                <c:pt idx="1919">
                  <c:v>0.58319072058395705</c:v>
                </c:pt>
                <c:pt idx="1920">
                  <c:v>0.58319072058395705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98-4578-B00B-95784EEC2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927808"/>
        <c:axId val="1532913408"/>
      </c:scatterChart>
      <c:valAx>
        <c:axId val="153292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32913408"/>
        <c:crosses val="autoZero"/>
        <c:crossBetween val="midCat"/>
      </c:valAx>
      <c:valAx>
        <c:axId val="153291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32927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Tiempo</a:t>
            </a:r>
            <a:r>
              <a:rPr lang="en-US" b="1" baseline="0"/>
              <a:t> en llenar la combi vs alumnos esperando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demanda!$I$1</c:f>
              <c:strCache>
                <c:ptCount val="1"/>
                <c:pt idx="0">
                  <c:v>tiempo_espera_acum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71993912717635"/>
                  <c:y val="-0.765516696467613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demanda!$D$2:$D$1922</c:f>
              <c:numCache>
                <c:formatCode>General</c:formatCode>
                <c:ptCount val="1921"/>
                <c:pt idx="0">
                  <c:v>0</c:v>
                </c:pt>
                <c:pt idx="1">
                  <c:v>5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2</c:v>
                </c:pt>
                <c:pt idx="20">
                  <c:v>5</c:v>
                </c:pt>
                <c:pt idx="21">
                  <c:v>4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4</c:v>
                </c:pt>
                <c:pt idx="26">
                  <c:v>4</c:v>
                </c:pt>
                <c:pt idx="27">
                  <c:v>2</c:v>
                </c:pt>
                <c:pt idx="28">
                  <c:v>5</c:v>
                </c:pt>
                <c:pt idx="29">
                  <c:v>4</c:v>
                </c:pt>
                <c:pt idx="30">
                  <c:v>0</c:v>
                </c:pt>
                <c:pt idx="31">
                  <c:v>2</c:v>
                </c:pt>
                <c:pt idx="32">
                  <c:v>5</c:v>
                </c:pt>
                <c:pt idx="33">
                  <c:v>3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3</c:v>
                </c:pt>
                <c:pt idx="42">
                  <c:v>0</c:v>
                </c:pt>
                <c:pt idx="43">
                  <c:v>2</c:v>
                </c:pt>
                <c:pt idx="44">
                  <c:v>1</c:v>
                </c:pt>
                <c:pt idx="45">
                  <c:v>4</c:v>
                </c:pt>
                <c:pt idx="46">
                  <c:v>1</c:v>
                </c:pt>
                <c:pt idx="47">
                  <c:v>0</c:v>
                </c:pt>
                <c:pt idx="48">
                  <c:v>4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4</c:v>
                </c:pt>
                <c:pt idx="58">
                  <c:v>5</c:v>
                </c:pt>
                <c:pt idx="59">
                  <c:v>0</c:v>
                </c:pt>
                <c:pt idx="60">
                  <c:v>5</c:v>
                </c:pt>
                <c:pt idx="61">
                  <c:v>5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5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3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3</c:v>
                </c:pt>
                <c:pt idx="98">
                  <c:v>2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0</c:v>
                </c:pt>
                <c:pt idx="104">
                  <c:v>2</c:v>
                </c:pt>
                <c:pt idx="105">
                  <c:v>0</c:v>
                </c:pt>
                <c:pt idx="106">
                  <c:v>0</c:v>
                </c:pt>
                <c:pt idx="107">
                  <c:v>7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3</c:v>
                </c:pt>
                <c:pt idx="116">
                  <c:v>5</c:v>
                </c:pt>
                <c:pt idx="117">
                  <c:v>0</c:v>
                </c:pt>
                <c:pt idx="118">
                  <c:v>6</c:v>
                </c:pt>
                <c:pt idx="119">
                  <c:v>1</c:v>
                </c:pt>
                <c:pt idx="120">
                  <c:v>4</c:v>
                </c:pt>
                <c:pt idx="121">
                  <c:v>0</c:v>
                </c:pt>
                <c:pt idx="122">
                  <c:v>3</c:v>
                </c:pt>
                <c:pt idx="123">
                  <c:v>0</c:v>
                </c:pt>
                <c:pt idx="124">
                  <c:v>2</c:v>
                </c:pt>
                <c:pt idx="125">
                  <c:v>0</c:v>
                </c:pt>
                <c:pt idx="126">
                  <c:v>0</c:v>
                </c:pt>
                <c:pt idx="127">
                  <c:v>3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2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3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2</c:v>
                </c:pt>
                <c:pt idx="146">
                  <c:v>5</c:v>
                </c:pt>
                <c:pt idx="147">
                  <c:v>0</c:v>
                </c:pt>
                <c:pt idx="148">
                  <c:v>2</c:v>
                </c:pt>
                <c:pt idx="149">
                  <c:v>3</c:v>
                </c:pt>
                <c:pt idx="150">
                  <c:v>1</c:v>
                </c:pt>
                <c:pt idx="151">
                  <c:v>3</c:v>
                </c:pt>
                <c:pt idx="152">
                  <c:v>1</c:v>
                </c:pt>
                <c:pt idx="153">
                  <c:v>4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4</c:v>
                </c:pt>
                <c:pt idx="182">
                  <c:v>0</c:v>
                </c:pt>
                <c:pt idx="183">
                  <c:v>2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3</c:v>
                </c:pt>
                <c:pt idx="188">
                  <c:v>5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</c:v>
                </c:pt>
                <c:pt idx="193">
                  <c:v>3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4</c:v>
                </c:pt>
                <c:pt idx="198">
                  <c:v>1</c:v>
                </c:pt>
                <c:pt idx="199">
                  <c:v>2</c:v>
                </c:pt>
                <c:pt idx="200">
                  <c:v>3</c:v>
                </c:pt>
                <c:pt idx="201">
                  <c:v>1</c:v>
                </c:pt>
                <c:pt idx="202">
                  <c:v>0</c:v>
                </c:pt>
                <c:pt idx="203">
                  <c:v>1</c:v>
                </c:pt>
                <c:pt idx="204">
                  <c:v>1</c:v>
                </c:pt>
                <c:pt idx="205">
                  <c:v>2</c:v>
                </c:pt>
                <c:pt idx="206">
                  <c:v>5</c:v>
                </c:pt>
                <c:pt idx="207">
                  <c:v>1</c:v>
                </c:pt>
                <c:pt idx="208">
                  <c:v>0</c:v>
                </c:pt>
                <c:pt idx="209">
                  <c:v>2</c:v>
                </c:pt>
                <c:pt idx="210">
                  <c:v>0</c:v>
                </c:pt>
                <c:pt idx="211">
                  <c:v>4</c:v>
                </c:pt>
                <c:pt idx="212">
                  <c:v>7</c:v>
                </c:pt>
                <c:pt idx="213">
                  <c:v>2</c:v>
                </c:pt>
                <c:pt idx="214">
                  <c:v>2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</c:v>
                </c:pt>
                <c:pt idx="224">
                  <c:v>0</c:v>
                </c:pt>
                <c:pt idx="225">
                  <c:v>2</c:v>
                </c:pt>
                <c:pt idx="226">
                  <c:v>3</c:v>
                </c:pt>
                <c:pt idx="227">
                  <c:v>1</c:v>
                </c:pt>
                <c:pt idx="228">
                  <c:v>4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4</c:v>
                </c:pt>
                <c:pt idx="237">
                  <c:v>4</c:v>
                </c:pt>
                <c:pt idx="238">
                  <c:v>0</c:v>
                </c:pt>
                <c:pt idx="239">
                  <c:v>0</c:v>
                </c:pt>
                <c:pt idx="240">
                  <c:v>2</c:v>
                </c:pt>
                <c:pt idx="241">
                  <c:v>2</c:v>
                </c:pt>
                <c:pt idx="242">
                  <c:v>1</c:v>
                </c:pt>
                <c:pt idx="243">
                  <c:v>0</c:v>
                </c:pt>
                <c:pt idx="244">
                  <c:v>0</c:v>
                </c:pt>
                <c:pt idx="245">
                  <c:v>2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4</c:v>
                </c:pt>
                <c:pt idx="272">
                  <c:v>2</c:v>
                </c:pt>
                <c:pt idx="273">
                  <c:v>0</c:v>
                </c:pt>
                <c:pt idx="274">
                  <c:v>5</c:v>
                </c:pt>
                <c:pt idx="275">
                  <c:v>1</c:v>
                </c:pt>
                <c:pt idx="276">
                  <c:v>5</c:v>
                </c:pt>
                <c:pt idx="277">
                  <c:v>2</c:v>
                </c:pt>
                <c:pt idx="278">
                  <c:v>2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7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3</c:v>
                </c:pt>
                <c:pt idx="288">
                  <c:v>1</c:v>
                </c:pt>
                <c:pt idx="289">
                  <c:v>1</c:v>
                </c:pt>
                <c:pt idx="290">
                  <c:v>5</c:v>
                </c:pt>
                <c:pt idx="291">
                  <c:v>2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1</c:v>
                </c:pt>
                <c:pt idx="296">
                  <c:v>1</c:v>
                </c:pt>
                <c:pt idx="297">
                  <c:v>0</c:v>
                </c:pt>
                <c:pt idx="298">
                  <c:v>3</c:v>
                </c:pt>
                <c:pt idx="299">
                  <c:v>4</c:v>
                </c:pt>
                <c:pt idx="300">
                  <c:v>0</c:v>
                </c:pt>
                <c:pt idx="301">
                  <c:v>3</c:v>
                </c:pt>
                <c:pt idx="302">
                  <c:v>3</c:v>
                </c:pt>
                <c:pt idx="303">
                  <c:v>2</c:v>
                </c:pt>
                <c:pt idx="304">
                  <c:v>1</c:v>
                </c:pt>
                <c:pt idx="305">
                  <c:v>0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2</c:v>
                </c:pt>
                <c:pt idx="317">
                  <c:v>1</c:v>
                </c:pt>
                <c:pt idx="318">
                  <c:v>1</c:v>
                </c:pt>
                <c:pt idx="319">
                  <c:v>2</c:v>
                </c:pt>
                <c:pt idx="320">
                  <c:v>0</c:v>
                </c:pt>
                <c:pt idx="321">
                  <c:v>4</c:v>
                </c:pt>
                <c:pt idx="322">
                  <c:v>3</c:v>
                </c:pt>
                <c:pt idx="323">
                  <c:v>0</c:v>
                </c:pt>
                <c:pt idx="324">
                  <c:v>0</c:v>
                </c:pt>
                <c:pt idx="325">
                  <c:v>2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4</c:v>
                </c:pt>
                <c:pt idx="331">
                  <c:v>1</c:v>
                </c:pt>
                <c:pt idx="332">
                  <c:v>0</c:v>
                </c:pt>
                <c:pt idx="333">
                  <c:v>3</c:v>
                </c:pt>
                <c:pt idx="334">
                  <c:v>4</c:v>
                </c:pt>
                <c:pt idx="335">
                  <c:v>5</c:v>
                </c:pt>
                <c:pt idx="336">
                  <c:v>1</c:v>
                </c:pt>
                <c:pt idx="337">
                  <c:v>1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2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2</c:v>
                </c:pt>
                <c:pt idx="364">
                  <c:v>1</c:v>
                </c:pt>
                <c:pt idx="365">
                  <c:v>4</c:v>
                </c:pt>
                <c:pt idx="366">
                  <c:v>0</c:v>
                </c:pt>
                <c:pt idx="367">
                  <c:v>2</c:v>
                </c:pt>
                <c:pt idx="368">
                  <c:v>3</c:v>
                </c:pt>
                <c:pt idx="369">
                  <c:v>4</c:v>
                </c:pt>
                <c:pt idx="370">
                  <c:v>2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0</c:v>
                </c:pt>
                <c:pt idx="375">
                  <c:v>0</c:v>
                </c:pt>
                <c:pt idx="376">
                  <c:v>3</c:v>
                </c:pt>
                <c:pt idx="377">
                  <c:v>4</c:v>
                </c:pt>
                <c:pt idx="378">
                  <c:v>1</c:v>
                </c:pt>
                <c:pt idx="379">
                  <c:v>0</c:v>
                </c:pt>
                <c:pt idx="380">
                  <c:v>6</c:v>
                </c:pt>
                <c:pt idx="381">
                  <c:v>1</c:v>
                </c:pt>
                <c:pt idx="382">
                  <c:v>1</c:v>
                </c:pt>
                <c:pt idx="383">
                  <c:v>0</c:v>
                </c:pt>
                <c:pt idx="384">
                  <c:v>2</c:v>
                </c:pt>
                <c:pt idx="385">
                  <c:v>1</c:v>
                </c:pt>
                <c:pt idx="386">
                  <c:v>0</c:v>
                </c:pt>
                <c:pt idx="387">
                  <c:v>5</c:v>
                </c:pt>
                <c:pt idx="388">
                  <c:v>1</c:v>
                </c:pt>
                <c:pt idx="389">
                  <c:v>0</c:v>
                </c:pt>
                <c:pt idx="390">
                  <c:v>0</c:v>
                </c:pt>
                <c:pt idx="391">
                  <c:v>2</c:v>
                </c:pt>
                <c:pt idx="392">
                  <c:v>2</c:v>
                </c:pt>
                <c:pt idx="393">
                  <c:v>0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2</c:v>
                </c:pt>
                <c:pt idx="407">
                  <c:v>4</c:v>
                </c:pt>
                <c:pt idx="408">
                  <c:v>2</c:v>
                </c:pt>
                <c:pt idx="409">
                  <c:v>5</c:v>
                </c:pt>
                <c:pt idx="410">
                  <c:v>0</c:v>
                </c:pt>
                <c:pt idx="411">
                  <c:v>0</c:v>
                </c:pt>
                <c:pt idx="412">
                  <c:v>3</c:v>
                </c:pt>
                <c:pt idx="413">
                  <c:v>2</c:v>
                </c:pt>
                <c:pt idx="414">
                  <c:v>0</c:v>
                </c:pt>
                <c:pt idx="415">
                  <c:v>0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2</c:v>
                </c:pt>
                <c:pt idx="421">
                  <c:v>0</c:v>
                </c:pt>
                <c:pt idx="422">
                  <c:v>4</c:v>
                </c:pt>
                <c:pt idx="423">
                  <c:v>9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1</c:v>
                </c:pt>
                <c:pt idx="429">
                  <c:v>0</c:v>
                </c:pt>
                <c:pt idx="430">
                  <c:v>0</c:v>
                </c:pt>
                <c:pt idx="431">
                  <c:v>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2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6</c:v>
                </c:pt>
                <c:pt idx="457">
                  <c:v>5</c:v>
                </c:pt>
                <c:pt idx="458">
                  <c:v>2</c:v>
                </c:pt>
                <c:pt idx="459">
                  <c:v>0</c:v>
                </c:pt>
                <c:pt idx="460">
                  <c:v>1</c:v>
                </c:pt>
                <c:pt idx="461">
                  <c:v>3</c:v>
                </c:pt>
                <c:pt idx="462">
                  <c:v>0</c:v>
                </c:pt>
                <c:pt idx="463">
                  <c:v>2</c:v>
                </c:pt>
                <c:pt idx="464">
                  <c:v>0</c:v>
                </c:pt>
                <c:pt idx="465">
                  <c:v>9</c:v>
                </c:pt>
                <c:pt idx="466">
                  <c:v>4</c:v>
                </c:pt>
                <c:pt idx="467">
                  <c:v>0</c:v>
                </c:pt>
                <c:pt idx="468">
                  <c:v>1</c:v>
                </c:pt>
                <c:pt idx="469">
                  <c:v>0</c:v>
                </c:pt>
                <c:pt idx="470">
                  <c:v>2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2</c:v>
                </c:pt>
                <c:pt idx="476">
                  <c:v>0</c:v>
                </c:pt>
                <c:pt idx="477">
                  <c:v>0</c:v>
                </c:pt>
                <c:pt idx="478">
                  <c:v>3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3</c:v>
                </c:pt>
                <c:pt idx="484">
                  <c:v>5</c:v>
                </c:pt>
                <c:pt idx="485">
                  <c:v>0</c:v>
                </c:pt>
                <c:pt idx="486">
                  <c:v>2</c:v>
                </c:pt>
                <c:pt idx="487">
                  <c:v>2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5</c:v>
                </c:pt>
                <c:pt idx="498">
                  <c:v>2</c:v>
                </c:pt>
                <c:pt idx="499">
                  <c:v>1</c:v>
                </c:pt>
                <c:pt idx="500">
                  <c:v>2</c:v>
                </c:pt>
                <c:pt idx="501">
                  <c:v>0</c:v>
                </c:pt>
                <c:pt idx="502">
                  <c:v>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1</c:v>
                </c:pt>
                <c:pt idx="508">
                  <c:v>5</c:v>
                </c:pt>
                <c:pt idx="509">
                  <c:v>0</c:v>
                </c:pt>
                <c:pt idx="510">
                  <c:v>1</c:v>
                </c:pt>
                <c:pt idx="511">
                  <c:v>4</c:v>
                </c:pt>
                <c:pt idx="512">
                  <c:v>2</c:v>
                </c:pt>
                <c:pt idx="513">
                  <c:v>1</c:v>
                </c:pt>
                <c:pt idx="514">
                  <c:v>0</c:v>
                </c:pt>
                <c:pt idx="515">
                  <c:v>4</c:v>
                </c:pt>
                <c:pt idx="516">
                  <c:v>2</c:v>
                </c:pt>
                <c:pt idx="517">
                  <c:v>0</c:v>
                </c:pt>
                <c:pt idx="518">
                  <c:v>0</c:v>
                </c:pt>
                <c:pt idx="519">
                  <c:v>2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4</c:v>
                </c:pt>
                <c:pt idx="546">
                  <c:v>3</c:v>
                </c:pt>
                <c:pt idx="547">
                  <c:v>4</c:v>
                </c:pt>
                <c:pt idx="548">
                  <c:v>0</c:v>
                </c:pt>
                <c:pt idx="549">
                  <c:v>2</c:v>
                </c:pt>
                <c:pt idx="550">
                  <c:v>1</c:v>
                </c:pt>
                <c:pt idx="551">
                  <c:v>2</c:v>
                </c:pt>
                <c:pt idx="552">
                  <c:v>0</c:v>
                </c:pt>
                <c:pt idx="553">
                  <c:v>3</c:v>
                </c:pt>
                <c:pt idx="554">
                  <c:v>1</c:v>
                </c:pt>
                <c:pt idx="555">
                  <c:v>0</c:v>
                </c:pt>
                <c:pt idx="556">
                  <c:v>3</c:v>
                </c:pt>
                <c:pt idx="557">
                  <c:v>3</c:v>
                </c:pt>
                <c:pt idx="558">
                  <c:v>4</c:v>
                </c:pt>
                <c:pt idx="559">
                  <c:v>2</c:v>
                </c:pt>
                <c:pt idx="560">
                  <c:v>0</c:v>
                </c:pt>
                <c:pt idx="561">
                  <c:v>0</c:v>
                </c:pt>
                <c:pt idx="562">
                  <c:v>3</c:v>
                </c:pt>
                <c:pt idx="563">
                  <c:v>5</c:v>
                </c:pt>
                <c:pt idx="564">
                  <c:v>1</c:v>
                </c:pt>
                <c:pt idx="565">
                  <c:v>2</c:v>
                </c:pt>
                <c:pt idx="566">
                  <c:v>1</c:v>
                </c:pt>
                <c:pt idx="567">
                  <c:v>0</c:v>
                </c:pt>
                <c:pt idx="568">
                  <c:v>6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3</c:v>
                </c:pt>
                <c:pt idx="573">
                  <c:v>3</c:v>
                </c:pt>
                <c:pt idx="574">
                  <c:v>1</c:v>
                </c:pt>
                <c:pt idx="575">
                  <c:v>3</c:v>
                </c:pt>
                <c:pt idx="576">
                  <c:v>0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1</c:v>
                </c:pt>
                <c:pt idx="584">
                  <c:v>2</c:v>
                </c:pt>
                <c:pt idx="585">
                  <c:v>1</c:v>
                </c:pt>
                <c:pt idx="586">
                  <c:v>0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2</c:v>
                </c:pt>
                <c:pt idx="591">
                  <c:v>3</c:v>
                </c:pt>
                <c:pt idx="592">
                  <c:v>3</c:v>
                </c:pt>
                <c:pt idx="593">
                  <c:v>0</c:v>
                </c:pt>
                <c:pt idx="594">
                  <c:v>2</c:v>
                </c:pt>
                <c:pt idx="595">
                  <c:v>2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1</c:v>
                </c:pt>
                <c:pt idx="600">
                  <c:v>2</c:v>
                </c:pt>
                <c:pt idx="601">
                  <c:v>1</c:v>
                </c:pt>
                <c:pt idx="602">
                  <c:v>6</c:v>
                </c:pt>
                <c:pt idx="603">
                  <c:v>1</c:v>
                </c:pt>
                <c:pt idx="604">
                  <c:v>0</c:v>
                </c:pt>
                <c:pt idx="605">
                  <c:v>4</c:v>
                </c:pt>
                <c:pt idx="606">
                  <c:v>0</c:v>
                </c:pt>
                <c:pt idx="607">
                  <c:v>3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2</c:v>
                </c:pt>
                <c:pt idx="637">
                  <c:v>1</c:v>
                </c:pt>
                <c:pt idx="638">
                  <c:v>1</c:v>
                </c:pt>
                <c:pt idx="639">
                  <c:v>0</c:v>
                </c:pt>
                <c:pt idx="640">
                  <c:v>7</c:v>
                </c:pt>
                <c:pt idx="641">
                  <c:v>0</c:v>
                </c:pt>
                <c:pt idx="642">
                  <c:v>2</c:v>
                </c:pt>
                <c:pt idx="643">
                  <c:v>4</c:v>
                </c:pt>
                <c:pt idx="644">
                  <c:v>0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6</c:v>
                </c:pt>
                <c:pt idx="650">
                  <c:v>3</c:v>
                </c:pt>
                <c:pt idx="651">
                  <c:v>2</c:v>
                </c:pt>
                <c:pt idx="652">
                  <c:v>2</c:v>
                </c:pt>
                <c:pt idx="653">
                  <c:v>6</c:v>
                </c:pt>
                <c:pt idx="654">
                  <c:v>0</c:v>
                </c:pt>
                <c:pt idx="655">
                  <c:v>0</c:v>
                </c:pt>
                <c:pt idx="656">
                  <c:v>2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</c:v>
                </c:pt>
                <c:pt idx="661">
                  <c:v>0</c:v>
                </c:pt>
                <c:pt idx="662">
                  <c:v>1</c:v>
                </c:pt>
                <c:pt idx="663">
                  <c:v>2</c:v>
                </c:pt>
                <c:pt idx="664">
                  <c:v>2</c:v>
                </c:pt>
                <c:pt idx="665">
                  <c:v>4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1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1</c:v>
                </c:pt>
                <c:pt idx="679">
                  <c:v>0</c:v>
                </c:pt>
                <c:pt idx="680">
                  <c:v>3</c:v>
                </c:pt>
                <c:pt idx="681">
                  <c:v>5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5</c:v>
                </c:pt>
                <c:pt idx="686">
                  <c:v>6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1</c:v>
                </c:pt>
                <c:pt idx="691">
                  <c:v>3</c:v>
                </c:pt>
                <c:pt idx="692">
                  <c:v>3</c:v>
                </c:pt>
                <c:pt idx="693">
                  <c:v>0</c:v>
                </c:pt>
                <c:pt idx="694">
                  <c:v>1</c:v>
                </c:pt>
                <c:pt idx="695">
                  <c:v>3</c:v>
                </c:pt>
                <c:pt idx="696">
                  <c:v>4</c:v>
                </c:pt>
                <c:pt idx="697">
                  <c:v>2</c:v>
                </c:pt>
                <c:pt idx="698">
                  <c:v>0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0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1</c:v>
                </c:pt>
                <c:pt idx="729">
                  <c:v>0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0</c:v>
                </c:pt>
                <c:pt idx="734">
                  <c:v>0</c:v>
                </c:pt>
                <c:pt idx="735">
                  <c:v>3</c:v>
                </c:pt>
                <c:pt idx="736">
                  <c:v>2</c:v>
                </c:pt>
                <c:pt idx="737">
                  <c:v>0</c:v>
                </c:pt>
                <c:pt idx="738">
                  <c:v>1</c:v>
                </c:pt>
                <c:pt idx="739">
                  <c:v>0</c:v>
                </c:pt>
                <c:pt idx="740">
                  <c:v>0</c:v>
                </c:pt>
                <c:pt idx="741">
                  <c:v>2</c:v>
                </c:pt>
                <c:pt idx="742">
                  <c:v>4</c:v>
                </c:pt>
                <c:pt idx="743">
                  <c:v>0</c:v>
                </c:pt>
                <c:pt idx="744">
                  <c:v>3</c:v>
                </c:pt>
                <c:pt idx="745">
                  <c:v>2</c:v>
                </c:pt>
                <c:pt idx="746">
                  <c:v>1</c:v>
                </c:pt>
                <c:pt idx="747">
                  <c:v>1</c:v>
                </c:pt>
                <c:pt idx="748">
                  <c:v>0</c:v>
                </c:pt>
                <c:pt idx="749">
                  <c:v>1</c:v>
                </c:pt>
                <c:pt idx="750">
                  <c:v>2</c:v>
                </c:pt>
                <c:pt idx="751">
                  <c:v>0</c:v>
                </c:pt>
                <c:pt idx="752">
                  <c:v>1</c:v>
                </c:pt>
                <c:pt idx="753">
                  <c:v>6</c:v>
                </c:pt>
                <c:pt idx="754">
                  <c:v>2</c:v>
                </c:pt>
                <c:pt idx="755">
                  <c:v>0</c:v>
                </c:pt>
                <c:pt idx="756">
                  <c:v>1</c:v>
                </c:pt>
                <c:pt idx="757">
                  <c:v>3</c:v>
                </c:pt>
                <c:pt idx="758">
                  <c:v>1</c:v>
                </c:pt>
                <c:pt idx="759">
                  <c:v>2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1</c:v>
                </c:pt>
                <c:pt idx="768">
                  <c:v>0</c:v>
                </c:pt>
                <c:pt idx="769">
                  <c:v>0</c:v>
                </c:pt>
                <c:pt idx="770">
                  <c:v>3</c:v>
                </c:pt>
                <c:pt idx="771">
                  <c:v>2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3</c:v>
                </c:pt>
                <c:pt idx="776">
                  <c:v>3</c:v>
                </c:pt>
                <c:pt idx="777">
                  <c:v>7</c:v>
                </c:pt>
                <c:pt idx="778">
                  <c:v>3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0</c:v>
                </c:pt>
                <c:pt idx="784">
                  <c:v>5</c:v>
                </c:pt>
                <c:pt idx="785">
                  <c:v>9</c:v>
                </c:pt>
                <c:pt idx="786">
                  <c:v>1</c:v>
                </c:pt>
                <c:pt idx="787">
                  <c:v>0</c:v>
                </c:pt>
                <c:pt idx="788">
                  <c:v>4</c:v>
                </c:pt>
                <c:pt idx="789">
                  <c:v>1</c:v>
                </c:pt>
                <c:pt idx="790">
                  <c:v>4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4</c:v>
                </c:pt>
                <c:pt idx="821">
                  <c:v>3</c:v>
                </c:pt>
                <c:pt idx="822">
                  <c:v>4</c:v>
                </c:pt>
                <c:pt idx="823">
                  <c:v>0</c:v>
                </c:pt>
                <c:pt idx="824">
                  <c:v>0</c:v>
                </c:pt>
                <c:pt idx="825">
                  <c:v>2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1</c:v>
                </c:pt>
                <c:pt idx="834">
                  <c:v>0</c:v>
                </c:pt>
                <c:pt idx="835">
                  <c:v>1</c:v>
                </c:pt>
                <c:pt idx="836">
                  <c:v>2</c:v>
                </c:pt>
                <c:pt idx="837">
                  <c:v>2</c:v>
                </c:pt>
                <c:pt idx="838">
                  <c:v>0</c:v>
                </c:pt>
                <c:pt idx="839">
                  <c:v>2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1</c:v>
                </c:pt>
                <c:pt idx="844">
                  <c:v>2</c:v>
                </c:pt>
                <c:pt idx="845">
                  <c:v>8</c:v>
                </c:pt>
                <c:pt idx="846">
                  <c:v>1</c:v>
                </c:pt>
                <c:pt idx="847">
                  <c:v>3</c:v>
                </c:pt>
                <c:pt idx="848">
                  <c:v>4</c:v>
                </c:pt>
                <c:pt idx="849">
                  <c:v>4</c:v>
                </c:pt>
                <c:pt idx="850">
                  <c:v>1</c:v>
                </c:pt>
                <c:pt idx="851">
                  <c:v>0</c:v>
                </c:pt>
                <c:pt idx="852">
                  <c:v>3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1</c:v>
                </c:pt>
                <c:pt idx="857">
                  <c:v>2</c:v>
                </c:pt>
                <c:pt idx="858">
                  <c:v>1</c:v>
                </c:pt>
                <c:pt idx="859">
                  <c:v>0</c:v>
                </c:pt>
                <c:pt idx="860">
                  <c:v>0</c:v>
                </c:pt>
                <c:pt idx="861">
                  <c:v>2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2</c:v>
                </c:pt>
                <c:pt idx="866">
                  <c:v>6</c:v>
                </c:pt>
                <c:pt idx="867">
                  <c:v>6</c:v>
                </c:pt>
                <c:pt idx="868">
                  <c:v>0</c:v>
                </c:pt>
                <c:pt idx="869">
                  <c:v>6</c:v>
                </c:pt>
                <c:pt idx="870">
                  <c:v>0</c:v>
                </c:pt>
                <c:pt idx="871">
                  <c:v>2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4</c:v>
                </c:pt>
                <c:pt idx="878">
                  <c:v>1</c:v>
                </c:pt>
                <c:pt idx="879">
                  <c:v>0</c:v>
                </c:pt>
                <c:pt idx="880">
                  <c:v>2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3</c:v>
                </c:pt>
                <c:pt idx="885">
                  <c:v>0</c:v>
                </c:pt>
                <c:pt idx="886">
                  <c:v>1</c:v>
                </c:pt>
                <c:pt idx="887">
                  <c:v>2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1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4</c:v>
                </c:pt>
                <c:pt idx="912">
                  <c:v>0</c:v>
                </c:pt>
                <c:pt idx="913">
                  <c:v>0</c:v>
                </c:pt>
                <c:pt idx="914">
                  <c:v>2</c:v>
                </c:pt>
                <c:pt idx="915">
                  <c:v>4</c:v>
                </c:pt>
                <c:pt idx="916">
                  <c:v>0</c:v>
                </c:pt>
                <c:pt idx="917">
                  <c:v>0</c:v>
                </c:pt>
                <c:pt idx="918">
                  <c:v>2</c:v>
                </c:pt>
                <c:pt idx="919">
                  <c:v>6</c:v>
                </c:pt>
                <c:pt idx="920">
                  <c:v>4</c:v>
                </c:pt>
                <c:pt idx="921">
                  <c:v>1</c:v>
                </c:pt>
                <c:pt idx="922">
                  <c:v>0</c:v>
                </c:pt>
                <c:pt idx="923">
                  <c:v>0</c:v>
                </c:pt>
                <c:pt idx="924">
                  <c:v>4</c:v>
                </c:pt>
                <c:pt idx="925">
                  <c:v>0</c:v>
                </c:pt>
                <c:pt idx="926">
                  <c:v>1</c:v>
                </c:pt>
                <c:pt idx="927">
                  <c:v>0</c:v>
                </c:pt>
                <c:pt idx="928">
                  <c:v>3</c:v>
                </c:pt>
                <c:pt idx="929">
                  <c:v>3</c:v>
                </c:pt>
                <c:pt idx="930">
                  <c:v>2</c:v>
                </c:pt>
                <c:pt idx="931">
                  <c:v>3</c:v>
                </c:pt>
                <c:pt idx="932">
                  <c:v>3</c:v>
                </c:pt>
                <c:pt idx="933">
                  <c:v>4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4</c:v>
                </c:pt>
                <c:pt idx="939">
                  <c:v>3</c:v>
                </c:pt>
                <c:pt idx="940">
                  <c:v>1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3</c:v>
                </c:pt>
                <c:pt idx="947">
                  <c:v>0</c:v>
                </c:pt>
                <c:pt idx="948">
                  <c:v>0</c:v>
                </c:pt>
                <c:pt idx="949">
                  <c:v>1</c:v>
                </c:pt>
                <c:pt idx="950">
                  <c:v>0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3</c:v>
                </c:pt>
                <c:pt idx="959">
                  <c:v>0</c:v>
                </c:pt>
                <c:pt idx="960">
                  <c:v>0</c:v>
                </c:pt>
                <c:pt idx="961">
                  <c:v>3</c:v>
                </c:pt>
                <c:pt idx="962">
                  <c:v>2</c:v>
                </c:pt>
                <c:pt idx="963">
                  <c:v>8</c:v>
                </c:pt>
                <c:pt idx="964">
                  <c:v>3</c:v>
                </c:pt>
                <c:pt idx="965">
                  <c:v>4</c:v>
                </c:pt>
                <c:pt idx="966">
                  <c:v>2</c:v>
                </c:pt>
                <c:pt idx="967">
                  <c:v>2</c:v>
                </c:pt>
                <c:pt idx="968">
                  <c:v>0</c:v>
                </c:pt>
                <c:pt idx="969">
                  <c:v>3</c:v>
                </c:pt>
                <c:pt idx="970">
                  <c:v>0</c:v>
                </c:pt>
                <c:pt idx="971">
                  <c:v>1</c:v>
                </c:pt>
                <c:pt idx="972">
                  <c:v>0</c:v>
                </c:pt>
                <c:pt idx="973">
                  <c:v>3</c:v>
                </c:pt>
                <c:pt idx="974">
                  <c:v>3</c:v>
                </c:pt>
                <c:pt idx="975">
                  <c:v>0</c:v>
                </c:pt>
                <c:pt idx="976">
                  <c:v>3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6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0</c:v>
                </c:pt>
                <c:pt idx="1012">
                  <c:v>2</c:v>
                </c:pt>
                <c:pt idx="1013">
                  <c:v>2</c:v>
                </c:pt>
                <c:pt idx="1014">
                  <c:v>2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1</c:v>
                </c:pt>
                <c:pt idx="1020">
                  <c:v>0</c:v>
                </c:pt>
                <c:pt idx="1021">
                  <c:v>1</c:v>
                </c:pt>
                <c:pt idx="1022">
                  <c:v>0</c:v>
                </c:pt>
                <c:pt idx="1023">
                  <c:v>6</c:v>
                </c:pt>
                <c:pt idx="1024">
                  <c:v>2</c:v>
                </c:pt>
                <c:pt idx="1025">
                  <c:v>0</c:v>
                </c:pt>
                <c:pt idx="1026">
                  <c:v>2</c:v>
                </c:pt>
                <c:pt idx="1027">
                  <c:v>0</c:v>
                </c:pt>
                <c:pt idx="1028">
                  <c:v>0</c:v>
                </c:pt>
                <c:pt idx="1029">
                  <c:v>2</c:v>
                </c:pt>
                <c:pt idx="1030">
                  <c:v>2</c:v>
                </c:pt>
                <c:pt idx="1031">
                  <c:v>5</c:v>
                </c:pt>
                <c:pt idx="1032">
                  <c:v>4</c:v>
                </c:pt>
                <c:pt idx="1033">
                  <c:v>0</c:v>
                </c:pt>
                <c:pt idx="1034">
                  <c:v>6</c:v>
                </c:pt>
                <c:pt idx="1035">
                  <c:v>5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0</c:v>
                </c:pt>
                <c:pt idx="1040">
                  <c:v>2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1</c:v>
                </c:pt>
                <c:pt idx="1047">
                  <c:v>1</c:v>
                </c:pt>
                <c:pt idx="1048">
                  <c:v>4</c:v>
                </c:pt>
                <c:pt idx="1049">
                  <c:v>0</c:v>
                </c:pt>
                <c:pt idx="1050">
                  <c:v>1</c:v>
                </c:pt>
                <c:pt idx="1051">
                  <c:v>3</c:v>
                </c:pt>
                <c:pt idx="1052">
                  <c:v>0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0</c:v>
                </c:pt>
                <c:pt idx="1057">
                  <c:v>1</c:v>
                </c:pt>
                <c:pt idx="1058">
                  <c:v>0</c:v>
                </c:pt>
                <c:pt idx="1059">
                  <c:v>2</c:v>
                </c:pt>
                <c:pt idx="1060">
                  <c:v>1</c:v>
                </c:pt>
                <c:pt idx="1061">
                  <c:v>0</c:v>
                </c:pt>
                <c:pt idx="1062">
                  <c:v>0</c:v>
                </c:pt>
                <c:pt idx="1063">
                  <c:v>1</c:v>
                </c:pt>
                <c:pt idx="1064">
                  <c:v>3</c:v>
                </c:pt>
                <c:pt idx="1065">
                  <c:v>2</c:v>
                </c:pt>
                <c:pt idx="1066">
                  <c:v>0</c:v>
                </c:pt>
                <c:pt idx="1067">
                  <c:v>0</c:v>
                </c:pt>
                <c:pt idx="1068">
                  <c:v>1</c:v>
                </c:pt>
                <c:pt idx="1069">
                  <c:v>0</c:v>
                </c:pt>
                <c:pt idx="1070">
                  <c:v>2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5</c:v>
                </c:pt>
                <c:pt idx="1095">
                  <c:v>0</c:v>
                </c:pt>
                <c:pt idx="1096">
                  <c:v>2</c:v>
                </c:pt>
                <c:pt idx="1097">
                  <c:v>3</c:v>
                </c:pt>
                <c:pt idx="1098">
                  <c:v>6</c:v>
                </c:pt>
                <c:pt idx="1099">
                  <c:v>6</c:v>
                </c:pt>
                <c:pt idx="1100">
                  <c:v>0</c:v>
                </c:pt>
                <c:pt idx="1101">
                  <c:v>0</c:v>
                </c:pt>
                <c:pt idx="1102">
                  <c:v>3</c:v>
                </c:pt>
                <c:pt idx="1103">
                  <c:v>2</c:v>
                </c:pt>
                <c:pt idx="1104">
                  <c:v>0</c:v>
                </c:pt>
                <c:pt idx="1105">
                  <c:v>1</c:v>
                </c:pt>
                <c:pt idx="1106">
                  <c:v>0</c:v>
                </c:pt>
                <c:pt idx="1107">
                  <c:v>3</c:v>
                </c:pt>
                <c:pt idx="1108">
                  <c:v>1</c:v>
                </c:pt>
                <c:pt idx="1109">
                  <c:v>0</c:v>
                </c:pt>
                <c:pt idx="1110">
                  <c:v>4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0</c:v>
                </c:pt>
                <c:pt idx="1115">
                  <c:v>0</c:v>
                </c:pt>
                <c:pt idx="1116">
                  <c:v>1</c:v>
                </c:pt>
                <c:pt idx="1117">
                  <c:v>0</c:v>
                </c:pt>
                <c:pt idx="1118">
                  <c:v>3</c:v>
                </c:pt>
                <c:pt idx="1119">
                  <c:v>0</c:v>
                </c:pt>
                <c:pt idx="1120">
                  <c:v>1</c:v>
                </c:pt>
                <c:pt idx="1121">
                  <c:v>1</c:v>
                </c:pt>
                <c:pt idx="1122">
                  <c:v>6</c:v>
                </c:pt>
                <c:pt idx="1123">
                  <c:v>6</c:v>
                </c:pt>
                <c:pt idx="1124">
                  <c:v>1</c:v>
                </c:pt>
                <c:pt idx="1125">
                  <c:v>0</c:v>
                </c:pt>
                <c:pt idx="1126">
                  <c:v>3</c:v>
                </c:pt>
                <c:pt idx="1127">
                  <c:v>2</c:v>
                </c:pt>
                <c:pt idx="1128">
                  <c:v>2</c:v>
                </c:pt>
                <c:pt idx="1129">
                  <c:v>0</c:v>
                </c:pt>
                <c:pt idx="1130">
                  <c:v>1</c:v>
                </c:pt>
                <c:pt idx="1131">
                  <c:v>1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3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4</c:v>
                </c:pt>
                <c:pt idx="1143">
                  <c:v>3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0</c:v>
                </c:pt>
                <c:pt idx="1151">
                  <c:v>2</c:v>
                </c:pt>
                <c:pt idx="1152">
                  <c:v>1</c:v>
                </c:pt>
                <c:pt idx="1153">
                  <c:v>7</c:v>
                </c:pt>
                <c:pt idx="1154">
                  <c:v>2</c:v>
                </c:pt>
                <c:pt idx="1155">
                  <c:v>2</c:v>
                </c:pt>
                <c:pt idx="1156">
                  <c:v>0</c:v>
                </c:pt>
                <c:pt idx="1157">
                  <c:v>1</c:v>
                </c:pt>
                <c:pt idx="1158">
                  <c:v>0</c:v>
                </c:pt>
                <c:pt idx="1159">
                  <c:v>0</c:v>
                </c:pt>
                <c:pt idx="1160">
                  <c:v>6</c:v>
                </c:pt>
                <c:pt idx="1161">
                  <c:v>0</c:v>
                </c:pt>
                <c:pt idx="1162">
                  <c:v>0</c:v>
                </c:pt>
                <c:pt idx="1163">
                  <c:v>3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5</c:v>
                </c:pt>
                <c:pt idx="1188">
                  <c:v>2</c:v>
                </c:pt>
                <c:pt idx="1189">
                  <c:v>9</c:v>
                </c:pt>
                <c:pt idx="1190">
                  <c:v>0</c:v>
                </c:pt>
                <c:pt idx="1191">
                  <c:v>2</c:v>
                </c:pt>
                <c:pt idx="1192">
                  <c:v>4</c:v>
                </c:pt>
                <c:pt idx="1193">
                  <c:v>3</c:v>
                </c:pt>
                <c:pt idx="1194">
                  <c:v>4</c:v>
                </c:pt>
                <c:pt idx="1195">
                  <c:v>0</c:v>
                </c:pt>
                <c:pt idx="1196">
                  <c:v>1</c:v>
                </c:pt>
                <c:pt idx="1197">
                  <c:v>0</c:v>
                </c:pt>
                <c:pt idx="1198">
                  <c:v>1</c:v>
                </c:pt>
                <c:pt idx="1199">
                  <c:v>0</c:v>
                </c:pt>
                <c:pt idx="1200">
                  <c:v>3</c:v>
                </c:pt>
                <c:pt idx="1201">
                  <c:v>1</c:v>
                </c:pt>
                <c:pt idx="1202">
                  <c:v>3</c:v>
                </c:pt>
                <c:pt idx="1203">
                  <c:v>0</c:v>
                </c:pt>
                <c:pt idx="1204">
                  <c:v>5</c:v>
                </c:pt>
                <c:pt idx="1205">
                  <c:v>1</c:v>
                </c:pt>
                <c:pt idx="1206">
                  <c:v>4</c:v>
                </c:pt>
                <c:pt idx="1207">
                  <c:v>1</c:v>
                </c:pt>
                <c:pt idx="1208">
                  <c:v>0</c:v>
                </c:pt>
                <c:pt idx="1209">
                  <c:v>3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1</c:v>
                </c:pt>
                <c:pt idx="1215">
                  <c:v>2</c:v>
                </c:pt>
                <c:pt idx="1216">
                  <c:v>4</c:v>
                </c:pt>
                <c:pt idx="1217">
                  <c:v>0</c:v>
                </c:pt>
                <c:pt idx="1218">
                  <c:v>1</c:v>
                </c:pt>
                <c:pt idx="1219">
                  <c:v>1</c:v>
                </c:pt>
                <c:pt idx="1220">
                  <c:v>3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0</c:v>
                </c:pt>
                <c:pt idx="1226">
                  <c:v>1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3</c:v>
                </c:pt>
                <c:pt idx="1233">
                  <c:v>2</c:v>
                </c:pt>
                <c:pt idx="1234">
                  <c:v>1</c:v>
                </c:pt>
                <c:pt idx="1235">
                  <c:v>0</c:v>
                </c:pt>
                <c:pt idx="1236">
                  <c:v>4</c:v>
                </c:pt>
                <c:pt idx="1237">
                  <c:v>4</c:v>
                </c:pt>
                <c:pt idx="1238">
                  <c:v>3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0</c:v>
                </c:pt>
                <c:pt idx="1248">
                  <c:v>1</c:v>
                </c:pt>
                <c:pt idx="1249">
                  <c:v>1</c:v>
                </c:pt>
                <c:pt idx="1250">
                  <c:v>3</c:v>
                </c:pt>
                <c:pt idx="1251">
                  <c:v>3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1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3</c:v>
                </c:pt>
                <c:pt idx="1281">
                  <c:v>0</c:v>
                </c:pt>
                <c:pt idx="1282">
                  <c:v>5</c:v>
                </c:pt>
                <c:pt idx="1283">
                  <c:v>2</c:v>
                </c:pt>
                <c:pt idx="1284">
                  <c:v>2</c:v>
                </c:pt>
                <c:pt idx="1285">
                  <c:v>1</c:v>
                </c:pt>
                <c:pt idx="1286">
                  <c:v>5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3</c:v>
                </c:pt>
                <c:pt idx="1291">
                  <c:v>1</c:v>
                </c:pt>
                <c:pt idx="1292">
                  <c:v>4</c:v>
                </c:pt>
                <c:pt idx="1293">
                  <c:v>1</c:v>
                </c:pt>
                <c:pt idx="1294">
                  <c:v>2</c:v>
                </c:pt>
                <c:pt idx="1295">
                  <c:v>0</c:v>
                </c:pt>
                <c:pt idx="1296">
                  <c:v>0</c:v>
                </c:pt>
                <c:pt idx="1297">
                  <c:v>2</c:v>
                </c:pt>
                <c:pt idx="1298">
                  <c:v>3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1</c:v>
                </c:pt>
                <c:pt idx="1304">
                  <c:v>0</c:v>
                </c:pt>
                <c:pt idx="1305">
                  <c:v>2</c:v>
                </c:pt>
                <c:pt idx="1306">
                  <c:v>7</c:v>
                </c:pt>
                <c:pt idx="1307">
                  <c:v>0</c:v>
                </c:pt>
                <c:pt idx="1308">
                  <c:v>0</c:v>
                </c:pt>
                <c:pt idx="1309">
                  <c:v>3</c:v>
                </c:pt>
                <c:pt idx="1310">
                  <c:v>3</c:v>
                </c:pt>
                <c:pt idx="1311">
                  <c:v>1</c:v>
                </c:pt>
                <c:pt idx="1312">
                  <c:v>0</c:v>
                </c:pt>
                <c:pt idx="1313">
                  <c:v>5</c:v>
                </c:pt>
                <c:pt idx="1314">
                  <c:v>1</c:v>
                </c:pt>
                <c:pt idx="1315">
                  <c:v>1</c:v>
                </c:pt>
                <c:pt idx="1316">
                  <c:v>0</c:v>
                </c:pt>
                <c:pt idx="1317">
                  <c:v>1</c:v>
                </c:pt>
                <c:pt idx="1318">
                  <c:v>0</c:v>
                </c:pt>
                <c:pt idx="1319">
                  <c:v>1</c:v>
                </c:pt>
                <c:pt idx="1320">
                  <c:v>0</c:v>
                </c:pt>
                <c:pt idx="1321">
                  <c:v>0</c:v>
                </c:pt>
                <c:pt idx="1322">
                  <c:v>3</c:v>
                </c:pt>
                <c:pt idx="1323">
                  <c:v>3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3</c:v>
                </c:pt>
                <c:pt idx="1328">
                  <c:v>1</c:v>
                </c:pt>
                <c:pt idx="1329">
                  <c:v>1</c:v>
                </c:pt>
                <c:pt idx="1330">
                  <c:v>3</c:v>
                </c:pt>
                <c:pt idx="1331">
                  <c:v>0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2</c:v>
                </c:pt>
                <c:pt idx="1337">
                  <c:v>2</c:v>
                </c:pt>
                <c:pt idx="1338">
                  <c:v>0</c:v>
                </c:pt>
                <c:pt idx="1339">
                  <c:v>1</c:v>
                </c:pt>
                <c:pt idx="1340">
                  <c:v>3</c:v>
                </c:pt>
                <c:pt idx="1341">
                  <c:v>4</c:v>
                </c:pt>
                <c:pt idx="1342">
                  <c:v>3</c:v>
                </c:pt>
                <c:pt idx="1343">
                  <c:v>0</c:v>
                </c:pt>
                <c:pt idx="1344">
                  <c:v>1</c:v>
                </c:pt>
                <c:pt idx="1345">
                  <c:v>0</c:v>
                </c:pt>
                <c:pt idx="1346">
                  <c:v>0</c:v>
                </c:pt>
                <c:pt idx="1347">
                  <c:v>1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4</c:v>
                </c:pt>
                <c:pt idx="1372">
                  <c:v>1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3</c:v>
                </c:pt>
                <c:pt idx="1377">
                  <c:v>1</c:v>
                </c:pt>
                <c:pt idx="1378">
                  <c:v>1</c:v>
                </c:pt>
                <c:pt idx="1379">
                  <c:v>0</c:v>
                </c:pt>
                <c:pt idx="1380">
                  <c:v>1</c:v>
                </c:pt>
                <c:pt idx="1381">
                  <c:v>3</c:v>
                </c:pt>
                <c:pt idx="1382">
                  <c:v>6</c:v>
                </c:pt>
                <c:pt idx="1383">
                  <c:v>0</c:v>
                </c:pt>
                <c:pt idx="1384">
                  <c:v>3</c:v>
                </c:pt>
                <c:pt idx="1385">
                  <c:v>2</c:v>
                </c:pt>
                <c:pt idx="1386">
                  <c:v>0</c:v>
                </c:pt>
                <c:pt idx="1387">
                  <c:v>2</c:v>
                </c:pt>
                <c:pt idx="1388">
                  <c:v>0</c:v>
                </c:pt>
                <c:pt idx="1389">
                  <c:v>0</c:v>
                </c:pt>
                <c:pt idx="1390">
                  <c:v>2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5</c:v>
                </c:pt>
                <c:pt idx="1397">
                  <c:v>3</c:v>
                </c:pt>
                <c:pt idx="1398">
                  <c:v>3</c:v>
                </c:pt>
                <c:pt idx="1399">
                  <c:v>1</c:v>
                </c:pt>
                <c:pt idx="1400">
                  <c:v>4</c:v>
                </c:pt>
                <c:pt idx="1401">
                  <c:v>0</c:v>
                </c:pt>
                <c:pt idx="1402">
                  <c:v>1</c:v>
                </c:pt>
                <c:pt idx="1403">
                  <c:v>1</c:v>
                </c:pt>
                <c:pt idx="1404">
                  <c:v>0</c:v>
                </c:pt>
                <c:pt idx="1405">
                  <c:v>1</c:v>
                </c:pt>
                <c:pt idx="1406">
                  <c:v>1</c:v>
                </c:pt>
                <c:pt idx="1407">
                  <c:v>0</c:v>
                </c:pt>
                <c:pt idx="1408">
                  <c:v>1</c:v>
                </c:pt>
                <c:pt idx="1409">
                  <c:v>1</c:v>
                </c:pt>
                <c:pt idx="1410">
                  <c:v>0</c:v>
                </c:pt>
                <c:pt idx="1411">
                  <c:v>0</c:v>
                </c:pt>
                <c:pt idx="1412">
                  <c:v>1</c:v>
                </c:pt>
                <c:pt idx="1413">
                  <c:v>1</c:v>
                </c:pt>
                <c:pt idx="1414">
                  <c:v>7</c:v>
                </c:pt>
                <c:pt idx="1415">
                  <c:v>1</c:v>
                </c:pt>
                <c:pt idx="1416">
                  <c:v>2</c:v>
                </c:pt>
                <c:pt idx="1417">
                  <c:v>6</c:v>
                </c:pt>
                <c:pt idx="1418">
                  <c:v>2</c:v>
                </c:pt>
                <c:pt idx="1419">
                  <c:v>2</c:v>
                </c:pt>
                <c:pt idx="1420">
                  <c:v>1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2</c:v>
                </c:pt>
                <c:pt idx="1425">
                  <c:v>2</c:v>
                </c:pt>
                <c:pt idx="1426">
                  <c:v>0</c:v>
                </c:pt>
                <c:pt idx="1427">
                  <c:v>6</c:v>
                </c:pt>
                <c:pt idx="1428">
                  <c:v>2</c:v>
                </c:pt>
                <c:pt idx="1429">
                  <c:v>0</c:v>
                </c:pt>
                <c:pt idx="1430">
                  <c:v>0</c:v>
                </c:pt>
                <c:pt idx="1431">
                  <c:v>2</c:v>
                </c:pt>
                <c:pt idx="1432">
                  <c:v>0</c:v>
                </c:pt>
                <c:pt idx="1433">
                  <c:v>4</c:v>
                </c:pt>
                <c:pt idx="1434">
                  <c:v>1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1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2</c:v>
                </c:pt>
                <c:pt idx="1465">
                  <c:v>2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3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2</c:v>
                </c:pt>
                <c:pt idx="1474">
                  <c:v>2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2</c:v>
                </c:pt>
                <c:pt idx="1479">
                  <c:v>0</c:v>
                </c:pt>
                <c:pt idx="1480">
                  <c:v>0</c:v>
                </c:pt>
                <c:pt idx="1481">
                  <c:v>1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2</c:v>
                </c:pt>
                <c:pt idx="1486">
                  <c:v>0</c:v>
                </c:pt>
                <c:pt idx="1487">
                  <c:v>6</c:v>
                </c:pt>
                <c:pt idx="1488">
                  <c:v>2</c:v>
                </c:pt>
                <c:pt idx="1489">
                  <c:v>1</c:v>
                </c:pt>
                <c:pt idx="1490">
                  <c:v>1</c:v>
                </c:pt>
                <c:pt idx="1491">
                  <c:v>0</c:v>
                </c:pt>
                <c:pt idx="1492">
                  <c:v>1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1</c:v>
                </c:pt>
                <c:pt idx="1498">
                  <c:v>0</c:v>
                </c:pt>
                <c:pt idx="1499">
                  <c:v>3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2</c:v>
                </c:pt>
                <c:pt idx="1506">
                  <c:v>0</c:v>
                </c:pt>
                <c:pt idx="1507">
                  <c:v>2</c:v>
                </c:pt>
                <c:pt idx="1508">
                  <c:v>2</c:v>
                </c:pt>
                <c:pt idx="1509">
                  <c:v>4</c:v>
                </c:pt>
                <c:pt idx="1510">
                  <c:v>3</c:v>
                </c:pt>
                <c:pt idx="1511">
                  <c:v>0</c:v>
                </c:pt>
                <c:pt idx="1512">
                  <c:v>2</c:v>
                </c:pt>
                <c:pt idx="1513">
                  <c:v>1</c:v>
                </c:pt>
                <c:pt idx="1514">
                  <c:v>0</c:v>
                </c:pt>
                <c:pt idx="1515">
                  <c:v>0</c:v>
                </c:pt>
                <c:pt idx="1516">
                  <c:v>3</c:v>
                </c:pt>
                <c:pt idx="1517">
                  <c:v>1</c:v>
                </c:pt>
                <c:pt idx="1518">
                  <c:v>0</c:v>
                </c:pt>
                <c:pt idx="1519">
                  <c:v>1</c:v>
                </c:pt>
                <c:pt idx="1520">
                  <c:v>4</c:v>
                </c:pt>
                <c:pt idx="1521">
                  <c:v>2</c:v>
                </c:pt>
                <c:pt idx="1522">
                  <c:v>0</c:v>
                </c:pt>
                <c:pt idx="1523">
                  <c:v>2</c:v>
                </c:pt>
                <c:pt idx="1524">
                  <c:v>1</c:v>
                </c:pt>
                <c:pt idx="1525">
                  <c:v>0</c:v>
                </c:pt>
                <c:pt idx="1526">
                  <c:v>1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1</c:v>
                </c:pt>
                <c:pt idx="1550">
                  <c:v>0</c:v>
                </c:pt>
                <c:pt idx="1551">
                  <c:v>3</c:v>
                </c:pt>
                <c:pt idx="1552">
                  <c:v>2</c:v>
                </c:pt>
                <c:pt idx="1553">
                  <c:v>2</c:v>
                </c:pt>
                <c:pt idx="1554">
                  <c:v>0</c:v>
                </c:pt>
                <c:pt idx="1555">
                  <c:v>3</c:v>
                </c:pt>
                <c:pt idx="1556">
                  <c:v>2</c:v>
                </c:pt>
                <c:pt idx="1557">
                  <c:v>0</c:v>
                </c:pt>
                <c:pt idx="1558">
                  <c:v>0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0</c:v>
                </c:pt>
                <c:pt idx="1563">
                  <c:v>2</c:v>
                </c:pt>
                <c:pt idx="1564">
                  <c:v>4</c:v>
                </c:pt>
                <c:pt idx="1565">
                  <c:v>4</c:v>
                </c:pt>
                <c:pt idx="1566">
                  <c:v>1</c:v>
                </c:pt>
                <c:pt idx="1567">
                  <c:v>2</c:v>
                </c:pt>
                <c:pt idx="1568">
                  <c:v>0</c:v>
                </c:pt>
                <c:pt idx="1569">
                  <c:v>1</c:v>
                </c:pt>
                <c:pt idx="1570">
                  <c:v>0</c:v>
                </c:pt>
                <c:pt idx="1571">
                  <c:v>1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0</c:v>
                </c:pt>
                <c:pt idx="1576">
                  <c:v>1</c:v>
                </c:pt>
                <c:pt idx="1577">
                  <c:v>3</c:v>
                </c:pt>
                <c:pt idx="1578">
                  <c:v>1</c:v>
                </c:pt>
                <c:pt idx="1579">
                  <c:v>4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3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1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2</c:v>
                </c:pt>
                <c:pt idx="1594">
                  <c:v>0</c:v>
                </c:pt>
                <c:pt idx="1595">
                  <c:v>1</c:v>
                </c:pt>
                <c:pt idx="1596">
                  <c:v>0</c:v>
                </c:pt>
                <c:pt idx="1597">
                  <c:v>3</c:v>
                </c:pt>
                <c:pt idx="1598">
                  <c:v>1</c:v>
                </c:pt>
                <c:pt idx="1599">
                  <c:v>2</c:v>
                </c:pt>
                <c:pt idx="1600">
                  <c:v>4</c:v>
                </c:pt>
                <c:pt idx="1601">
                  <c:v>0</c:v>
                </c:pt>
                <c:pt idx="1602">
                  <c:v>0</c:v>
                </c:pt>
                <c:pt idx="1603">
                  <c:v>1</c:v>
                </c:pt>
                <c:pt idx="1604">
                  <c:v>3</c:v>
                </c:pt>
                <c:pt idx="1605">
                  <c:v>1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2</c:v>
                </c:pt>
                <c:pt idx="1610">
                  <c:v>0</c:v>
                </c:pt>
                <c:pt idx="1611">
                  <c:v>0</c:v>
                </c:pt>
                <c:pt idx="1612">
                  <c:v>1</c:v>
                </c:pt>
                <c:pt idx="1613">
                  <c:v>2</c:v>
                </c:pt>
                <c:pt idx="1614">
                  <c:v>1</c:v>
                </c:pt>
                <c:pt idx="1615">
                  <c:v>1</c:v>
                </c:pt>
                <c:pt idx="1616">
                  <c:v>0</c:v>
                </c:pt>
                <c:pt idx="1617">
                  <c:v>2</c:v>
                </c:pt>
                <c:pt idx="1618">
                  <c:v>0</c:v>
                </c:pt>
                <c:pt idx="1619">
                  <c:v>1</c:v>
                </c:pt>
                <c:pt idx="1620">
                  <c:v>0</c:v>
                </c:pt>
                <c:pt idx="1621">
                  <c:v>0</c:v>
                </c:pt>
                <c:pt idx="1622">
                  <c:v>1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4</c:v>
                </c:pt>
                <c:pt idx="1646">
                  <c:v>0</c:v>
                </c:pt>
                <c:pt idx="1647">
                  <c:v>0</c:v>
                </c:pt>
                <c:pt idx="1648">
                  <c:v>3</c:v>
                </c:pt>
                <c:pt idx="1649">
                  <c:v>0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0</c:v>
                </c:pt>
                <c:pt idx="1654">
                  <c:v>0</c:v>
                </c:pt>
                <c:pt idx="1655">
                  <c:v>2</c:v>
                </c:pt>
                <c:pt idx="1656">
                  <c:v>6</c:v>
                </c:pt>
                <c:pt idx="1657">
                  <c:v>2</c:v>
                </c:pt>
                <c:pt idx="1658">
                  <c:v>0</c:v>
                </c:pt>
                <c:pt idx="1659">
                  <c:v>2</c:v>
                </c:pt>
                <c:pt idx="1660">
                  <c:v>4</c:v>
                </c:pt>
                <c:pt idx="1661">
                  <c:v>0</c:v>
                </c:pt>
                <c:pt idx="1662">
                  <c:v>1</c:v>
                </c:pt>
                <c:pt idx="1663">
                  <c:v>0</c:v>
                </c:pt>
                <c:pt idx="1664">
                  <c:v>0</c:v>
                </c:pt>
                <c:pt idx="1665">
                  <c:v>3</c:v>
                </c:pt>
                <c:pt idx="1666">
                  <c:v>1</c:v>
                </c:pt>
                <c:pt idx="1667">
                  <c:v>0</c:v>
                </c:pt>
                <c:pt idx="1668">
                  <c:v>0</c:v>
                </c:pt>
                <c:pt idx="1669">
                  <c:v>1</c:v>
                </c:pt>
                <c:pt idx="1670">
                  <c:v>0</c:v>
                </c:pt>
                <c:pt idx="1671">
                  <c:v>0</c:v>
                </c:pt>
                <c:pt idx="1672">
                  <c:v>6</c:v>
                </c:pt>
                <c:pt idx="1673">
                  <c:v>3</c:v>
                </c:pt>
                <c:pt idx="1674">
                  <c:v>0</c:v>
                </c:pt>
                <c:pt idx="1675">
                  <c:v>0</c:v>
                </c:pt>
                <c:pt idx="1676">
                  <c:v>4</c:v>
                </c:pt>
                <c:pt idx="1677">
                  <c:v>3</c:v>
                </c:pt>
                <c:pt idx="1678">
                  <c:v>0</c:v>
                </c:pt>
                <c:pt idx="1679">
                  <c:v>1</c:v>
                </c:pt>
                <c:pt idx="1680">
                  <c:v>0</c:v>
                </c:pt>
                <c:pt idx="1681">
                  <c:v>0</c:v>
                </c:pt>
                <c:pt idx="1682">
                  <c:v>1</c:v>
                </c:pt>
                <c:pt idx="1683">
                  <c:v>0</c:v>
                </c:pt>
                <c:pt idx="1684">
                  <c:v>1</c:v>
                </c:pt>
                <c:pt idx="1685">
                  <c:v>2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4</c:v>
                </c:pt>
                <c:pt idx="1691">
                  <c:v>3</c:v>
                </c:pt>
                <c:pt idx="1692">
                  <c:v>0</c:v>
                </c:pt>
                <c:pt idx="1693">
                  <c:v>4</c:v>
                </c:pt>
                <c:pt idx="1694">
                  <c:v>0</c:v>
                </c:pt>
                <c:pt idx="1695">
                  <c:v>2</c:v>
                </c:pt>
                <c:pt idx="1696">
                  <c:v>0</c:v>
                </c:pt>
                <c:pt idx="1697">
                  <c:v>3</c:v>
                </c:pt>
                <c:pt idx="1698">
                  <c:v>0</c:v>
                </c:pt>
                <c:pt idx="1699">
                  <c:v>0</c:v>
                </c:pt>
                <c:pt idx="1700">
                  <c:v>1</c:v>
                </c:pt>
                <c:pt idx="1701">
                  <c:v>0</c:v>
                </c:pt>
                <c:pt idx="1702">
                  <c:v>2</c:v>
                </c:pt>
                <c:pt idx="1703">
                  <c:v>1</c:v>
                </c:pt>
                <c:pt idx="1704">
                  <c:v>0</c:v>
                </c:pt>
                <c:pt idx="1705">
                  <c:v>1</c:v>
                </c:pt>
                <c:pt idx="1706">
                  <c:v>2</c:v>
                </c:pt>
                <c:pt idx="1707">
                  <c:v>0</c:v>
                </c:pt>
                <c:pt idx="1708">
                  <c:v>0</c:v>
                </c:pt>
                <c:pt idx="1709">
                  <c:v>3</c:v>
                </c:pt>
                <c:pt idx="1710">
                  <c:v>1</c:v>
                </c:pt>
                <c:pt idx="1711">
                  <c:v>2</c:v>
                </c:pt>
                <c:pt idx="1712">
                  <c:v>0</c:v>
                </c:pt>
                <c:pt idx="1713">
                  <c:v>1</c:v>
                </c:pt>
                <c:pt idx="1714">
                  <c:v>3</c:v>
                </c:pt>
                <c:pt idx="1715">
                  <c:v>0</c:v>
                </c:pt>
                <c:pt idx="1716">
                  <c:v>2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1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0</c:v>
                </c:pt>
                <c:pt idx="1745">
                  <c:v>0</c:v>
                </c:pt>
                <c:pt idx="1746">
                  <c:v>2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1</c:v>
                </c:pt>
                <c:pt idx="1752">
                  <c:v>0</c:v>
                </c:pt>
                <c:pt idx="1753">
                  <c:v>1</c:v>
                </c:pt>
                <c:pt idx="1754">
                  <c:v>0</c:v>
                </c:pt>
                <c:pt idx="1755">
                  <c:v>1</c:v>
                </c:pt>
                <c:pt idx="1756">
                  <c:v>0</c:v>
                </c:pt>
                <c:pt idx="1757">
                  <c:v>2</c:v>
                </c:pt>
                <c:pt idx="1758">
                  <c:v>0</c:v>
                </c:pt>
                <c:pt idx="1759">
                  <c:v>1</c:v>
                </c:pt>
                <c:pt idx="1760">
                  <c:v>2</c:v>
                </c:pt>
                <c:pt idx="1761">
                  <c:v>1</c:v>
                </c:pt>
                <c:pt idx="1762">
                  <c:v>0</c:v>
                </c:pt>
                <c:pt idx="1763">
                  <c:v>2</c:v>
                </c:pt>
                <c:pt idx="1764">
                  <c:v>2</c:v>
                </c:pt>
                <c:pt idx="1765">
                  <c:v>4</c:v>
                </c:pt>
                <c:pt idx="1766">
                  <c:v>0</c:v>
                </c:pt>
                <c:pt idx="1767">
                  <c:v>1</c:v>
                </c:pt>
                <c:pt idx="1768">
                  <c:v>5</c:v>
                </c:pt>
                <c:pt idx="1769">
                  <c:v>2</c:v>
                </c:pt>
                <c:pt idx="1770">
                  <c:v>0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2</c:v>
                </c:pt>
                <c:pt idx="1775">
                  <c:v>0</c:v>
                </c:pt>
                <c:pt idx="1776">
                  <c:v>0</c:v>
                </c:pt>
                <c:pt idx="1777">
                  <c:v>2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3</c:v>
                </c:pt>
                <c:pt idx="1784">
                  <c:v>4</c:v>
                </c:pt>
                <c:pt idx="1785">
                  <c:v>0</c:v>
                </c:pt>
                <c:pt idx="1786">
                  <c:v>2</c:v>
                </c:pt>
                <c:pt idx="1787">
                  <c:v>3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1</c:v>
                </c:pt>
                <c:pt idx="1794">
                  <c:v>0</c:v>
                </c:pt>
                <c:pt idx="1795">
                  <c:v>2</c:v>
                </c:pt>
                <c:pt idx="1796">
                  <c:v>1</c:v>
                </c:pt>
                <c:pt idx="1797">
                  <c:v>0</c:v>
                </c:pt>
                <c:pt idx="1798">
                  <c:v>3</c:v>
                </c:pt>
                <c:pt idx="1799">
                  <c:v>0</c:v>
                </c:pt>
                <c:pt idx="1800">
                  <c:v>0</c:v>
                </c:pt>
                <c:pt idx="1801">
                  <c:v>1</c:v>
                </c:pt>
                <c:pt idx="1802">
                  <c:v>6</c:v>
                </c:pt>
                <c:pt idx="1803">
                  <c:v>3</c:v>
                </c:pt>
                <c:pt idx="1804">
                  <c:v>0</c:v>
                </c:pt>
                <c:pt idx="1805">
                  <c:v>0</c:v>
                </c:pt>
                <c:pt idx="1806">
                  <c:v>4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8</c:v>
                </c:pt>
                <c:pt idx="1836">
                  <c:v>4</c:v>
                </c:pt>
                <c:pt idx="1837">
                  <c:v>1</c:v>
                </c:pt>
                <c:pt idx="1838">
                  <c:v>3</c:v>
                </c:pt>
                <c:pt idx="1839">
                  <c:v>1</c:v>
                </c:pt>
                <c:pt idx="1840">
                  <c:v>3</c:v>
                </c:pt>
                <c:pt idx="1841">
                  <c:v>1</c:v>
                </c:pt>
                <c:pt idx="1842">
                  <c:v>1</c:v>
                </c:pt>
                <c:pt idx="1843">
                  <c:v>0</c:v>
                </c:pt>
                <c:pt idx="1844">
                  <c:v>2</c:v>
                </c:pt>
                <c:pt idx="1845">
                  <c:v>0</c:v>
                </c:pt>
                <c:pt idx="1846">
                  <c:v>4</c:v>
                </c:pt>
                <c:pt idx="1847">
                  <c:v>2</c:v>
                </c:pt>
                <c:pt idx="1848">
                  <c:v>1</c:v>
                </c:pt>
                <c:pt idx="1849">
                  <c:v>0</c:v>
                </c:pt>
                <c:pt idx="1850">
                  <c:v>1</c:v>
                </c:pt>
                <c:pt idx="1851">
                  <c:v>4</c:v>
                </c:pt>
                <c:pt idx="1852">
                  <c:v>0</c:v>
                </c:pt>
                <c:pt idx="1853">
                  <c:v>1</c:v>
                </c:pt>
                <c:pt idx="1854">
                  <c:v>0</c:v>
                </c:pt>
                <c:pt idx="1855">
                  <c:v>1</c:v>
                </c:pt>
                <c:pt idx="1856">
                  <c:v>4</c:v>
                </c:pt>
                <c:pt idx="1857">
                  <c:v>1</c:v>
                </c:pt>
                <c:pt idx="1858">
                  <c:v>0</c:v>
                </c:pt>
                <c:pt idx="1859">
                  <c:v>0</c:v>
                </c:pt>
                <c:pt idx="1860">
                  <c:v>2</c:v>
                </c:pt>
                <c:pt idx="1861">
                  <c:v>3</c:v>
                </c:pt>
                <c:pt idx="1862">
                  <c:v>0</c:v>
                </c:pt>
                <c:pt idx="1863">
                  <c:v>5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1</c:v>
                </c:pt>
                <c:pt idx="1873">
                  <c:v>0</c:v>
                </c:pt>
                <c:pt idx="1874">
                  <c:v>2</c:v>
                </c:pt>
                <c:pt idx="1875">
                  <c:v>1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2</c:v>
                </c:pt>
                <c:pt idx="1880">
                  <c:v>2</c:v>
                </c:pt>
                <c:pt idx="1881">
                  <c:v>2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3</c:v>
                </c:pt>
                <c:pt idx="1888">
                  <c:v>3</c:v>
                </c:pt>
                <c:pt idx="1889">
                  <c:v>0</c:v>
                </c:pt>
                <c:pt idx="1890">
                  <c:v>0</c:v>
                </c:pt>
                <c:pt idx="1891">
                  <c:v>3</c:v>
                </c:pt>
                <c:pt idx="1892">
                  <c:v>0</c:v>
                </c:pt>
                <c:pt idx="1893">
                  <c:v>1</c:v>
                </c:pt>
                <c:pt idx="1894">
                  <c:v>7</c:v>
                </c:pt>
                <c:pt idx="1895">
                  <c:v>0</c:v>
                </c:pt>
                <c:pt idx="1896">
                  <c:v>1</c:v>
                </c:pt>
                <c:pt idx="1897">
                  <c:v>1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</c:numCache>
            </c:numRef>
          </c:xVal>
          <c:yVal>
            <c:numRef>
              <c:f>demanda!$I$2:$I$1922</c:f>
              <c:numCache>
                <c:formatCode>General</c:formatCode>
                <c:ptCount val="1921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16</c:v>
                </c:pt>
                <c:pt idx="5">
                  <c:v>3</c:v>
                </c:pt>
                <c:pt idx="6">
                  <c:v>4</c:v>
                </c:pt>
                <c:pt idx="7">
                  <c:v>10</c:v>
                </c:pt>
                <c:pt idx="8">
                  <c:v>3</c:v>
                </c:pt>
                <c:pt idx="9">
                  <c:v>17</c:v>
                </c:pt>
                <c:pt idx="10">
                  <c:v>9</c:v>
                </c:pt>
                <c:pt idx="11">
                  <c:v>5</c:v>
                </c:pt>
                <c:pt idx="12">
                  <c:v>35</c:v>
                </c:pt>
                <c:pt idx="13">
                  <c:v>5</c:v>
                </c:pt>
                <c:pt idx="14">
                  <c:v>2</c:v>
                </c:pt>
                <c:pt idx="15">
                  <c:v>8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12</c:v>
                </c:pt>
                <c:pt idx="20">
                  <c:v>2</c:v>
                </c:pt>
                <c:pt idx="21">
                  <c:v>7</c:v>
                </c:pt>
                <c:pt idx="22">
                  <c:v>10</c:v>
                </c:pt>
                <c:pt idx="23">
                  <c:v>12</c:v>
                </c:pt>
                <c:pt idx="24">
                  <c:v>35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21</c:v>
                </c:pt>
                <c:pt idx="31">
                  <c:v>5</c:v>
                </c:pt>
                <c:pt idx="32">
                  <c:v>2</c:v>
                </c:pt>
                <c:pt idx="33">
                  <c:v>9</c:v>
                </c:pt>
                <c:pt idx="34">
                  <c:v>21</c:v>
                </c:pt>
                <c:pt idx="35">
                  <c:v>16</c:v>
                </c:pt>
                <c:pt idx="36">
                  <c:v>21</c:v>
                </c:pt>
                <c:pt idx="37">
                  <c:v>49</c:v>
                </c:pt>
                <c:pt idx="38">
                  <c:v>21</c:v>
                </c:pt>
                <c:pt idx="39">
                  <c:v>18</c:v>
                </c:pt>
                <c:pt idx="40">
                  <c:v>26</c:v>
                </c:pt>
                <c:pt idx="41">
                  <c:v>21</c:v>
                </c:pt>
                <c:pt idx="42">
                  <c:v>81</c:v>
                </c:pt>
                <c:pt idx="43">
                  <c:v>13</c:v>
                </c:pt>
                <c:pt idx="44">
                  <c:v>4</c:v>
                </c:pt>
                <c:pt idx="45">
                  <c:v>1</c:v>
                </c:pt>
                <c:pt idx="46">
                  <c:v>4</c:v>
                </c:pt>
                <c:pt idx="47">
                  <c:v>14</c:v>
                </c:pt>
                <c:pt idx="48">
                  <c:v>1</c:v>
                </c:pt>
                <c:pt idx="49">
                  <c:v>4</c:v>
                </c:pt>
                <c:pt idx="50">
                  <c:v>3</c:v>
                </c:pt>
                <c:pt idx="51">
                  <c:v>10</c:v>
                </c:pt>
                <c:pt idx="52">
                  <c:v>4</c:v>
                </c:pt>
                <c:pt idx="53">
                  <c:v>11</c:v>
                </c:pt>
                <c:pt idx="54">
                  <c:v>11</c:v>
                </c:pt>
                <c:pt idx="55">
                  <c:v>33</c:v>
                </c:pt>
                <c:pt idx="56">
                  <c:v>7</c:v>
                </c:pt>
                <c:pt idx="57">
                  <c:v>3</c:v>
                </c:pt>
                <c:pt idx="58">
                  <c:v>3</c:v>
                </c:pt>
                <c:pt idx="59">
                  <c:v>11</c:v>
                </c:pt>
                <c:pt idx="60">
                  <c:v>5</c:v>
                </c:pt>
                <c:pt idx="61">
                  <c:v>2</c:v>
                </c:pt>
                <c:pt idx="62">
                  <c:v>11</c:v>
                </c:pt>
                <c:pt idx="63">
                  <c:v>4</c:v>
                </c:pt>
                <c:pt idx="64">
                  <c:v>8</c:v>
                </c:pt>
                <c:pt idx="65">
                  <c:v>15</c:v>
                </c:pt>
                <c:pt idx="66">
                  <c:v>9</c:v>
                </c:pt>
                <c:pt idx="67">
                  <c:v>15</c:v>
                </c:pt>
                <c:pt idx="68">
                  <c:v>13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13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11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4</c:v>
                </c:pt>
                <c:pt idx="91">
                  <c:v>5</c:v>
                </c:pt>
                <c:pt idx="92">
                  <c:v>13</c:v>
                </c:pt>
                <c:pt idx="93">
                  <c:v>4</c:v>
                </c:pt>
                <c:pt idx="94">
                  <c:v>3</c:v>
                </c:pt>
                <c:pt idx="95">
                  <c:v>4</c:v>
                </c:pt>
                <c:pt idx="96">
                  <c:v>13</c:v>
                </c:pt>
                <c:pt idx="97">
                  <c:v>4</c:v>
                </c:pt>
                <c:pt idx="98">
                  <c:v>9</c:v>
                </c:pt>
                <c:pt idx="99">
                  <c:v>11</c:v>
                </c:pt>
                <c:pt idx="100">
                  <c:v>9</c:v>
                </c:pt>
                <c:pt idx="101">
                  <c:v>33</c:v>
                </c:pt>
                <c:pt idx="102">
                  <c:v>5</c:v>
                </c:pt>
                <c:pt idx="103">
                  <c:v>3</c:v>
                </c:pt>
                <c:pt idx="104">
                  <c:v>10</c:v>
                </c:pt>
                <c:pt idx="105">
                  <c:v>3</c:v>
                </c:pt>
                <c:pt idx="106">
                  <c:v>4</c:v>
                </c:pt>
                <c:pt idx="107">
                  <c:v>1</c:v>
                </c:pt>
                <c:pt idx="108">
                  <c:v>3</c:v>
                </c:pt>
                <c:pt idx="109">
                  <c:v>16</c:v>
                </c:pt>
                <c:pt idx="110">
                  <c:v>3</c:v>
                </c:pt>
                <c:pt idx="111">
                  <c:v>12</c:v>
                </c:pt>
                <c:pt idx="112">
                  <c:v>12</c:v>
                </c:pt>
                <c:pt idx="113">
                  <c:v>23</c:v>
                </c:pt>
                <c:pt idx="114">
                  <c:v>7</c:v>
                </c:pt>
                <c:pt idx="115">
                  <c:v>3</c:v>
                </c:pt>
                <c:pt idx="116">
                  <c:v>2</c:v>
                </c:pt>
                <c:pt idx="117">
                  <c:v>13</c:v>
                </c:pt>
                <c:pt idx="118">
                  <c:v>2</c:v>
                </c:pt>
                <c:pt idx="119">
                  <c:v>3</c:v>
                </c:pt>
                <c:pt idx="120">
                  <c:v>3</c:v>
                </c:pt>
                <c:pt idx="121">
                  <c:v>4</c:v>
                </c:pt>
                <c:pt idx="122">
                  <c:v>3</c:v>
                </c:pt>
                <c:pt idx="123">
                  <c:v>18</c:v>
                </c:pt>
                <c:pt idx="124">
                  <c:v>11</c:v>
                </c:pt>
                <c:pt idx="125">
                  <c:v>13</c:v>
                </c:pt>
                <c:pt idx="126">
                  <c:v>31</c:v>
                </c:pt>
                <c:pt idx="127">
                  <c:v>24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85</c:v>
                </c:pt>
                <c:pt idx="132">
                  <c:v>19</c:v>
                </c:pt>
                <c:pt idx="133">
                  <c:v>10</c:v>
                </c:pt>
                <c:pt idx="134">
                  <c:v>3</c:v>
                </c:pt>
                <c:pt idx="135">
                  <c:v>4</c:v>
                </c:pt>
                <c:pt idx="136">
                  <c:v>26</c:v>
                </c:pt>
                <c:pt idx="137">
                  <c:v>4</c:v>
                </c:pt>
                <c:pt idx="138">
                  <c:v>3</c:v>
                </c:pt>
                <c:pt idx="139">
                  <c:v>4</c:v>
                </c:pt>
                <c:pt idx="140">
                  <c:v>11</c:v>
                </c:pt>
                <c:pt idx="141">
                  <c:v>6</c:v>
                </c:pt>
                <c:pt idx="142">
                  <c:v>17</c:v>
                </c:pt>
                <c:pt idx="143">
                  <c:v>9</c:v>
                </c:pt>
                <c:pt idx="144">
                  <c:v>33</c:v>
                </c:pt>
                <c:pt idx="145">
                  <c:v>6</c:v>
                </c:pt>
                <c:pt idx="146">
                  <c:v>3</c:v>
                </c:pt>
                <c:pt idx="147">
                  <c:v>11</c:v>
                </c:pt>
                <c:pt idx="148">
                  <c:v>3</c:v>
                </c:pt>
                <c:pt idx="149">
                  <c:v>3</c:v>
                </c:pt>
                <c:pt idx="150">
                  <c:v>4</c:v>
                </c:pt>
                <c:pt idx="151">
                  <c:v>3</c:v>
                </c:pt>
                <c:pt idx="152">
                  <c:v>15</c:v>
                </c:pt>
                <c:pt idx="153">
                  <c:v>7</c:v>
                </c:pt>
                <c:pt idx="154">
                  <c:v>6</c:v>
                </c:pt>
                <c:pt idx="155">
                  <c:v>15</c:v>
                </c:pt>
                <c:pt idx="156">
                  <c:v>8</c:v>
                </c:pt>
                <c:pt idx="157">
                  <c:v>15</c:v>
                </c:pt>
                <c:pt idx="158">
                  <c:v>13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14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14</c:v>
                </c:pt>
                <c:pt idx="180">
                  <c:v>5</c:v>
                </c:pt>
                <c:pt idx="181">
                  <c:v>3</c:v>
                </c:pt>
                <c:pt idx="182">
                  <c:v>10</c:v>
                </c:pt>
                <c:pt idx="183">
                  <c:v>5</c:v>
                </c:pt>
                <c:pt idx="184">
                  <c:v>3</c:v>
                </c:pt>
                <c:pt idx="185">
                  <c:v>3</c:v>
                </c:pt>
                <c:pt idx="186">
                  <c:v>12</c:v>
                </c:pt>
                <c:pt idx="187">
                  <c:v>4</c:v>
                </c:pt>
                <c:pt idx="188">
                  <c:v>6</c:v>
                </c:pt>
                <c:pt idx="189">
                  <c:v>22</c:v>
                </c:pt>
                <c:pt idx="190">
                  <c:v>12</c:v>
                </c:pt>
                <c:pt idx="191">
                  <c:v>11</c:v>
                </c:pt>
                <c:pt idx="192">
                  <c:v>3</c:v>
                </c:pt>
                <c:pt idx="193">
                  <c:v>4</c:v>
                </c:pt>
                <c:pt idx="194">
                  <c:v>23</c:v>
                </c:pt>
                <c:pt idx="195">
                  <c:v>4</c:v>
                </c:pt>
                <c:pt idx="196">
                  <c:v>3</c:v>
                </c:pt>
                <c:pt idx="197">
                  <c:v>3</c:v>
                </c:pt>
                <c:pt idx="198">
                  <c:v>9</c:v>
                </c:pt>
                <c:pt idx="199">
                  <c:v>3</c:v>
                </c:pt>
                <c:pt idx="200">
                  <c:v>8</c:v>
                </c:pt>
                <c:pt idx="201">
                  <c:v>8</c:v>
                </c:pt>
                <c:pt idx="202">
                  <c:v>24</c:v>
                </c:pt>
                <c:pt idx="203">
                  <c:v>9</c:v>
                </c:pt>
                <c:pt idx="204">
                  <c:v>7</c:v>
                </c:pt>
                <c:pt idx="205">
                  <c:v>5</c:v>
                </c:pt>
                <c:pt idx="206">
                  <c:v>1</c:v>
                </c:pt>
                <c:pt idx="207">
                  <c:v>20</c:v>
                </c:pt>
                <c:pt idx="208">
                  <c:v>4</c:v>
                </c:pt>
                <c:pt idx="209">
                  <c:v>4</c:v>
                </c:pt>
                <c:pt idx="210">
                  <c:v>12</c:v>
                </c:pt>
                <c:pt idx="211">
                  <c:v>4</c:v>
                </c:pt>
                <c:pt idx="212">
                  <c:v>3</c:v>
                </c:pt>
                <c:pt idx="213">
                  <c:v>10</c:v>
                </c:pt>
                <c:pt idx="214">
                  <c:v>16</c:v>
                </c:pt>
                <c:pt idx="215">
                  <c:v>12</c:v>
                </c:pt>
                <c:pt idx="216">
                  <c:v>24</c:v>
                </c:pt>
                <c:pt idx="217">
                  <c:v>27</c:v>
                </c:pt>
                <c:pt idx="218">
                  <c:v>75</c:v>
                </c:pt>
                <c:pt idx="219">
                  <c:v>25</c:v>
                </c:pt>
                <c:pt idx="220">
                  <c:v>23</c:v>
                </c:pt>
                <c:pt idx="221">
                  <c:v>14</c:v>
                </c:pt>
                <c:pt idx="222">
                  <c:v>63</c:v>
                </c:pt>
                <c:pt idx="223">
                  <c:v>2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18</c:v>
                </c:pt>
                <c:pt idx="228">
                  <c:v>6</c:v>
                </c:pt>
                <c:pt idx="229">
                  <c:v>9</c:v>
                </c:pt>
                <c:pt idx="230">
                  <c:v>7</c:v>
                </c:pt>
                <c:pt idx="231">
                  <c:v>24</c:v>
                </c:pt>
                <c:pt idx="232">
                  <c:v>12</c:v>
                </c:pt>
                <c:pt idx="233">
                  <c:v>4</c:v>
                </c:pt>
                <c:pt idx="234">
                  <c:v>15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9</c:v>
                </c:pt>
                <c:pt idx="239">
                  <c:v>3</c:v>
                </c:pt>
                <c:pt idx="240">
                  <c:v>4</c:v>
                </c:pt>
                <c:pt idx="241">
                  <c:v>6</c:v>
                </c:pt>
                <c:pt idx="242">
                  <c:v>15</c:v>
                </c:pt>
                <c:pt idx="243">
                  <c:v>15</c:v>
                </c:pt>
                <c:pt idx="244">
                  <c:v>15</c:v>
                </c:pt>
                <c:pt idx="245">
                  <c:v>11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12</c:v>
                </c:pt>
                <c:pt idx="256">
                  <c:v>14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15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16</c:v>
                </c:pt>
                <c:pt idx="274">
                  <c:v>4</c:v>
                </c:pt>
                <c:pt idx="275">
                  <c:v>3</c:v>
                </c:pt>
                <c:pt idx="276">
                  <c:v>2</c:v>
                </c:pt>
                <c:pt idx="277">
                  <c:v>2</c:v>
                </c:pt>
                <c:pt idx="278">
                  <c:v>17</c:v>
                </c:pt>
                <c:pt idx="279">
                  <c:v>8</c:v>
                </c:pt>
                <c:pt idx="280">
                  <c:v>13</c:v>
                </c:pt>
                <c:pt idx="281">
                  <c:v>8</c:v>
                </c:pt>
                <c:pt idx="282">
                  <c:v>1</c:v>
                </c:pt>
                <c:pt idx="283">
                  <c:v>2</c:v>
                </c:pt>
                <c:pt idx="284">
                  <c:v>34</c:v>
                </c:pt>
                <c:pt idx="285">
                  <c:v>3</c:v>
                </c:pt>
                <c:pt idx="286">
                  <c:v>5</c:v>
                </c:pt>
                <c:pt idx="287">
                  <c:v>2</c:v>
                </c:pt>
                <c:pt idx="288">
                  <c:v>10</c:v>
                </c:pt>
                <c:pt idx="289">
                  <c:v>2</c:v>
                </c:pt>
                <c:pt idx="290">
                  <c:v>3</c:v>
                </c:pt>
                <c:pt idx="291">
                  <c:v>15</c:v>
                </c:pt>
                <c:pt idx="292">
                  <c:v>10</c:v>
                </c:pt>
                <c:pt idx="293">
                  <c:v>12</c:v>
                </c:pt>
                <c:pt idx="294">
                  <c:v>8</c:v>
                </c:pt>
                <c:pt idx="295">
                  <c:v>2</c:v>
                </c:pt>
                <c:pt idx="296">
                  <c:v>27</c:v>
                </c:pt>
                <c:pt idx="297">
                  <c:v>6</c:v>
                </c:pt>
                <c:pt idx="298">
                  <c:v>3</c:v>
                </c:pt>
                <c:pt idx="299">
                  <c:v>2</c:v>
                </c:pt>
                <c:pt idx="300">
                  <c:v>14</c:v>
                </c:pt>
                <c:pt idx="301">
                  <c:v>3</c:v>
                </c:pt>
                <c:pt idx="302">
                  <c:v>3</c:v>
                </c:pt>
                <c:pt idx="303">
                  <c:v>6</c:v>
                </c:pt>
                <c:pt idx="304">
                  <c:v>24</c:v>
                </c:pt>
                <c:pt idx="305">
                  <c:v>14</c:v>
                </c:pt>
                <c:pt idx="306">
                  <c:v>8</c:v>
                </c:pt>
                <c:pt idx="307">
                  <c:v>17</c:v>
                </c:pt>
                <c:pt idx="308">
                  <c:v>16</c:v>
                </c:pt>
                <c:pt idx="309">
                  <c:v>26</c:v>
                </c:pt>
                <c:pt idx="310">
                  <c:v>95</c:v>
                </c:pt>
                <c:pt idx="311">
                  <c:v>20</c:v>
                </c:pt>
                <c:pt idx="312">
                  <c:v>22</c:v>
                </c:pt>
                <c:pt idx="313">
                  <c:v>12</c:v>
                </c:pt>
                <c:pt idx="314">
                  <c:v>4</c:v>
                </c:pt>
                <c:pt idx="315">
                  <c:v>43</c:v>
                </c:pt>
                <c:pt idx="316">
                  <c:v>4</c:v>
                </c:pt>
                <c:pt idx="317">
                  <c:v>2</c:v>
                </c:pt>
                <c:pt idx="318">
                  <c:v>4</c:v>
                </c:pt>
                <c:pt idx="319">
                  <c:v>3</c:v>
                </c:pt>
                <c:pt idx="320">
                  <c:v>16</c:v>
                </c:pt>
                <c:pt idx="321">
                  <c:v>4</c:v>
                </c:pt>
                <c:pt idx="322">
                  <c:v>7</c:v>
                </c:pt>
                <c:pt idx="323">
                  <c:v>15</c:v>
                </c:pt>
                <c:pt idx="324">
                  <c:v>7</c:v>
                </c:pt>
                <c:pt idx="325">
                  <c:v>36</c:v>
                </c:pt>
                <c:pt idx="326">
                  <c:v>3</c:v>
                </c:pt>
                <c:pt idx="327">
                  <c:v>3</c:v>
                </c:pt>
                <c:pt idx="328">
                  <c:v>10</c:v>
                </c:pt>
                <c:pt idx="329">
                  <c:v>4</c:v>
                </c:pt>
                <c:pt idx="330">
                  <c:v>2</c:v>
                </c:pt>
                <c:pt idx="331">
                  <c:v>5</c:v>
                </c:pt>
                <c:pt idx="332">
                  <c:v>11</c:v>
                </c:pt>
                <c:pt idx="333">
                  <c:v>3</c:v>
                </c:pt>
                <c:pt idx="334">
                  <c:v>3</c:v>
                </c:pt>
                <c:pt idx="335">
                  <c:v>5</c:v>
                </c:pt>
                <c:pt idx="336">
                  <c:v>15</c:v>
                </c:pt>
                <c:pt idx="337">
                  <c:v>13</c:v>
                </c:pt>
                <c:pt idx="338">
                  <c:v>15</c:v>
                </c:pt>
                <c:pt idx="339">
                  <c:v>7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11</c:v>
                </c:pt>
                <c:pt idx="352">
                  <c:v>14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4</c:v>
                </c:pt>
                <c:pt idx="363">
                  <c:v>3</c:v>
                </c:pt>
                <c:pt idx="364">
                  <c:v>3</c:v>
                </c:pt>
                <c:pt idx="365">
                  <c:v>1</c:v>
                </c:pt>
                <c:pt idx="366">
                  <c:v>15</c:v>
                </c:pt>
                <c:pt idx="367">
                  <c:v>4</c:v>
                </c:pt>
                <c:pt idx="368">
                  <c:v>3</c:v>
                </c:pt>
                <c:pt idx="369">
                  <c:v>3</c:v>
                </c:pt>
                <c:pt idx="370">
                  <c:v>7</c:v>
                </c:pt>
                <c:pt idx="371">
                  <c:v>26</c:v>
                </c:pt>
                <c:pt idx="372">
                  <c:v>13</c:v>
                </c:pt>
                <c:pt idx="373">
                  <c:v>8</c:v>
                </c:pt>
                <c:pt idx="374">
                  <c:v>5</c:v>
                </c:pt>
                <c:pt idx="375">
                  <c:v>19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11</c:v>
                </c:pt>
                <c:pt idx="380">
                  <c:v>5</c:v>
                </c:pt>
                <c:pt idx="381">
                  <c:v>9</c:v>
                </c:pt>
                <c:pt idx="382">
                  <c:v>11</c:v>
                </c:pt>
                <c:pt idx="383">
                  <c:v>32</c:v>
                </c:pt>
                <c:pt idx="384">
                  <c:v>7</c:v>
                </c:pt>
                <c:pt idx="385">
                  <c:v>4</c:v>
                </c:pt>
                <c:pt idx="386">
                  <c:v>4</c:v>
                </c:pt>
                <c:pt idx="387">
                  <c:v>3</c:v>
                </c:pt>
                <c:pt idx="388">
                  <c:v>4</c:v>
                </c:pt>
                <c:pt idx="389">
                  <c:v>19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7</c:v>
                </c:pt>
                <c:pt idx="394">
                  <c:v>17</c:v>
                </c:pt>
                <c:pt idx="395">
                  <c:v>8</c:v>
                </c:pt>
                <c:pt idx="396">
                  <c:v>10</c:v>
                </c:pt>
                <c:pt idx="397">
                  <c:v>25</c:v>
                </c:pt>
                <c:pt idx="398">
                  <c:v>18</c:v>
                </c:pt>
                <c:pt idx="399">
                  <c:v>66</c:v>
                </c:pt>
                <c:pt idx="400">
                  <c:v>23</c:v>
                </c:pt>
                <c:pt idx="401">
                  <c:v>18</c:v>
                </c:pt>
                <c:pt idx="402">
                  <c:v>16</c:v>
                </c:pt>
                <c:pt idx="403">
                  <c:v>15</c:v>
                </c:pt>
                <c:pt idx="404">
                  <c:v>4</c:v>
                </c:pt>
                <c:pt idx="405">
                  <c:v>80</c:v>
                </c:pt>
                <c:pt idx="406">
                  <c:v>4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14</c:v>
                </c:pt>
                <c:pt idx="411">
                  <c:v>3</c:v>
                </c:pt>
                <c:pt idx="412">
                  <c:v>4</c:v>
                </c:pt>
                <c:pt idx="413">
                  <c:v>7</c:v>
                </c:pt>
                <c:pt idx="414">
                  <c:v>17</c:v>
                </c:pt>
                <c:pt idx="415">
                  <c:v>10</c:v>
                </c:pt>
                <c:pt idx="416">
                  <c:v>11</c:v>
                </c:pt>
                <c:pt idx="417">
                  <c:v>20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13</c:v>
                </c:pt>
                <c:pt idx="422">
                  <c:v>2</c:v>
                </c:pt>
                <c:pt idx="423">
                  <c:v>2</c:v>
                </c:pt>
                <c:pt idx="424">
                  <c:v>4</c:v>
                </c:pt>
                <c:pt idx="425">
                  <c:v>12</c:v>
                </c:pt>
                <c:pt idx="426">
                  <c:v>6</c:v>
                </c:pt>
                <c:pt idx="427">
                  <c:v>9</c:v>
                </c:pt>
                <c:pt idx="428">
                  <c:v>15</c:v>
                </c:pt>
                <c:pt idx="429">
                  <c:v>14</c:v>
                </c:pt>
                <c:pt idx="430">
                  <c:v>15</c:v>
                </c:pt>
                <c:pt idx="431">
                  <c:v>15</c:v>
                </c:pt>
                <c:pt idx="432">
                  <c:v>15</c:v>
                </c:pt>
                <c:pt idx="433">
                  <c:v>15</c:v>
                </c:pt>
                <c:pt idx="434">
                  <c:v>15</c:v>
                </c:pt>
                <c:pt idx="435">
                  <c:v>15</c:v>
                </c:pt>
                <c:pt idx="436">
                  <c:v>15</c:v>
                </c:pt>
                <c:pt idx="437">
                  <c:v>15</c:v>
                </c:pt>
                <c:pt idx="438">
                  <c:v>15</c:v>
                </c:pt>
                <c:pt idx="439">
                  <c:v>15</c:v>
                </c:pt>
                <c:pt idx="440">
                  <c:v>15</c:v>
                </c:pt>
                <c:pt idx="441">
                  <c:v>15</c:v>
                </c:pt>
                <c:pt idx="442">
                  <c:v>15</c:v>
                </c:pt>
                <c:pt idx="443">
                  <c:v>15</c:v>
                </c:pt>
                <c:pt idx="444">
                  <c:v>15</c:v>
                </c:pt>
                <c:pt idx="445">
                  <c:v>15</c:v>
                </c:pt>
                <c:pt idx="446">
                  <c:v>15</c:v>
                </c:pt>
                <c:pt idx="447">
                  <c:v>15</c:v>
                </c:pt>
                <c:pt idx="448">
                  <c:v>15</c:v>
                </c:pt>
                <c:pt idx="449">
                  <c:v>15</c:v>
                </c:pt>
                <c:pt idx="450">
                  <c:v>15</c:v>
                </c:pt>
                <c:pt idx="451">
                  <c:v>15</c:v>
                </c:pt>
                <c:pt idx="452">
                  <c:v>4</c:v>
                </c:pt>
                <c:pt idx="453">
                  <c:v>4</c:v>
                </c:pt>
                <c:pt idx="454">
                  <c:v>9</c:v>
                </c:pt>
                <c:pt idx="455">
                  <c:v>4</c:v>
                </c:pt>
                <c:pt idx="456">
                  <c:v>2</c:v>
                </c:pt>
                <c:pt idx="457">
                  <c:v>2</c:v>
                </c:pt>
                <c:pt idx="458">
                  <c:v>3</c:v>
                </c:pt>
                <c:pt idx="459">
                  <c:v>17</c:v>
                </c:pt>
                <c:pt idx="460">
                  <c:v>3</c:v>
                </c:pt>
                <c:pt idx="461">
                  <c:v>8</c:v>
                </c:pt>
                <c:pt idx="462">
                  <c:v>15</c:v>
                </c:pt>
                <c:pt idx="463">
                  <c:v>7</c:v>
                </c:pt>
                <c:pt idx="464">
                  <c:v>14</c:v>
                </c:pt>
                <c:pt idx="465">
                  <c:v>1</c:v>
                </c:pt>
                <c:pt idx="466">
                  <c:v>3</c:v>
                </c:pt>
                <c:pt idx="467">
                  <c:v>22</c:v>
                </c:pt>
                <c:pt idx="468">
                  <c:v>3</c:v>
                </c:pt>
                <c:pt idx="469">
                  <c:v>3</c:v>
                </c:pt>
                <c:pt idx="470">
                  <c:v>4</c:v>
                </c:pt>
                <c:pt idx="471">
                  <c:v>9</c:v>
                </c:pt>
                <c:pt idx="472">
                  <c:v>4</c:v>
                </c:pt>
                <c:pt idx="473">
                  <c:v>3</c:v>
                </c:pt>
                <c:pt idx="474">
                  <c:v>11</c:v>
                </c:pt>
                <c:pt idx="475">
                  <c:v>8</c:v>
                </c:pt>
                <c:pt idx="476">
                  <c:v>11</c:v>
                </c:pt>
                <c:pt idx="477">
                  <c:v>8</c:v>
                </c:pt>
                <c:pt idx="478">
                  <c:v>2</c:v>
                </c:pt>
                <c:pt idx="479">
                  <c:v>28</c:v>
                </c:pt>
                <c:pt idx="480">
                  <c:v>3</c:v>
                </c:pt>
                <c:pt idx="481">
                  <c:v>2</c:v>
                </c:pt>
                <c:pt idx="482">
                  <c:v>2</c:v>
                </c:pt>
                <c:pt idx="483">
                  <c:v>4</c:v>
                </c:pt>
                <c:pt idx="484">
                  <c:v>2</c:v>
                </c:pt>
                <c:pt idx="485">
                  <c:v>14</c:v>
                </c:pt>
                <c:pt idx="486">
                  <c:v>4</c:v>
                </c:pt>
                <c:pt idx="487">
                  <c:v>3</c:v>
                </c:pt>
                <c:pt idx="488">
                  <c:v>20</c:v>
                </c:pt>
                <c:pt idx="489">
                  <c:v>14</c:v>
                </c:pt>
                <c:pt idx="490">
                  <c:v>23</c:v>
                </c:pt>
                <c:pt idx="491">
                  <c:v>46</c:v>
                </c:pt>
                <c:pt idx="492">
                  <c:v>21</c:v>
                </c:pt>
                <c:pt idx="493">
                  <c:v>28</c:v>
                </c:pt>
                <c:pt idx="494">
                  <c:v>32</c:v>
                </c:pt>
                <c:pt idx="495">
                  <c:v>64</c:v>
                </c:pt>
                <c:pt idx="496">
                  <c:v>24</c:v>
                </c:pt>
                <c:pt idx="497">
                  <c:v>4</c:v>
                </c:pt>
                <c:pt idx="498">
                  <c:v>5</c:v>
                </c:pt>
                <c:pt idx="499">
                  <c:v>32</c:v>
                </c:pt>
                <c:pt idx="500">
                  <c:v>4</c:v>
                </c:pt>
                <c:pt idx="501">
                  <c:v>4</c:v>
                </c:pt>
                <c:pt idx="502">
                  <c:v>4</c:v>
                </c:pt>
                <c:pt idx="503">
                  <c:v>11</c:v>
                </c:pt>
                <c:pt idx="504">
                  <c:v>7</c:v>
                </c:pt>
                <c:pt idx="505">
                  <c:v>12</c:v>
                </c:pt>
                <c:pt idx="506">
                  <c:v>21</c:v>
                </c:pt>
                <c:pt idx="507">
                  <c:v>12</c:v>
                </c:pt>
                <c:pt idx="508">
                  <c:v>2</c:v>
                </c:pt>
                <c:pt idx="509">
                  <c:v>15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12</c:v>
                </c:pt>
                <c:pt idx="515">
                  <c:v>5</c:v>
                </c:pt>
                <c:pt idx="516">
                  <c:v>2</c:v>
                </c:pt>
                <c:pt idx="517">
                  <c:v>15</c:v>
                </c:pt>
                <c:pt idx="518">
                  <c:v>10</c:v>
                </c:pt>
                <c:pt idx="519">
                  <c:v>9</c:v>
                </c:pt>
                <c:pt idx="520">
                  <c:v>15</c:v>
                </c:pt>
                <c:pt idx="521">
                  <c:v>15</c:v>
                </c:pt>
                <c:pt idx="522">
                  <c:v>15</c:v>
                </c:pt>
                <c:pt idx="523">
                  <c:v>12</c:v>
                </c:pt>
                <c:pt idx="524">
                  <c:v>15</c:v>
                </c:pt>
                <c:pt idx="525">
                  <c:v>15</c:v>
                </c:pt>
                <c:pt idx="526">
                  <c:v>15</c:v>
                </c:pt>
                <c:pt idx="527">
                  <c:v>15</c:v>
                </c:pt>
                <c:pt idx="528">
                  <c:v>15</c:v>
                </c:pt>
                <c:pt idx="529">
                  <c:v>15</c:v>
                </c:pt>
                <c:pt idx="530">
                  <c:v>15</c:v>
                </c:pt>
                <c:pt idx="531">
                  <c:v>15</c:v>
                </c:pt>
                <c:pt idx="532">
                  <c:v>15</c:v>
                </c:pt>
                <c:pt idx="533">
                  <c:v>15</c:v>
                </c:pt>
                <c:pt idx="534">
                  <c:v>15</c:v>
                </c:pt>
                <c:pt idx="535">
                  <c:v>15</c:v>
                </c:pt>
                <c:pt idx="536">
                  <c:v>15</c:v>
                </c:pt>
                <c:pt idx="537">
                  <c:v>15</c:v>
                </c:pt>
                <c:pt idx="538">
                  <c:v>15</c:v>
                </c:pt>
                <c:pt idx="539">
                  <c:v>15</c:v>
                </c:pt>
                <c:pt idx="540">
                  <c:v>15</c:v>
                </c:pt>
                <c:pt idx="541">
                  <c:v>15</c:v>
                </c:pt>
                <c:pt idx="542">
                  <c:v>15</c:v>
                </c:pt>
                <c:pt idx="543">
                  <c:v>15</c:v>
                </c:pt>
                <c:pt idx="544">
                  <c:v>5</c:v>
                </c:pt>
                <c:pt idx="545">
                  <c:v>3</c:v>
                </c:pt>
                <c:pt idx="546">
                  <c:v>3</c:v>
                </c:pt>
                <c:pt idx="547">
                  <c:v>2</c:v>
                </c:pt>
                <c:pt idx="548">
                  <c:v>17</c:v>
                </c:pt>
                <c:pt idx="549">
                  <c:v>2</c:v>
                </c:pt>
                <c:pt idx="550">
                  <c:v>3</c:v>
                </c:pt>
                <c:pt idx="551">
                  <c:v>4</c:v>
                </c:pt>
                <c:pt idx="552">
                  <c:v>11</c:v>
                </c:pt>
                <c:pt idx="553">
                  <c:v>11</c:v>
                </c:pt>
                <c:pt idx="554">
                  <c:v>14</c:v>
                </c:pt>
                <c:pt idx="555">
                  <c:v>25</c:v>
                </c:pt>
                <c:pt idx="556">
                  <c:v>6</c:v>
                </c:pt>
                <c:pt idx="557">
                  <c:v>4</c:v>
                </c:pt>
                <c:pt idx="558">
                  <c:v>3</c:v>
                </c:pt>
                <c:pt idx="559">
                  <c:v>3</c:v>
                </c:pt>
                <c:pt idx="560">
                  <c:v>18</c:v>
                </c:pt>
                <c:pt idx="561">
                  <c:v>4</c:v>
                </c:pt>
                <c:pt idx="562">
                  <c:v>4</c:v>
                </c:pt>
                <c:pt idx="563">
                  <c:v>2</c:v>
                </c:pt>
                <c:pt idx="564">
                  <c:v>9</c:v>
                </c:pt>
                <c:pt idx="565">
                  <c:v>28</c:v>
                </c:pt>
                <c:pt idx="566">
                  <c:v>10</c:v>
                </c:pt>
                <c:pt idx="567">
                  <c:v>9</c:v>
                </c:pt>
                <c:pt idx="568">
                  <c:v>3</c:v>
                </c:pt>
                <c:pt idx="569">
                  <c:v>19</c:v>
                </c:pt>
                <c:pt idx="570">
                  <c:v>4</c:v>
                </c:pt>
                <c:pt idx="571">
                  <c:v>5</c:v>
                </c:pt>
                <c:pt idx="572">
                  <c:v>3</c:v>
                </c:pt>
                <c:pt idx="573">
                  <c:v>13</c:v>
                </c:pt>
                <c:pt idx="574">
                  <c:v>4</c:v>
                </c:pt>
                <c:pt idx="575">
                  <c:v>5</c:v>
                </c:pt>
                <c:pt idx="576">
                  <c:v>21</c:v>
                </c:pt>
                <c:pt idx="577">
                  <c:v>21</c:v>
                </c:pt>
                <c:pt idx="578">
                  <c:v>12</c:v>
                </c:pt>
                <c:pt idx="579">
                  <c:v>41</c:v>
                </c:pt>
                <c:pt idx="580">
                  <c:v>28</c:v>
                </c:pt>
                <c:pt idx="581">
                  <c:v>23</c:v>
                </c:pt>
                <c:pt idx="582">
                  <c:v>26</c:v>
                </c:pt>
                <c:pt idx="583">
                  <c:v>81</c:v>
                </c:pt>
                <c:pt idx="584">
                  <c:v>24</c:v>
                </c:pt>
                <c:pt idx="585">
                  <c:v>4</c:v>
                </c:pt>
                <c:pt idx="586">
                  <c:v>4</c:v>
                </c:pt>
                <c:pt idx="587">
                  <c:v>20</c:v>
                </c:pt>
                <c:pt idx="588">
                  <c:v>3</c:v>
                </c:pt>
                <c:pt idx="589">
                  <c:v>4</c:v>
                </c:pt>
                <c:pt idx="590">
                  <c:v>8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8</c:v>
                </c:pt>
                <c:pt idx="595">
                  <c:v>11</c:v>
                </c:pt>
                <c:pt idx="596">
                  <c:v>14</c:v>
                </c:pt>
                <c:pt idx="597">
                  <c:v>31</c:v>
                </c:pt>
                <c:pt idx="598">
                  <c:v>7</c:v>
                </c:pt>
                <c:pt idx="599">
                  <c:v>5</c:v>
                </c:pt>
                <c:pt idx="600">
                  <c:v>5</c:v>
                </c:pt>
                <c:pt idx="601">
                  <c:v>2</c:v>
                </c:pt>
                <c:pt idx="602">
                  <c:v>2</c:v>
                </c:pt>
                <c:pt idx="603">
                  <c:v>4</c:v>
                </c:pt>
                <c:pt idx="604">
                  <c:v>15</c:v>
                </c:pt>
                <c:pt idx="605">
                  <c:v>3</c:v>
                </c:pt>
                <c:pt idx="606">
                  <c:v>3</c:v>
                </c:pt>
                <c:pt idx="607">
                  <c:v>15</c:v>
                </c:pt>
                <c:pt idx="608">
                  <c:v>11</c:v>
                </c:pt>
                <c:pt idx="609">
                  <c:v>11</c:v>
                </c:pt>
                <c:pt idx="610">
                  <c:v>15</c:v>
                </c:pt>
                <c:pt idx="611">
                  <c:v>14</c:v>
                </c:pt>
                <c:pt idx="612">
                  <c:v>11</c:v>
                </c:pt>
                <c:pt idx="613">
                  <c:v>15</c:v>
                </c:pt>
                <c:pt idx="614">
                  <c:v>15</c:v>
                </c:pt>
                <c:pt idx="615">
                  <c:v>15</c:v>
                </c:pt>
                <c:pt idx="616">
                  <c:v>12</c:v>
                </c:pt>
                <c:pt idx="617">
                  <c:v>15</c:v>
                </c:pt>
                <c:pt idx="618">
                  <c:v>15</c:v>
                </c:pt>
                <c:pt idx="619">
                  <c:v>15</c:v>
                </c:pt>
                <c:pt idx="620">
                  <c:v>15</c:v>
                </c:pt>
                <c:pt idx="621">
                  <c:v>13</c:v>
                </c:pt>
                <c:pt idx="622">
                  <c:v>15</c:v>
                </c:pt>
                <c:pt idx="623">
                  <c:v>15</c:v>
                </c:pt>
                <c:pt idx="624">
                  <c:v>15</c:v>
                </c:pt>
                <c:pt idx="625">
                  <c:v>15</c:v>
                </c:pt>
                <c:pt idx="626">
                  <c:v>15</c:v>
                </c:pt>
                <c:pt idx="627">
                  <c:v>15</c:v>
                </c:pt>
                <c:pt idx="628">
                  <c:v>15</c:v>
                </c:pt>
                <c:pt idx="629">
                  <c:v>15</c:v>
                </c:pt>
                <c:pt idx="630">
                  <c:v>15</c:v>
                </c:pt>
                <c:pt idx="631">
                  <c:v>15</c:v>
                </c:pt>
                <c:pt idx="632">
                  <c:v>15</c:v>
                </c:pt>
                <c:pt idx="633">
                  <c:v>14</c:v>
                </c:pt>
                <c:pt idx="634">
                  <c:v>15</c:v>
                </c:pt>
                <c:pt idx="635">
                  <c:v>2</c:v>
                </c:pt>
                <c:pt idx="636">
                  <c:v>4</c:v>
                </c:pt>
                <c:pt idx="637">
                  <c:v>3</c:v>
                </c:pt>
                <c:pt idx="638">
                  <c:v>4</c:v>
                </c:pt>
                <c:pt idx="639">
                  <c:v>18</c:v>
                </c:pt>
                <c:pt idx="640">
                  <c:v>2</c:v>
                </c:pt>
                <c:pt idx="641">
                  <c:v>4</c:v>
                </c:pt>
                <c:pt idx="642">
                  <c:v>2</c:v>
                </c:pt>
                <c:pt idx="643">
                  <c:v>9</c:v>
                </c:pt>
                <c:pt idx="644">
                  <c:v>24</c:v>
                </c:pt>
                <c:pt idx="645">
                  <c:v>9</c:v>
                </c:pt>
                <c:pt idx="646">
                  <c:v>11</c:v>
                </c:pt>
                <c:pt idx="647">
                  <c:v>5</c:v>
                </c:pt>
                <c:pt idx="648">
                  <c:v>16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1</c:v>
                </c:pt>
                <c:pt idx="654">
                  <c:v>17</c:v>
                </c:pt>
                <c:pt idx="655">
                  <c:v>4</c:v>
                </c:pt>
                <c:pt idx="656">
                  <c:v>8</c:v>
                </c:pt>
                <c:pt idx="657">
                  <c:v>18</c:v>
                </c:pt>
                <c:pt idx="658">
                  <c:v>8</c:v>
                </c:pt>
                <c:pt idx="659">
                  <c:v>12</c:v>
                </c:pt>
                <c:pt idx="660">
                  <c:v>3</c:v>
                </c:pt>
                <c:pt idx="661">
                  <c:v>20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3</c:v>
                </c:pt>
                <c:pt idx="666">
                  <c:v>4</c:v>
                </c:pt>
                <c:pt idx="667">
                  <c:v>21</c:v>
                </c:pt>
                <c:pt idx="668">
                  <c:v>9</c:v>
                </c:pt>
                <c:pt idx="669">
                  <c:v>19</c:v>
                </c:pt>
                <c:pt idx="670">
                  <c:v>31</c:v>
                </c:pt>
                <c:pt idx="671">
                  <c:v>20</c:v>
                </c:pt>
                <c:pt idx="672">
                  <c:v>21</c:v>
                </c:pt>
                <c:pt idx="673">
                  <c:v>17</c:v>
                </c:pt>
                <c:pt idx="674">
                  <c:v>24</c:v>
                </c:pt>
                <c:pt idx="675">
                  <c:v>91</c:v>
                </c:pt>
                <c:pt idx="676">
                  <c:v>19</c:v>
                </c:pt>
                <c:pt idx="677">
                  <c:v>15</c:v>
                </c:pt>
                <c:pt idx="678">
                  <c:v>5</c:v>
                </c:pt>
                <c:pt idx="679">
                  <c:v>28</c:v>
                </c:pt>
                <c:pt idx="680">
                  <c:v>4</c:v>
                </c:pt>
                <c:pt idx="681">
                  <c:v>2</c:v>
                </c:pt>
                <c:pt idx="682">
                  <c:v>3</c:v>
                </c:pt>
                <c:pt idx="683">
                  <c:v>4</c:v>
                </c:pt>
                <c:pt idx="684">
                  <c:v>13</c:v>
                </c:pt>
                <c:pt idx="685">
                  <c:v>3</c:v>
                </c:pt>
                <c:pt idx="686">
                  <c:v>4</c:v>
                </c:pt>
                <c:pt idx="687">
                  <c:v>12</c:v>
                </c:pt>
                <c:pt idx="688">
                  <c:v>22</c:v>
                </c:pt>
                <c:pt idx="689">
                  <c:v>8</c:v>
                </c:pt>
                <c:pt idx="690">
                  <c:v>6</c:v>
                </c:pt>
                <c:pt idx="691">
                  <c:v>2</c:v>
                </c:pt>
                <c:pt idx="692">
                  <c:v>2</c:v>
                </c:pt>
                <c:pt idx="693">
                  <c:v>14</c:v>
                </c:pt>
                <c:pt idx="694">
                  <c:v>5</c:v>
                </c:pt>
                <c:pt idx="695">
                  <c:v>4</c:v>
                </c:pt>
                <c:pt idx="696">
                  <c:v>3</c:v>
                </c:pt>
                <c:pt idx="697">
                  <c:v>4</c:v>
                </c:pt>
                <c:pt idx="698">
                  <c:v>15</c:v>
                </c:pt>
                <c:pt idx="699">
                  <c:v>10</c:v>
                </c:pt>
                <c:pt idx="700">
                  <c:v>15</c:v>
                </c:pt>
                <c:pt idx="701">
                  <c:v>9</c:v>
                </c:pt>
                <c:pt idx="702">
                  <c:v>15</c:v>
                </c:pt>
                <c:pt idx="703">
                  <c:v>15</c:v>
                </c:pt>
                <c:pt idx="704">
                  <c:v>15</c:v>
                </c:pt>
                <c:pt idx="705">
                  <c:v>15</c:v>
                </c:pt>
                <c:pt idx="706">
                  <c:v>15</c:v>
                </c:pt>
                <c:pt idx="707">
                  <c:v>15</c:v>
                </c:pt>
                <c:pt idx="708">
                  <c:v>15</c:v>
                </c:pt>
                <c:pt idx="709">
                  <c:v>15</c:v>
                </c:pt>
                <c:pt idx="710">
                  <c:v>15</c:v>
                </c:pt>
                <c:pt idx="711">
                  <c:v>15</c:v>
                </c:pt>
                <c:pt idx="712">
                  <c:v>15</c:v>
                </c:pt>
                <c:pt idx="713">
                  <c:v>15</c:v>
                </c:pt>
                <c:pt idx="714">
                  <c:v>15</c:v>
                </c:pt>
                <c:pt idx="715">
                  <c:v>15</c:v>
                </c:pt>
                <c:pt idx="716">
                  <c:v>15</c:v>
                </c:pt>
                <c:pt idx="717">
                  <c:v>15</c:v>
                </c:pt>
                <c:pt idx="718">
                  <c:v>15</c:v>
                </c:pt>
                <c:pt idx="719">
                  <c:v>15</c:v>
                </c:pt>
                <c:pt idx="720">
                  <c:v>15</c:v>
                </c:pt>
                <c:pt idx="721">
                  <c:v>15</c:v>
                </c:pt>
                <c:pt idx="722">
                  <c:v>15</c:v>
                </c:pt>
                <c:pt idx="723">
                  <c:v>15</c:v>
                </c:pt>
                <c:pt idx="724">
                  <c:v>15</c:v>
                </c:pt>
                <c:pt idx="725">
                  <c:v>15</c:v>
                </c:pt>
                <c:pt idx="726">
                  <c:v>4</c:v>
                </c:pt>
                <c:pt idx="727">
                  <c:v>2</c:v>
                </c:pt>
                <c:pt idx="728">
                  <c:v>3</c:v>
                </c:pt>
                <c:pt idx="729">
                  <c:v>11</c:v>
                </c:pt>
                <c:pt idx="730">
                  <c:v>3</c:v>
                </c:pt>
                <c:pt idx="731">
                  <c:v>2</c:v>
                </c:pt>
                <c:pt idx="732">
                  <c:v>3</c:v>
                </c:pt>
                <c:pt idx="733">
                  <c:v>4</c:v>
                </c:pt>
                <c:pt idx="734">
                  <c:v>12</c:v>
                </c:pt>
                <c:pt idx="735">
                  <c:v>11</c:v>
                </c:pt>
                <c:pt idx="736">
                  <c:v>8</c:v>
                </c:pt>
                <c:pt idx="737">
                  <c:v>8</c:v>
                </c:pt>
                <c:pt idx="738">
                  <c:v>3</c:v>
                </c:pt>
                <c:pt idx="739">
                  <c:v>37</c:v>
                </c:pt>
                <c:pt idx="740">
                  <c:v>5</c:v>
                </c:pt>
                <c:pt idx="741">
                  <c:v>5</c:v>
                </c:pt>
                <c:pt idx="742">
                  <c:v>3</c:v>
                </c:pt>
                <c:pt idx="743">
                  <c:v>9</c:v>
                </c:pt>
                <c:pt idx="744">
                  <c:v>4</c:v>
                </c:pt>
                <c:pt idx="745">
                  <c:v>2</c:v>
                </c:pt>
                <c:pt idx="746">
                  <c:v>12</c:v>
                </c:pt>
                <c:pt idx="747">
                  <c:v>6</c:v>
                </c:pt>
                <c:pt idx="748">
                  <c:v>9</c:v>
                </c:pt>
                <c:pt idx="749">
                  <c:v>13</c:v>
                </c:pt>
                <c:pt idx="750">
                  <c:v>3</c:v>
                </c:pt>
                <c:pt idx="751">
                  <c:v>32</c:v>
                </c:pt>
                <c:pt idx="752">
                  <c:v>4</c:v>
                </c:pt>
                <c:pt idx="753">
                  <c:v>3</c:v>
                </c:pt>
                <c:pt idx="754">
                  <c:v>4</c:v>
                </c:pt>
                <c:pt idx="755">
                  <c:v>11</c:v>
                </c:pt>
                <c:pt idx="756">
                  <c:v>3</c:v>
                </c:pt>
                <c:pt idx="757">
                  <c:v>4</c:v>
                </c:pt>
                <c:pt idx="758">
                  <c:v>6</c:v>
                </c:pt>
                <c:pt idx="759">
                  <c:v>8</c:v>
                </c:pt>
                <c:pt idx="760">
                  <c:v>24</c:v>
                </c:pt>
                <c:pt idx="761">
                  <c:v>13</c:v>
                </c:pt>
                <c:pt idx="762">
                  <c:v>20</c:v>
                </c:pt>
                <c:pt idx="763">
                  <c:v>19</c:v>
                </c:pt>
                <c:pt idx="764">
                  <c:v>72</c:v>
                </c:pt>
                <c:pt idx="765">
                  <c:v>26</c:v>
                </c:pt>
                <c:pt idx="766">
                  <c:v>26</c:v>
                </c:pt>
                <c:pt idx="767">
                  <c:v>13</c:v>
                </c:pt>
                <c:pt idx="768">
                  <c:v>13</c:v>
                </c:pt>
                <c:pt idx="769">
                  <c:v>61</c:v>
                </c:pt>
                <c:pt idx="770">
                  <c:v>3</c:v>
                </c:pt>
                <c:pt idx="771">
                  <c:v>3</c:v>
                </c:pt>
                <c:pt idx="772">
                  <c:v>2</c:v>
                </c:pt>
                <c:pt idx="773">
                  <c:v>10</c:v>
                </c:pt>
                <c:pt idx="774">
                  <c:v>4</c:v>
                </c:pt>
                <c:pt idx="775">
                  <c:v>7</c:v>
                </c:pt>
                <c:pt idx="776">
                  <c:v>3</c:v>
                </c:pt>
                <c:pt idx="777">
                  <c:v>2</c:v>
                </c:pt>
                <c:pt idx="778">
                  <c:v>7</c:v>
                </c:pt>
                <c:pt idx="779">
                  <c:v>14</c:v>
                </c:pt>
                <c:pt idx="780">
                  <c:v>14</c:v>
                </c:pt>
                <c:pt idx="781">
                  <c:v>9</c:v>
                </c:pt>
                <c:pt idx="782">
                  <c:v>22</c:v>
                </c:pt>
                <c:pt idx="783">
                  <c:v>5</c:v>
                </c:pt>
                <c:pt idx="784">
                  <c:v>2</c:v>
                </c:pt>
                <c:pt idx="785">
                  <c:v>3</c:v>
                </c:pt>
                <c:pt idx="786">
                  <c:v>3</c:v>
                </c:pt>
                <c:pt idx="787">
                  <c:v>15</c:v>
                </c:pt>
                <c:pt idx="788">
                  <c:v>2</c:v>
                </c:pt>
                <c:pt idx="789">
                  <c:v>4</c:v>
                </c:pt>
                <c:pt idx="790">
                  <c:v>2</c:v>
                </c:pt>
                <c:pt idx="791">
                  <c:v>15</c:v>
                </c:pt>
                <c:pt idx="792">
                  <c:v>8</c:v>
                </c:pt>
                <c:pt idx="793">
                  <c:v>10</c:v>
                </c:pt>
                <c:pt idx="794">
                  <c:v>15</c:v>
                </c:pt>
                <c:pt idx="795">
                  <c:v>7</c:v>
                </c:pt>
                <c:pt idx="796">
                  <c:v>15</c:v>
                </c:pt>
                <c:pt idx="797">
                  <c:v>15</c:v>
                </c:pt>
                <c:pt idx="798">
                  <c:v>15</c:v>
                </c:pt>
                <c:pt idx="799">
                  <c:v>15</c:v>
                </c:pt>
                <c:pt idx="800">
                  <c:v>15</c:v>
                </c:pt>
                <c:pt idx="801">
                  <c:v>15</c:v>
                </c:pt>
                <c:pt idx="802">
                  <c:v>15</c:v>
                </c:pt>
                <c:pt idx="803">
                  <c:v>15</c:v>
                </c:pt>
                <c:pt idx="804">
                  <c:v>15</c:v>
                </c:pt>
                <c:pt idx="805">
                  <c:v>15</c:v>
                </c:pt>
                <c:pt idx="806">
                  <c:v>15</c:v>
                </c:pt>
                <c:pt idx="807">
                  <c:v>15</c:v>
                </c:pt>
                <c:pt idx="808">
                  <c:v>15</c:v>
                </c:pt>
                <c:pt idx="809">
                  <c:v>15</c:v>
                </c:pt>
                <c:pt idx="810">
                  <c:v>15</c:v>
                </c:pt>
                <c:pt idx="811">
                  <c:v>15</c:v>
                </c:pt>
                <c:pt idx="812">
                  <c:v>15</c:v>
                </c:pt>
                <c:pt idx="813">
                  <c:v>15</c:v>
                </c:pt>
                <c:pt idx="814">
                  <c:v>15</c:v>
                </c:pt>
                <c:pt idx="815">
                  <c:v>15</c:v>
                </c:pt>
                <c:pt idx="816">
                  <c:v>15</c:v>
                </c:pt>
                <c:pt idx="817">
                  <c:v>15</c:v>
                </c:pt>
                <c:pt idx="818">
                  <c:v>15</c:v>
                </c:pt>
                <c:pt idx="819">
                  <c:v>4</c:v>
                </c:pt>
                <c:pt idx="820">
                  <c:v>2</c:v>
                </c:pt>
                <c:pt idx="821">
                  <c:v>3</c:v>
                </c:pt>
                <c:pt idx="822">
                  <c:v>4</c:v>
                </c:pt>
                <c:pt idx="823">
                  <c:v>16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25</c:v>
                </c:pt>
                <c:pt idx="828">
                  <c:v>18</c:v>
                </c:pt>
                <c:pt idx="829">
                  <c:v>9</c:v>
                </c:pt>
                <c:pt idx="830">
                  <c:v>2</c:v>
                </c:pt>
                <c:pt idx="831">
                  <c:v>3</c:v>
                </c:pt>
                <c:pt idx="832">
                  <c:v>23</c:v>
                </c:pt>
                <c:pt idx="833">
                  <c:v>3</c:v>
                </c:pt>
                <c:pt idx="834">
                  <c:v>6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18</c:v>
                </c:pt>
                <c:pt idx="839">
                  <c:v>2</c:v>
                </c:pt>
                <c:pt idx="840">
                  <c:v>9</c:v>
                </c:pt>
                <c:pt idx="841">
                  <c:v>18</c:v>
                </c:pt>
                <c:pt idx="842">
                  <c:v>3</c:v>
                </c:pt>
                <c:pt idx="843">
                  <c:v>38</c:v>
                </c:pt>
                <c:pt idx="844">
                  <c:v>4</c:v>
                </c:pt>
                <c:pt idx="845">
                  <c:v>3</c:v>
                </c:pt>
                <c:pt idx="846">
                  <c:v>7</c:v>
                </c:pt>
                <c:pt idx="847">
                  <c:v>3</c:v>
                </c:pt>
                <c:pt idx="848">
                  <c:v>2</c:v>
                </c:pt>
                <c:pt idx="849">
                  <c:v>1</c:v>
                </c:pt>
                <c:pt idx="850">
                  <c:v>3</c:v>
                </c:pt>
                <c:pt idx="851">
                  <c:v>12</c:v>
                </c:pt>
                <c:pt idx="852">
                  <c:v>3</c:v>
                </c:pt>
                <c:pt idx="853">
                  <c:v>8</c:v>
                </c:pt>
                <c:pt idx="854">
                  <c:v>8</c:v>
                </c:pt>
                <c:pt idx="855">
                  <c:v>12</c:v>
                </c:pt>
                <c:pt idx="856">
                  <c:v>41</c:v>
                </c:pt>
                <c:pt idx="857">
                  <c:v>30</c:v>
                </c:pt>
                <c:pt idx="858">
                  <c:v>24</c:v>
                </c:pt>
                <c:pt idx="859">
                  <c:v>64</c:v>
                </c:pt>
                <c:pt idx="860">
                  <c:v>27</c:v>
                </c:pt>
                <c:pt idx="861">
                  <c:v>26</c:v>
                </c:pt>
                <c:pt idx="862">
                  <c:v>9</c:v>
                </c:pt>
                <c:pt idx="863">
                  <c:v>4</c:v>
                </c:pt>
                <c:pt idx="864">
                  <c:v>42</c:v>
                </c:pt>
                <c:pt idx="865">
                  <c:v>2</c:v>
                </c:pt>
                <c:pt idx="866">
                  <c:v>2</c:v>
                </c:pt>
                <c:pt idx="867">
                  <c:v>4</c:v>
                </c:pt>
                <c:pt idx="868">
                  <c:v>10</c:v>
                </c:pt>
                <c:pt idx="869">
                  <c:v>2</c:v>
                </c:pt>
                <c:pt idx="870">
                  <c:v>3</c:v>
                </c:pt>
                <c:pt idx="871">
                  <c:v>7</c:v>
                </c:pt>
                <c:pt idx="872">
                  <c:v>16</c:v>
                </c:pt>
                <c:pt idx="873">
                  <c:v>8</c:v>
                </c:pt>
                <c:pt idx="874">
                  <c:v>14</c:v>
                </c:pt>
                <c:pt idx="875">
                  <c:v>18</c:v>
                </c:pt>
                <c:pt idx="876">
                  <c:v>4</c:v>
                </c:pt>
                <c:pt idx="877">
                  <c:v>3</c:v>
                </c:pt>
                <c:pt idx="878">
                  <c:v>5</c:v>
                </c:pt>
                <c:pt idx="879">
                  <c:v>15</c:v>
                </c:pt>
                <c:pt idx="880">
                  <c:v>3</c:v>
                </c:pt>
                <c:pt idx="881">
                  <c:v>5</c:v>
                </c:pt>
                <c:pt idx="882">
                  <c:v>3</c:v>
                </c:pt>
                <c:pt idx="883">
                  <c:v>13</c:v>
                </c:pt>
                <c:pt idx="884">
                  <c:v>5</c:v>
                </c:pt>
                <c:pt idx="885">
                  <c:v>6</c:v>
                </c:pt>
                <c:pt idx="886">
                  <c:v>15</c:v>
                </c:pt>
                <c:pt idx="887">
                  <c:v>13</c:v>
                </c:pt>
                <c:pt idx="888">
                  <c:v>15</c:v>
                </c:pt>
                <c:pt idx="889">
                  <c:v>15</c:v>
                </c:pt>
                <c:pt idx="890">
                  <c:v>15</c:v>
                </c:pt>
                <c:pt idx="891">
                  <c:v>15</c:v>
                </c:pt>
                <c:pt idx="892">
                  <c:v>15</c:v>
                </c:pt>
                <c:pt idx="893">
                  <c:v>15</c:v>
                </c:pt>
                <c:pt idx="894">
                  <c:v>15</c:v>
                </c:pt>
                <c:pt idx="895">
                  <c:v>15</c:v>
                </c:pt>
                <c:pt idx="896">
                  <c:v>15</c:v>
                </c:pt>
                <c:pt idx="897">
                  <c:v>15</c:v>
                </c:pt>
                <c:pt idx="898">
                  <c:v>15</c:v>
                </c:pt>
                <c:pt idx="899">
                  <c:v>15</c:v>
                </c:pt>
                <c:pt idx="900">
                  <c:v>15</c:v>
                </c:pt>
                <c:pt idx="901">
                  <c:v>15</c:v>
                </c:pt>
                <c:pt idx="902">
                  <c:v>15</c:v>
                </c:pt>
                <c:pt idx="903">
                  <c:v>15</c:v>
                </c:pt>
                <c:pt idx="904">
                  <c:v>15</c:v>
                </c:pt>
                <c:pt idx="905">
                  <c:v>15</c:v>
                </c:pt>
                <c:pt idx="906">
                  <c:v>15</c:v>
                </c:pt>
                <c:pt idx="907">
                  <c:v>12</c:v>
                </c:pt>
                <c:pt idx="908">
                  <c:v>15</c:v>
                </c:pt>
                <c:pt idx="909">
                  <c:v>15</c:v>
                </c:pt>
                <c:pt idx="910">
                  <c:v>2</c:v>
                </c:pt>
                <c:pt idx="911">
                  <c:v>3</c:v>
                </c:pt>
                <c:pt idx="912">
                  <c:v>3</c:v>
                </c:pt>
                <c:pt idx="913">
                  <c:v>11</c:v>
                </c:pt>
                <c:pt idx="914">
                  <c:v>2</c:v>
                </c:pt>
                <c:pt idx="915">
                  <c:v>1</c:v>
                </c:pt>
                <c:pt idx="916">
                  <c:v>4</c:v>
                </c:pt>
                <c:pt idx="917">
                  <c:v>10</c:v>
                </c:pt>
                <c:pt idx="918">
                  <c:v>3</c:v>
                </c:pt>
                <c:pt idx="919">
                  <c:v>3</c:v>
                </c:pt>
                <c:pt idx="920">
                  <c:v>6</c:v>
                </c:pt>
                <c:pt idx="921">
                  <c:v>26</c:v>
                </c:pt>
                <c:pt idx="922">
                  <c:v>14</c:v>
                </c:pt>
                <c:pt idx="923">
                  <c:v>10</c:v>
                </c:pt>
                <c:pt idx="924">
                  <c:v>4</c:v>
                </c:pt>
                <c:pt idx="925">
                  <c:v>3</c:v>
                </c:pt>
                <c:pt idx="926">
                  <c:v>3</c:v>
                </c:pt>
                <c:pt idx="927">
                  <c:v>20</c:v>
                </c:pt>
                <c:pt idx="928">
                  <c:v>3</c:v>
                </c:pt>
                <c:pt idx="929">
                  <c:v>2</c:v>
                </c:pt>
                <c:pt idx="930">
                  <c:v>8</c:v>
                </c:pt>
                <c:pt idx="931">
                  <c:v>2</c:v>
                </c:pt>
                <c:pt idx="932">
                  <c:v>3</c:v>
                </c:pt>
                <c:pt idx="933">
                  <c:v>8</c:v>
                </c:pt>
                <c:pt idx="934">
                  <c:v>8</c:v>
                </c:pt>
                <c:pt idx="935">
                  <c:v>31</c:v>
                </c:pt>
                <c:pt idx="936">
                  <c:v>10</c:v>
                </c:pt>
                <c:pt idx="937">
                  <c:v>5</c:v>
                </c:pt>
                <c:pt idx="938">
                  <c:v>2</c:v>
                </c:pt>
                <c:pt idx="939">
                  <c:v>1</c:v>
                </c:pt>
                <c:pt idx="940">
                  <c:v>6</c:v>
                </c:pt>
                <c:pt idx="941">
                  <c:v>15</c:v>
                </c:pt>
                <c:pt idx="942">
                  <c:v>3</c:v>
                </c:pt>
                <c:pt idx="943">
                  <c:v>4</c:v>
                </c:pt>
                <c:pt idx="944">
                  <c:v>11</c:v>
                </c:pt>
                <c:pt idx="945">
                  <c:v>4</c:v>
                </c:pt>
                <c:pt idx="946">
                  <c:v>9</c:v>
                </c:pt>
                <c:pt idx="947">
                  <c:v>10</c:v>
                </c:pt>
                <c:pt idx="948">
                  <c:v>28</c:v>
                </c:pt>
                <c:pt idx="949">
                  <c:v>8</c:v>
                </c:pt>
                <c:pt idx="950">
                  <c:v>18</c:v>
                </c:pt>
                <c:pt idx="951">
                  <c:v>22</c:v>
                </c:pt>
                <c:pt idx="952">
                  <c:v>22</c:v>
                </c:pt>
                <c:pt idx="953">
                  <c:v>13</c:v>
                </c:pt>
                <c:pt idx="954">
                  <c:v>83</c:v>
                </c:pt>
                <c:pt idx="955">
                  <c:v>28</c:v>
                </c:pt>
                <c:pt idx="956">
                  <c:v>12</c:v>
                </c:pt>
                <c:pt idx="957">
                  <c:v>42</c:v>
                </c:pt>
                <c:pt idx="958">
                  <c:v>5</c:v>
                </c:pt>
                <c:pt idx="959">
                  <c:v>4</c:v>
                </c:pt>
                <c:pt idx="960">
                  <c:v>3</c:v>
                </c:pt>
                <c:pt idx="961">
                  <c:v>3</c:v>
                </c:pt>
                <c:pt idx="962">
                  <c:v>15</c:v>
                </c:pt>
                <c:pt idx="963">
                  <c:v>1</c:v>
                </c:pt>
                <c:pt idx="964">
                  <c:v>3</c:v>
                </c:pt>
                <c:pt idx="965">
                  <c:v>8</c:v>
                </c:pt>
                <c:pt idx="966">
                  <c:v>13</c:v>
                </c:pt>
                <c:pt idx="967">
                  <c:v>29</c:v>
                </c:pt>
                <c:pt idx="968">
                  <c:v>10</c:v>
                </c:pt>
                <c:pt idx="969">
                  <c:v>3</c:v>
                </c:pt>
                <c:pt idx="970">
                  <c:v>2</c:v>
                </c:pt>
                <c:pt idx="971">
                  <c:v>4</c:v>
                </c:pt>
                <c:pt idx="972">
                  <c:v>15</c:v>
                </c:pt>
                <c:pt idx="973">
                  <c:v>3</c:v>
                </c:pt>
                <c:pt idx="974">
                  <c:v>2</c:v>
                </c:pt>
                <c:pt idx="975">
                  <c:v>3</c:v>
                </c:pt>
                <c:pt idx="976">
                  <c:v>3</c:v>
                </c:pt>
                <c:pt idx="977">
                  <c:v>15</c:v>
                </c:pt>
                <c:pt idx="978">
                  <c:v>9</c:v>
                </c:pt>
                <c:pt idx="979">
                  <c:v>15</c:v>
                </c:pt>
                <c:pt idx="980">
                  <c:v>9</c:v>
                </c:pt>
                <c:pt idx="981">
                  <c:v>15</c:v>
                </c:pt>
                <c:pt idx="982">
                  <c:v>15</c:v>
                </c:pt>
                <c:pt idx="983">
                  <c:v>15</c:v>
                </c:pt>
                <c:pt idx="984">
                  <c:v>15</c:v>
                </c:pt>
                <c:pt idx="985">
                  <c:v>15</c:v>
                </c:pt>
                <c:pt idx="986">
                  <c:v>15</c:v>
                </c:pt>
                <c:pt idx="987">
                  <c:v>15</c:v>
                </c:pt>
                <c:pt idx="988">
                  <c:v>15</c:v>
                </c:pt>
                <c:pt idx="989">
                  <c:v>15</c:v>
                </c:pt>
                <c:pt idx="990">
                  <c:v>15</c:v>
                </c:pt>
                <c:pt idx="991">
                  <c:v>15</c:v>
                </c:pt>
                <c:pt idx="992">
                  <c:v>15</c:v>
                </c:pt>
                <c:pt idx="993">
                  <c:v>15</c:v>
                </c:pt>
                <c:pt idx="994">
                  <c:v>15</c:v>
                </c:pt>
                <c:pt idx="995">
                  <c:v>15</c:v>
                </c:pt>
                <c:pt idx="996">
                  <c:v>15</c:v>
                </c:pt>
                <c:pt idx="997">
                  <c:v>15</c:v>
                </c:pt>
                <c:pt idx="998">
                  <c:v>15</c:v>
                </c:pt>
                <c:pt idx="999">
                  <c:v>15</c:v>
                </c:pt>
                <c:pt idx="1000">
                  <c:v>15</c:v>
                </c:pt>
                <c:pt idx="1001">
                  <c:v>15</c:v>
                </c:pt>
                <c:pt idx="1002">
                  <c:v>15</c:v>
                </c:pt>
                <c:pt idx="1003">
                  <c:v>15</c:v>
                </c:pt>
                <c:pt idx="1004">
                  <c:v>4</c:v>
                </c:pt>
                <c:pt idx="1005">
                  <c:v>8</c:v>
                </c:pt>
                <c:pt idx="1006">
                  <c:v>4</c:v>
                </c:pt>
                <c:pt idx="1007">
                  <c:v>2</c:v>
                </c:pt>
                <c:pt idx="1008">
                  <c:v>3</c:v>
                </c:pt>
                <c:pt idx="1009">
                  <c:v>3</c:v>
                </c:pt>
                <c:pt idx="1010">
                  <c:v>3</c:v>
                </c:pt>
                <c:pt idx="1011">
                  <c:v>16</c:v>
                </c:pt>
                <c:pt idx="1012">
                  <c:v>2</c:v>
                </c:pt>
                <c:pt idx="1013">
                  <c:v>5</c:v>
                </c:pt>
                <c:pt idx="1014">
                  <c:v>11</c:v>
                </c:pt>
                <c:pt idx="1015">
                  <c:v>27</c:v>
                </c:pt>
                <c:pt idx="1016">
                  <c:v>10</c:v>
                </c:pt>
                <c:pt idx="1017">
                  <c:v>6</c:v>
                </c:pt>
                <c:pt idx="1018">
                  <c:v>3</c:v>
                </c:pt>
                <c:pt idx="1019">
                  <c:v>3</c:v>
                </c:pt>
                <c:pt idx="1020">
                  <c:v>6</c:v>
                </c:pt>
                <c:pt idx="1021">
                  <c:v>3</c:v>
                </c:pt>
                <c:pt idx="1022">
                  <c:v>24</c:v>
                </c:pt>
                <c:pt idx="1023">
                  <c:v>2</c:v>
                </c:pt>
                <c:pt idx="1024">
                  <c:v>4</c:v>
                </c:pt>
                <c:pt idx="1025">
                  <c:v>7</c:v>
                </c:pt>
                <c:pt idx="1026">
                  <c:v>23</c:v>
                </c:pt>
                <c:pt idx="1027">
                  <c:v>12</c:v>
                </c:pt>
                <c:pt idx="1028">
                  <c:v>9</c:v>
                </c:pt>
                <c:pt idx="1029">
                  <c:v>4</c:v>
                </c:pt>
                <c:pt idx="1030">
                  <c:v>4</c:v>
                </c:pt>
                <c:pt idx="1031">
                  <c:v>3</c:v>
                </c:pt>
                <c:pt idx="1032">
                  <c:v>3</c:v>
                </c:pt>
                <c:pt idx="1033">
                  <c:v>30</c:v>
                </c:pt>
                <c:pt idx="1034">
                  <c:v>3</c:v>
                </c:pt>
                <c:pt idx="1035">
                  <c:v>2</c:v>
                </c:pt>
                <c:pt idx="1036">
                  <c:v>14</c:v>
                </c:pt>
                <c:pt idx="1037">
                  <c:v>9</c:v>
                </c:pt>
                <c:pt idx="1038">
                  <c:v>14</c:v>
                </c:pt>
                <c:pt idx="1039">
                  <c:v>21</c:v>
                </c:pt>
                <c:pt idx="1040">
                  <c:v>21</c:v>
                </c:pt>
                <c:pt idx="1041">
                  <c:v>74</c:v>
                </c:pt>
                <c:pt idx="1042">
                  <c:v>21</c:v>
                </c:pt>
                <c:pt idx="1043">
                  <c:v>18</c:v>
                </c:pt>
                <c:pt idx="1044">
                  <c:v>28</c:v>
                </c:pt>
                <c:pt idx="1045">
                  <c:v>64</c:v>
                </c:pt>
                <c:pt idx="1046">
                  <c:v>14</c:v>
                </c:pt>
                <c:pt idx="1047">
                  <c:v>3</c:v>
                </c:pt>
                <c:pt idx="1048">
                  <c:v>4</c:v>
                </c:pt>
                <c:pt idx="1049">
                  <c:v>13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13</c:v>
                </c:pt>
                <c:pt idx="1054">
                  <c:v>5</c:v>
                </c:pt>
                <c:pt idx="1055">
                  <c:v>11</c:v>
                </c:pt>
                <c:pt idx="1056">
                  <c:v>11</c:v>
                </c:pt>
                <c:pt idx="1057">
                  <c:v>31</c:v>
                </c:pt>
                <c:pt idx="1058">
                  <c:v>5</c:v>
                </c:pt>
                <c:pt idx="1059">
                  <c:v>3</c:v>
                </c:pt>
                <c:pt idx="1060">
                  <c:v>2</c:v>
                </c:pt>
                <c:pt idx="1061">
                  <c:v>5</c:v>
                </c:pt>
                <c:pt idx="1062">
                  <c:v>15</c:v>
                </c:pt>
                <c:pt idx="1063">
                  <c:v>4</c:v>
                </c:pt>
                <c:pt idx="1064">
                  <c:v>4</c:v>
                </c:pt>
                <c:pt idx="1065">
                  <c:v>2</c:v>
                </c:pt>
                <c:pt idx="1066">
                  <c:v>13</c:v>
                </c:pt>
                <c:pt idx="1067">
                  <c:v>10</c:v>
                </c:pt>
                <c:pt idx="1068">
                  <c:v>6</c:v>
                </c:pt>
                <c:pt idx="1069">
                  <c:v>15</c:v>
                </c:pt>
                <c:pt idx="1070">
                  <c:v>12</c:v>
                </c:pt>
                <c:pt idx="1071">
                  <c:v>15</c:v>
                </c:pt>
                <c:pt idx="1072">
                  <c:v>15</c:v>
                </c:pt>
                <c:pt idx="1073">
                  <c:v>15</c:v>
                </c:pt>
                <c:pt idx="1074">
                  <c:v>15</c:v>
                </c:pt>
                <c:pt idx="1075">
                  <c:v>15</c:v>
                </c:pt>
                <c:pt idx="1076">
                  <c:v>15</c:v>
                </c:pt>
                <c:pt idx="1077">
                  <c:v>15</c:v>
                </c:pt>
                <c:pt idx="1078">
                  <c:v>15</c:v>
                </c:pt>
                <c:pt idx="1079">
                  <c:v>15</c:v>
                </c:pt>
                <c:pt idx="1080">
                  <c:v>15</c:v>
                </c:pt>
                <c:pt idx="1081">
                  <c:v>15</c:v>
                </c:pt>
                <c:pt idx="1082">
                  <c:v>15</c:v>
                </c:pt>
                <c:pt idx="1083">
                  <c:v>15</c:v>
                </c:pt>
                <c:pt idx="1084">
                  <c:v>15</c:v>
                </c:pt>
                <c:pt idx="1085">
                  <c:v>15</c:v>
                </c:pt>
                <c:pt idx="1086">
                  <c:v>15</c:v>
                </c:pt>
                <c:pt idx="1087">
                  <c:v>12</c:v>
                </c:pt>
                <c:pt idx="1088">
                  <c:v>15</c:v>
                </c:pt>
                <c:pt idx="1089">
                  <c:v>15</c:v>
                </c:pt>
                <c:pt idx="1090">
                  <c:v>15</c:v>
                </c:pt>
                <c:pt idx="1091">
                  <c:v>15</c:v>
                </c:pt>
                <c:pt idx="1092">
                  <c:v>15</c:v>
                </c:pt>
                <c:pt idx="1093">
                  <c:v>5</c:v>
                </c:pt>
                <c:pt idx="1094">
                  <c:v>3</c:v>
                </c:pt>
                <c:pt idx="1095">
                  <c:v>12</c:v>
                </c:pt>
                <c:pt idx="1096">
                  <c:v>3</c:v>
                </c:pt>
                <c:pt idx="1097">
                  <c:v>4</c:v>
                </c:pt>
                <c:pt idx="1098">
                  <c:v>2</c:v>
                </c:pt>
                <c:pt idx="1099">
                  <c:v>1</c:v>
                </c:pt>
                <c:pt idx="1100">
                  <c:v>3</c:v>
                </c:pt>
                <c:pt idx="1101">
                  <c:v>15</c:v>
                </c:pt>
                <c:pt idx="1102">
                  <c:v>9</c:v>
                </c:pt>
                <c:pt idx="1103">
                  <c:v>11</c:v>
                </c:pt>
                <c:pt idx="1104">
                  <c:v>8</c:v>
                </c:pt>
                <c:pt idx="1105">
                  <c:v>33</c:v>
                </c:pt>
                <c:pt idx="1106">
                  <c:v>7</c:v>
                </c:pt>
                <c:pt idx="1107">
                  <c:v>5</c:v>
                </c:pt>
                <c:pt idx="1108">
                  <c:v>11</c:v>
                </c:pt>
                <c:pt idx="1109">
                  <c:v>3</c:v>
                </c:pt>
                <c:pt idx="1110">
                  <c:v>4</c:v>
                </c:pt>
                <c:pt idx="1111">
                  <c:v>4</c:v>
                </c:pt>
                <c:pt idx="1112">
                  <c:v>6</c:v>
                </c:pt>
                <c:pt idx="1113">
                  <c:v>6</c:v>
                </c:pt>
                <c:pt idx="1114">
                  <c:v>25</c:v>
                </c:pt>
                <c:pt idx="1115">
                  <c:v>13</c:v>
                </c:pt>
                <c:pt idx="1116">
                  <c:v>5</c:v>
                </c:pt>
                <c:pt idx="1117">
                  <c:v>3</c:v>
                </c:pt>
                <c:pt idx="1118">
                  <c:v>3</c:v>
                </c:pt>
                <c:pt idx="1119">
                  <c:v>27</c:v>
                </c:pt>
                <c:pt idx="1120">
                  <c:v>4</c:v>
                </c:pt>
                <c:pt idx="1121">
                  <c:v>4</c:v>
                </c:pt>
                <c:pt idx="1122">
                  <c:v>2</c:v>
                </c:pt>
                <c:pt idx="1123">
                  <c:v>3</c:v>
                </c:pt>
                <c:pt idx="1124">
                  <c:v>2</c:v>
                </c:pt>
                <c:pt idx="1125">
                  <c:v>18</c:v>
                </c:pt>
                <c:pt idx="1126">
                  <c:v>10</c:v>
                </c:pt>
                <c:pt idx="1127">
                  <c:v>11</c:v>
                </c:pt>
                <c:pt idx="1128">
                  <c:v>23</c:v>
                </c:pt>
                <c:pt idx="1129">
                  <c:v>47</c:v>
                </c:pt>
                <c:pt idx="1130">
                  <c:v>14</c:v>
                </c:pt>
                <c:pt idx="1131">
                  <c:v>22</c:v>
                </c:pt>
                <c:pt idx="1132">
                  <c:v>28</c:v>
                </c:pt>
                <c:pt idx="1133">
                  <c:v>67</c:v>
                </c:pt>
                <c:pt idx="1134">
                  <c:v>20</c:v>
                </c:pt>
                <c:pt idx="1135">
                  <c:v>13</c:v>
                </c:pt>
                <c:pt idx="1136">
                  <c:v>23</c:v>
                </c:pt>
                <c:pt idx="1137">
                  <c:v>3</c:v>
                </c:pt>
                <c:pt idx="1138">
                  <c:v>2</c:v>
                </c:pt>
                <c:pt idx="1139">
                  <c:v>4</c:v>
                </c:pt>
                <c:pt idx="1140">
                  <c:v>12</c:v>
                </c:pt>
                <c:pt idx="1141">
                  <c:v>4</c:v>
                </c:pt>
                <c:pt idx="1142">
                  <c:v>3</c:v>
                </c:pt>
                <c:pt idx="1143">
                  <c:v>7</c:v>
                </c:pt>
                <c:pt idx="1144">
                  <c:v>5</c:v>
                </c:pt>
                <c:pt idx="1145">
                  <c:v>9</c:v>
                </c:pt>
                <c:pt idx="1146">
                  <c:v>22</c:v>
                </c:pt>
                <c:pt idx="1147">
                  <c:v>14</c:v>
                </c:pt>
                <c:pt idx="1148">
                  <c:v>3</c:v>
                </c:pt>
                <c:pt idx="1149">
                  <c:v>3</c:v>
                </c:pt>
                <c:pt idx="1150">
                  <c:v>14</c:v>
                </c:pt>
                <c:pt idx="1151">
                  <c:v>3</c:v>
                </c:pt>
                <c:pt idx="1152">
                  <c:v>3</c:v>
                </c:pt>
                <c:pt idx="1153">
                  <c:v>1</c:v>
                </c:pt>
                <c:pt idx="1154">
                  <c:v>2</c:v>
                </c:pt>
                <c:pt idx="1155">
                  <c:v>3</c:v>
                </c:pt>
                <c:pt idx="1156">
                  <c:v>13</c:v>
                </c:pt>
                <c:pt idx="1157">
                  <c:v>3</c:v>
                </c:pt>
                <c:pt idx="1158">
                  <c:v>4</c:v>
                </c:pt>
                <c:pt idx="1159">
                  <c:v>15</c:v>
                </c:pt>
                <c:pt idx="1160">
                  <c:v>7</c:v>
                </c:pt>
                <c:pt idx="1161">
                  <c:v>10</c:v>
                </c:pt>
                <c:pt idx="1162">
                  <c:v>15</c:v>
                </c:pt>
                <c:pt idx="1163">
                  <c:v>11</c:v>
                </c:pt>
                <c:pt idx="1164">
                  <c:v>15</c:v>
                </c:pt>
                <c:pt idx="1165">
                  <c:v>15</c:v>
                </c:pt>
                <c:pt idx="1166">
                  <c:v>15</c:v>
                </c:pt>
                <c:pt idx="1167">
                  <c:v>15</c:v>
                </c:pt>
                <c:pt idx="1168">
                  <c:v>15</c:v>
                </c:pt>
                <c:pt idx="1169">
                  <c:v>15</c:v>
                </c:pt>
                <c:pt idx="1170">
                  <c:v>15</c:v>
                </c:pt>
                <c:pt idx="1171">
                  <c:v>15</c:v>
                </c:pt>
                <c:pt idx="1172">
                  <c:v>15</c:v>
                </c:pt>
                <c:pt idx="1173">
                  <c:v>15</c:v>
                </c:pt>
                <c:pt idx="1174">
                  <c:v>15</c:v>
                </c:pt>
                <c:pt idx="1175">
                  <c:v>15</c:v>
                </c:pt>
                <c:pt idx="1176">
                  <c:v>15</c:v>
                </c:pt>
                <c:pt idx="1177">
                  <c:v>15</c:v>
                </c:pt>
                <c:pt idx="1178">
                  <c:v>15</c:v>
                </c:pt>
                <c:pt idx="1179">
                  <c:v>15</c:v>
                </c:pt>
                <c:pt idx="1180">
                  <c:v>15</c:v>
                </c:pt>
                <c:pt idx="1181">
                  <c:v>15</c:v>
                </c:pt>
                <c:pt idx="1182">
                  <c:v>15</c:v>
                </c:pt>
                <c:pt idx="1183">
                  <c:v>15</c:v>
                </c:pt>
                <c:pt idx="1184">
                  <c:v>15</c:v>
                </c:pt>
                <c:pt idx="1185">
                  <c:v>15</c:v>
                </c:pt>
                <c:pt idx="1186">
                  <c:v>5</c:v>
                </c:pt>
                <c:pt idx="1187">
                  <c:v>1</c:v>
                </c:pt>
                <c:pt idx="1188">
                  <c:v>2</c:v>
                </c:pt>
                <c:pt idx="1189">
                  <c:v>1</c:v>
                </c:pt>
                <c:pt idx="1190">
                  <c:v>12</c:v>
                </c:pt>
                <c:pt idx="1191">
                  <c:v>4</c:v>
                </c:pt>
                <c:pt idx="1192">
                  <c:v>3</c:v>
                </c:pt>
                <c:pt idx="1193">
                  <c:v>3</c:v>
                </c:pt>
                <c:pt idx="1194">
                  <c:v>6</c:v>
                </c:pt>
                <c:pt idx="1195">
                  <c:v>20</c:v>
                </c:pt>
                <c:pt idx="1196">
                  <c:v>8</c:v>
                </c:pt>
                <c:pt idx="1197">
                  <c:v>11</c:v>
                </c:pt>
                <c:pt idx="1198">
                  <c:v>8</c:v>
                </c:pt>
                <c:pt idx="1199">
                  <c:v>24</c:v>
                </c:pt>
                <c:pt idx="1200">
                  <c:v>2</c:v>
                </c:pt>
                <c:pt idx="1201">
                  <c:v>6</c:v>
                </c:pt>
                <c:pt idx="1202">
                  <c:v>2</c:v>
                </c:pt>
                <c:pt idx="1203">
                  <c:v>11</c:v>
                </c:pt>
                <c:pt idx="1204">
                  <c:v>1</c:v>
                </c:pt>
                <c:pt idx="1205">
                  <c:v>3</c:v>
                </c:pt>
                <c:pt idx="1206">
                  <c:v>2</c:v>
                </c:pt>
                <c:pt idx="1207">
                  <c:v>3</c:v>
                </c:pt>
                <c:pt idx="1208">
                  <c:v>12</c:v>
                </c:pt>
                <c:pt idx="1209">
                  <c:v>10</c:v>
                </c:pt>
                <c:pt idx="1210">
                  <c:v>10</c:v>
                </c:pt>
                <c:pt idx="1211">
                  <c:v>8</c:v>
                </c:pt>
                <c:pt idx="1212">
                  <c:v>30</c:v>
                </c:pt>
                <c:pt idx="1213">
                  <c:v>3</c:v>
                </c:pt>
                <c:pt idx="1214">
                  <c:v>4</c:v>
                </c:pt>
                <c:pt idx="1215">
                  <c:v>3</c:v>
                </c:pt>
                <c:pt idx="1216">
                  <c:v>3</c:v>
                </c:pt>
                <c:pt idx="1217">
                  <c:v>18</c:v>
                </c:pt>
                <c:pt idx="1218">
                  <c:v>4</c:v>
                </c:pt>
                <c:pt idx="1219">
                  <c:v>3</c:v>
                </c:pt>
                <c:pt idx="1220">
                  <c:v>2</c:v>
                </c:pt>
                <c:pt idx="1221">
                  <c:v>12</c:v>
                </c:pt>
                <c:pt idx="1222">
                  <c:v>23</c:v>
                </c:pt>
                <c:pt idx="1223">
                  <c:v>13</c:v>
                </c:pt>
                <c:pt idx="1224">
                  <c:v>23</c:v>
                </c:pt>
                <c:pt idx="1225">
                  <c:v>33</c:v>
                </c:pt>
                <c:pt idx="1226">
                  <c:v>19</c:v>
                </c:pt>
                <c:pt idx="1227">
                  <c:v>97</c:v>
                </c:pt>
                <c:pt idx="1228">
                  <c:v>21</c:v>
                </c:pt>
                <c:pt idx="1229">
                  <c:v>20</c:v>
                </c:pt>
                <c:pt idx="1230">
                  <c:v>4</c:v>
                </c:pt>
                <c:pt idx="1231">
                  <c:v>40</c:v>
                </c:pt>
                <c:pt idx="1232">
                  <c:v>4</c:v>
                </c:pt>
                <c:pt idx="1233">
                  <c:v>2</c:v>
                </c:pt>
                <c:pt idx="1234">
                  <c:v>3</c:v>
                </c:pt>
                <c:pt idx="1235">
                  <c:v>11</c:v>
                </c:pt>
                <c:pt idx="1236">
                  <c:v>3</c:v>
                </c:pt>
                <c:pt idx="1237">
                  <c:v>3</c:v>
                </c:pt>
                <c:pt idx="1238">
                  <c:v>5</c:v>
                </c:pt>
                <c:pt idx="1239">
                  <c:v>12</c:v>
                </c:pt>
                <c:pt idx="1240">
                  <c:v>32</c:v>
                </c:pt>
                <c:pt idx="1241">
                  <c:v>9</c:v>
                </c:pt>
                <c:pt idx="1242">
                  <c:v>6</c:v>
                </c:pt>
                <c:pt idx="1243">
                  <c:v>3</c:v>
                </c:pt>
                <c:pt idx="1244">
                  <c:v>15</c:v>
                </c:pt>
                <c:pt idx="1245">
                  <c:v>3</c:v>
                </c:pt>
                <c:pt idx="1246">
                  <c:v>3</c:v>
                </c:pt>
                <c:pt idx="1247">
                  <c:v>4</c:v>
                </c:pt>
                <c:pt idx="1248">
                  <c:v>10</c:v>
                </c:pt>
                <c:pt idx="1249">
                  <c:v>5</c:v>
                </c:pt>
                <c:pt idx="1250">
                  <c:v>3</c:v>
                </c:pt>
                <c:pt idx="1251">
                  <c:v>9</c:v>
                </c:pt>
                <c:pt idx="1252">
                  <c:v>13</c:v>
                </c:pt>
                <c:pt idx="1253">
                  <c:v>15</c:v>
                </c:pt>
                <c:pt idx="1254">
                  <c:v>12</c:v>
                </c:pt>
                <c:pt idx="1255">
                  <c:v>15</c:v>
                </c:pt>
                <c:pt idx="1256">
                  <c:v>15</c:v>
                </c:pt>
                <c:pt idx="1257">
                  <c:v>15</c:v>
                </c:pt>
                <c:pt idx="1258">
                  <c:v>15</c:v>
                </c:pt>
                <c:pt idx="1259">
                  <c:v>15</c:v>
                </c:pt>
                <c:pt idx="1260">
                  <c:v>15</c:v>
                </c:pt>
                <c:pt idx="1261">
                  <c:v>15</c:v>
                </c:pt>
                <c:pt idx="1262">
                  <c:v>15</c:v>
                </c:pt>
                <c:pt idx="1263">
                  <c:v>15</c:v>
                </c:pt>
                <c:pt idx="1264">
                  <c:v>15</c:v>
                </c:pt>
                <c:pt idx="1265">
                  <c:v>15</c:v>
                </c:pt>
                <c:pt idx="1266">
                  <c:v>15</c:v>
                </c:pt>
                <c:pt idx="1267">
                  <c:v>15</c:v>
                </c:pt>
                <c:pt idx="1268">
                  <c:v>15</c:v>
                </c:pt>
                <c:pt idx="1269">
                  <c:v>15</c:v>
                </c:pt>
                <c:pt idx="1270">
                  <c:v>15</c:v>
                </c:pt>
                <c:pt idx="1271">
                  <c:v>15</c:v>
                </c:pt>
                <c:pt idx="1272">
                  <c:v>15</c:v>
                </c:pt>
                <c:pt idx="1273">
                  <c:v>15</c:v>
                </c:pt>
                <c:pt idx="1274">
                  <c:v>15</c:v>
                </c:pt>
                <c:pt idx="1275">
                  <c:v>15</c:v>
                </c:pt>
                <c:pt idx="1276">
                  <c:v>15</c:v>
                </c:pt>
                <c:pt idx="1277">
                  <c:v>15</c:v>
                </c:pt>
                <c:pt idx="1278">
                  <c:v>2</c:v>
                </c:pt>
                <c:pt idx="1279">
                  <c:v>3</c:v>
                </c:pt>
                <c:pt idx="1280">
                  <c:v>3</c:v>
                </c:pt>
                <c:pt idx="1281">
                  <c:v>12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12</c:v>
                </c:pt>
                <c:pt idx="1286">
                  <c:v>2</c:v>
                </c:pt>
                <c:pt idx="1287">
                  <c:v>2</c:v>
                </c:pt>
                <c:pt idx="1288">
                  <c:v>18</c:v>
                </c:pt>
                <c:pt idx="1289">
                  <c:v>6</c:v>
                </c:pt>
                <c:pt idx="1290">
                  <c:v>36</c:v>
                </c:pt>
                <c:pt idx="1291">
                  <c:v>9</c:v>
                </c:pt>
                <c:pt idx="1292">
                  <c:v>2</c:v>
                </c:pt>
                <c:pt idx="1293">
                  <c:v>3</c:v>
                </c:pt>
                <c:pt idx="1294">
                  <c:v>11</c:v>
                </c:pt>
                <c:pt idx="1295">
                  <c:v>4</c:v>
                </c:pt>
                <c:pt idx="1296">
                  <c:v>3</c:v>
                </c:pt>
                <c:pt idx="1297">
                  <c:v>3</c:v>
                </c:pt>
                <c:pt idx="1298">
                  <c:v>2</c:v>
                </c:pt>
                <c:pt idx="1299">
                  <c:v>7</c:v>
                </c:pt>
                <c:pt idx="1300">
                  <c:v>12</c:v>
                </c:pt>
                <c:pt idx="1301">
                  <c:v>34</c:v>
                </c:pt>
                <c:pt idx="1302">
                  <c:v>10</c:v>
                </c:pt>
                <c:pt idx="1303">
                  <c:v>5</c:v>
                </c:pt>
                <c:pt idx="1304">
                  <c:v>14</c:v>
                </c:pt>
                <c:pt idx="1305">
                  <c:v>5</c:v>
                </c:pt>
                <c:pt idx="1306">
                  <c:v>2</c:v>
                </c:pt>
                <c:pt idx="1307">
                  <c:v>11</c:v>
                </c:pt>
                <c:pt idx="1308">
                  <c:v>4</c:v>
                </c:pt>
                <c:pt idx="1309">
                  <c:v>2</c:v>
                </c:pt>
                <c:pt idx="1310">
                  <c:v>6</c:v>
                </c:pt>
                <c:pt idx="1311">
                  <c:v>9</c:v>
                </c:pt>
                <c:pt idx="1312">
                  <c:v>21</c:v>
                </c:pt>
                <c:pt idx="1313">
                  <c:v>5</c:v>
                </c:pt>
                <c:pt idx="1314">
                  <c:v>22</c:v>
                </c:pt>
                <c:pt idx="1315">
                  <c:v>20</c:v>
                </c:pt>
                <c:pt idx="1316">
                  <c:v>60</c:v>
                </c:pt>
                <c:pt idx="1317">
                  <c:v>20</c:v>
                </c:pt>
                <c:pt idx="1318">
                  <c:v>26</c:v>
                </c:pt>
                <c:pt idx="1319">
                  <c:v>25</c:v>
                </c:pt>
                <c:pt idx="1320">
                  <c:v>69</c:v>
                </c:pt>
                <c:pt idx="1321">
                  <c:v>16</c:v>
                </c:pt>
                <c:pt idx="1322">
                  <c:v>4</c:v>
                </c:pt>
                <c:pt idx="1323">
                  <c:v>2</c:v>
                </c:pt>
                <c:pt idx="1324">
                  <c:v>3</c:v>
                </c:pt>
                <c:pt idx="1325">
                  <c:v>19</c:v>
                </c:pt>
                <c:pt idx="1326">
                  <c:v>3</c:v>
                </c:pt>
                <c:pt idx="1327">
                  <c:v>2</c:v>
                </c:pt>
                <c:pt idx="1328">
                  <c:v>2</c:v>
                </c:pt>
                <c:pt idx="1329">
                  <c:v>3</c:v>
                </c:pt>
                <c:pt idx="1330">
                  <c:v>7</c:v>
                </c:pt>
                <c:pt idx="1331">
                  <c:v>19</c:v>
                </c:pt>
                <c:pt idx="1332">
                  <c:v>11</c:v>
                </c:pt>
                <c:pt idx="1333">
                  <c:v>8</c:v>
                </c:pt>
                <c:pt idx="1334">
                  <c:v>20</c:v>
                </c:pt>
                <c:pt idx="1335">
                  <c:v>6</c:v>
                </c:pt>
                <c:pt idx="1336">
                  <c:v>4</c:v>
                </c:pt>
                <c:pt idx="1337">
                  <c:v>4</c:v>
                </c:pt>
                <c:pt idx="1338">
                  <c:v>15</c:v>
                </c:pt>
                <c:pt idx="1339">
                  <c:v>5</c:v>
                </c:pt>
                <c:pt idx="1340">
                  <c:v>3</c:v>
                </c:pt>
                <c:pt idx="1341">
                  <c:v>1</c:v>
                </c:pt>
                <c:pt idx="1342">
                  <c:v>2</c:v>
                </c:pt>
                <c:pt idx="1343">
                  <c:v>13</c:v>
                </c:pt>
                <c:pt idx="1344">
                  <c:v>9</c:v>
                </c:pt>
                <c:pt idx="1345">
                  <c:v>15</c:v>
                </c:pt>
                <c:pt idx="1346">
                  <c:v>11</c:v>
                </c:pt>
                <c:pt idx="1347">
                  <c:v>8</c:v>
                </c:pt>
                <c:pt idx="1348">
                  <c:v>15</c:v>
                </c:pt>
                <c:pt idx="1349">
                  <c:v>15</c:v>
                </c:pt>
                <c:pt idx="1350">
                  <c:v>15</c:v>
                </c:pt>
                <c:pt idx="1351">
                  <c:v>15</c:v>
                </c:pt>
                <c:pt idx="1352">
                  <c:v>15</c:v>
                </c:pt>
                <c:pt idx="1353">
                  <c:v>15</c:v>
                </c:pt>
                <c:pt idx="1354">
                  <c:v>15</c:v>
                </c:pt>
                <c:pt idx="1355">
                  <c:v>15</c:v>
                </c:pt>
                <c:pt idx="1356">
                  <c:v>15</c:v>
                </c:pt>
                <c:pt idx="1357">
                  <c:v>15</c:v>
                </c:pt>
                <c:pt idx="1358">
                  <c:v>15</c:v>
                </c:pt>
                <c:pt idx="1359">
                  <c:v>15</c:v>
                </c:pt>
                <c:pt idx="1360">
                  <c:v>15</c:v>
                </c:pt>
                <c:pt idx="1361">
                  <c:v>15</c:v>
                </c:pt>
                <c:pt idx="1362">
                  <c:v>15</c:v>
                </c:pt>
                <c:pt idx="1363">
                  <c:v>15</c:v>
                </c:pt>
                <c:pt idx="1364">
                  <c:v>15</c:v>
                </c:pt>
                <c:pt idx="1365">
                  <c:v>15</c:v>
                </c:pt>
                <c:pt idx="1366">
                  <c:v>15</c:v>
                </c:pt>
                <c:pt idx="1367">
                  <c:v>15</c:v>
                </c:pt>
                <c:pt idx="1368">
                  <c:v>12</c:v>
                </c:pt>
                <c:pt idx="1369">
                  <c:v>15</c:v>
                </c:pt>
                <c:pt idx="1370">
                  <c:v>4</c:v>
                </c:pt>
                <c:pt idx="1371">
                  <c:v>4</c:v>
                </c:pt>
                <c:pt idx="1372">
                  <c:v>3</c:v>
                </c:pt>
                <c:pt idx="1373">
                  <c:v>13</c:v>
                </c:pt>
                <c:pt idx="1374">
                  <c:v>4</c:v>
                </c:pt>
                <c:pt idx="1375">
                  <c:v>6</c:v>
                </c:pt>
                <c:pt idx="1376">
                  <c:v>2</c:v>
                </c:pt>
                <c:pt idx="1377">
                  <c:v>16</c:v>
                </c:pt>
                <c:pt idx="1378">
                  <c:v>13</c:v>
                </c:pt>
                <c:pt idx="1379">
                  <c:v>11</c:v>
                </c:pt>
                <c:pt idx="1380">
                  <c:v>7</c:v>
                </c:pt>
                <c:pt idx="1381">
                  <c:v>3</c:v>
                </c:pt>
                <c:pt idx="1382">
                  <c:v>3</c:v>
                </c:pt>
                <c:pt idx="1383">
                  <c:v>40</c:v>
                </c:pt>
                <c:pt idx="1384">
                  <c:v>4</c:v>
                </c:pt>
                <c:pt idx="1385">
                  <c:v>4</c:v>
                </c:pt>
                <c:pt idx="1386">
                  <c:v>10</c:v>
                </c:pt>
                <c:pt idx="1387">
                  <c:v>4</c:v>
                </c:pt>
                <c:pt idx="1388">
                  <c:v>4</c:v>
                </c:pt>
                <c:pt idx="1389">
                  <c:v>14</c:v>
                </c:pt>
                <c:pt idx="1390">
                  <c:v>10</c:v>
                </c:pt>
                <c:pt idx="1391">
                  <c:v>35</c:v>
                </c:pt>
                <c:pt idx="1392">
                  <c:v>5</c:v>
                </c:pt>
                <c:pt idx="1393">
                  <c:v>4</c:v>
                </c:pt>
                <c:pt idx="1394">
                  <c:v>4</c:v>
                </c:pt>
                <c:pt idx="1395">
                  <c:v>14</c:v>
                </c:pt>
                <c:pt idx="1396">
                  <c:v>3</c:v>
                </c:pt>
                <c:pt idx="1397">
                  <c:v>2</c:v>
                </c:pt>
                <c:pt idx="1398">
                  <c:v>3</c:v>
                </c:pt>
                <c:pt idx="1399">
                  <c:v>8</c:v>
                </c:pt>
                <c:pt idx="1400">
                  <c:v>2</c:v>
                </c:pt>
                <c:pt idx="1401">
                  <c:v>4</c:v>
                </c:pt>
                <c:pt idx="1402">
                  <c:v>15</c:v>
                </c:pt>
                <c:pt idx="1403">
                  <c:v>28</c:v>
                </c:pt>
                <c:pt idx="1404">
                  <c:v>14</c:v>
                </c:pt>
                <c:pt idx="1405">
                  <c:v>22</c:v>
                </c:pt>
                <c:pt idx="1406">
                  <c:v>39</c:v>
                </c:pt>
                <c:pt idx="1407">
                  <c:v>21</c:v>
                </c:pt>
                <c:pt idx="1408">
                  <c:v>33</c:v>
                </c:pt>
                <c:pt idx="1409">
                  <c:v>23</c:v>
                </c:pt>
                <c:pt idx="1410">
                  <c:v>66</c:v>
                </c:pt>
                <c:pt idx="1411">
                  <c:v>10</c:v>
                </c:pt>
                <c:pt idx="1412">
                  <c:v>2</c:v>
                </c:pt>
                <c:pt idx="1413">
                  <c:v>14</c:v>
                </c:pt>
                <c:pt idx="1414">
                  <c:v>3</c:v>
                </c:pt>
                <c:pt idx="1415">
                  <c:v>4</c:v>
                </c:pt>
                <c:pt idx="1416">
                  <c:v>5</c:v>
                </c:pt>
                <c:pt idx="1417">
                  <c:v>3</c:v>
                </c:pt>
                <c:pt idx="1418">
                  <c:v>17</c:v>
                </c:pt>
                <c:pt idx="1419">
                  <c:v>3</c:v>
                </c:pt>
                <c:pt idx="1420">
                  <c:v>7</c:v>
                </c:pt>
                <c:pt idx="1421">
                  <c:v>13</c:v>
                </c:pt>
                <c:pt idx="1422">
                  <c:v>24</c:v>
                </c:pt>
                <c:pt idx="1423">
                  <c:v>9</c:v>
                </c:pt>
                <c:pt idx="1424">
                  <c:v>2</c:v>
                </c:pt>
                <c:pt idx="1425">
                  <c:v>2</c:v>
                </c:pt>
                <c:pt idx="1426">
                  <c:v>15</c:v>
                </c:pt>
                <c:pt idx="1427">
                  <c:v>2</c:v>
                </c:pt>
                <c:pt idx="1428">
                  <c:v>3</c:v>
                </c:pt>
                <c:pt idx="1429">
                  <c:v>3</c:v>
                </c:pt>
                <c:pt idx="1430">
                  <c:v>11</c:v>
                </c:pt>
                <c:pt idx="1431">
                  <c:v>2</c:v>
                </c:pt>
                <c:pt idx="1432">
                  <c:v>5</c:v>
                </c:pt>
                <c:pt idx="1433">
                  <c:v>1</c:v>
                </c:pt>
                <c:pt idx="1434">
                  <c:v>15</c:v>
                </c:pt>
                <c:pt idx="1435">
                  <c:v>8</c:v>
                </c:pt>
                <c:pt idx="1436">
                  <c:v>14</c:v>
                </c:pt>
                <c:pt idx="1437">
                  <c:v>15</c:v>
                </c:pt>
                <c:pt idx="1438">
                  <c:v>15</c:v>
                </c:pt>
                <c:pt idx="1439">
                  <c:v>15</c:v>
                </c:pt>
                <c:pt idx="1440">
                  <c:v>15</c:v>
                </c:pt>
                <c:pt idx="1441">
                  <c:v>15</c:v>
                </c:pt>
                <c:pt idx="1442">
                  <c:v>15</c:v>
                </c:pt>
                <c:pt idx="1443">
                  <c:v>15</c:v>
                </c:pt>
                <c:pt idx="1444">
                  <c:v>15</c:v>
                </c:pt>
                <c:pt idx="1445">
                  <c:v>15</c:v>
                </c:pt>
                <c:pt idx="1446">
                  <c:v>15</c:v>
                </c:pt>
                <c:pt idx="1447">
                  <c:v>12</c:v>
                </c:pt>
                <c:pt idx="1448">
                  <c:v>15</c:v>
                </c:pt>
                <c:pt idx="1449">
                  <c:v>15</c:v>
                </c:pt>
                <c:pt idx="1450">
                  <c:v>13</c:v>
                </c:pt>
                <c:pt idx="1451">
                  <c:v>15</c:v>
                </c:pt>
                <c:pt idx="1452">
                  <c:v>15</c:v>
                </c:pt>
                <c:pt idx="1453">
                  <c:v>15</c:v>
                </c:pt>
                <c:pt idx="1454">
                  <c:v>15</c:v>
                </c:pt>
                <c:pt idx="1455">
                  <c:v>15</c:v>
                </c:pt>
                <c:pt idx="1456">
                  <c:v>15</c:v>
                </c:pt>
                <c:pt idx="1457">
                  <c:v>15</c:v>
                </c:pt>
                <c:pt idx="1458">
                  <c:v>15</c:v>
                </c:pt>
                <c:pt idx="1459">
                  <c:v>15</c:v>
                </c:pt>
                <c:pt idx="1460">
                  <c:v>4</c:v>
                </c:pt>
                <c:pt idx="1461">
                  <c:v>4</c:v>
                </c:pt>
                <c:pt idx="1462">
                  <c:v>12</c:v>
                </c:pt>
                <c:pt idx="1463">
                  <c:v>4</c:v>
                </c:pt>
                <c:pt idx="1464">
                  <c:v>2</c:v>
                </c:pt>
                <c:pt idx="1465">
                  <c:v>3</c:v>
                </c:pt>
                <c:pt idx="1466">
                  <c:v>3</c:v>
                </c:pt>
                <c:pt idx="1467">
                  <c:v>17</c:v>
                </c:pt>
                <c:pt idx="1468">
                  <c:v>9</c:v>
                </c:pt>
                <c:pt idx="1469">
                  <c:v>11</c:v>
                </c:pt>
                <c:pt idx="1470">
                  <c:v>22</c:v>
                </c:pt>
                <c:pt idx="1471">
                  <c:v>13</c:v>
                </c:pt>
                <c:pt idx="1472">
                  <c:v>6</c:v>
                </c:pt>
                <c:pt idx="1473">
                  <c:v>3</c:v>
                </c:pt>
                <c:pt idx="1474">
                  <c:v>2</c:v>
                </c:pt>
                <c:pt idx="1475">
                  <c:v>20</c:v>
                </c:pt>
                <c:pt idx="1476">
                  <c:v>3</c:v>
                </c:pt>
                <c:pt idx="1477">
                  <c:v>3</c:v>
                </c:pt>
                <c:pt idx="1478">
                  <c:v>3</c:v>
                </c:pt>
                <c:pt idx="1479">
                  <c:v>11</c:v>
                </c:pt>
                <c:pt idx="1480">
                  <c:v>17</c:v>
                </c:pt>
                <c:pt idx="1481">
                  <c:v>13</c:v>
                </c:pt>
                <c:pt idx="1482">
                  <c:v>31</c:v>
                </c:pt>
                <c:pt idx="1483">
                  <c:v>6</c:v>
                </c:pt>
                <c:pt idx="1484">
                  <c:v>3</c:v>
                </c:pt>
                <c:pt idx="1485">
                  <c:v>13</c:v>
                </c:pt>
                <c:pt idx="1486">
                  <c:v>4</c:v>
                </c:pt>
                <c:pt idx="1487">
                  <c:v>2</c:v>
                </c:pt>
                <c:pt idx="1488">
                  <c:v>3</c:v>
                </c:pt>
                <c:pt idx="1489">
                  <c:v>9</c:v>
                </c:pt>
                <c:pt idx="1490">
                  <c:v>2</c:v>
                </c:pt>
                <c:pt idx="1491">
                  <c:v>5</c:v>
                </c:pt>
                <c:pt idx="1492">
                  <c:v>11</c:v>
                </c:pt>
                <c:pt idx="1493">
                  <c:v>21</c:v>
                </c:pt>
                <c:pt idx="1494">
                  <c:v>10</c:v>
                </c:pt>
                <c:pt idx="1495">
                  <c:v>13</c:v>
                </c:pt>
                <c:pt idx="1496">
                  <c:v>16</c:v>
                </c:pt>
                <c:pt idx="1497">
                  <c:v>26</c:v>
                </c:pt>
                <c:pt idx="1498">
                  <c:v>70</c:v>
                </c:pt>
                <c:pt idx="1499">
                  <c:v>22</c:v>
                </c:pt>
                <c:pt idx="1500">
                  <c:v>13</c:v>
                </c:pt>
                <c:pt idx="1501">
                  <c:v>23</c:v>
                </c:pt>
                <c:pt idx="1502">
                  <c:v>59</c:v>
                </c:pt>
                <c:pt idx="1503">
                  <c:v>6</c:v>
                </c:pt>
                <c:pt idx="1504">
                  <c:v>4</c:v>
                </c:pt>
                <c:pt idx="1505">
                  <c:v>3</c:v>
                </c:pt>
                <c:pt idx="1506">
                  <c:v>16</c:v>
                </c:pt>
                <c:pt idx="1507">
                  <c:v>4</c:v>
                </c:pt>
                <c:pt idx="1508">
                  <c:v>4</c:v>
                </c:pt>
                <c:pt idx="1509">
                  <c:v>4</c:v>
                </c:pt>
                <c:pt idx="1510">
                  <c:v>9</c:v>
                </c:pt>
                <c:pt idx="1511">
                  <c:v>19</c:v>
                </c:pt>
                <c:pt idx="1512">
                  <c:v>5</c:v>
                </c:pt>
                <c:pt idx="1513">
                  <c:v>10</c:v>
                </c:pt>
                <c:pt idx="1514">
                  <c:v>19</c:v>
                </c:pt>
                <c:pt idx="1515">
                  <c:v>4</c:v>
                </c:pt>
                <c:pt idx="1516">
                  <c:v>4</c:v>
                </c:pt>
                <c:pt idx="1517">
                  <c:v>4</c:v>
                </c:pt>
                <c:pt idx="1518">
                  <c:v>15</c:v>
                </c:pt>
                <c:pt idx="1519">
                  <c:v>4</c:v>
                </c:pt>
                <c:pt idx="1520">
                  <c:v>2</c:v>
                </c:pt>
                <c:pt idx="1521">
                  <c:v>3</c:v>
                </c:pt>
                <c:pt idx="1522">
                  <c:v>12</c:v>
                </c:pt>
                <c:pt idx="1523">
                  <c:v>5</c:v>
                </c:pt>
                <c:pt idx="1524">
                  <c:v>10</c:v>
                </c:pt>
                <c:pt idx="1525">
                  <c:v>15</c:v>
                </c:pt>
                <c:pt idx="1526">
                  <c:v>13</c:v>
                </c:pt>
                <c:pt idx="1527">
                  <c:v>15</c:v>
                </c:pt>
                <c:pt idx="1528">
                  <c:v>15</c:v>
                </c:pt>
                <c:pt idx="1529">
                  <c:v>15</c:v>
                </c:pt>
                <c:pt idx="1530">
                  <c:v>15</c:v>
                </c:pt>
                <c:pt idx="1531">
                  <c:v>15</c:v>
                </c:pt>
                <c:pt idx="1532">
                  <c:v>15</c:v>
                </c:pt>
                <c:pt idx="1533">
                  <c:v>15</c:v>
                </c:pt>
                <c:pt idx="1534">
                  <c:v>15</c:v>
                </c:pt>
                <c:pt idx="1535">
                  <c:v>15</c:v>
                </c:pt>
                <c:pt idx="1536">
                  <c:v>15</c:v>
                </c:pt>
                <c:pt idx="1537">
                  <c:v>15</c:v>
                </c:pt>
                <c:pt idx="1538">
                  <c:v>15</c:v>
                </c:pt>
                <c:pt idx="1539">
                  <c:v>15</c:v>
                </c:pt>
                <c:pt idx="1540">
                  <c:v>15</c:v>
                </c:pt>
                <c:pt idx="1541">
                  <c:v>15</c:v>
                </c:pt>
                <c:pt idx="1542">
                  <c:v>15</c:v>
                </c:pt>
                <c:pt idx="1543">
                  <c:v>15</c:v>
                </c:pt>
                <c:pt idx="1544">
                  <c:v>15</c:v>
                </c:pt>
                <c:pt idx="1545">
                  <c:v>14</c:v>
                </c:pt>
                <c:pt idx="1546">
                  <c:v>15</c:v>
                </c:pt>
                <c:pt idx="1547">
                  <c:v>15</c:v>
                </c:pt>
                <c:pt idx="1548">
                  <c:v>14</c:v>
                </c:pt>
                <c:pt idx="1549">
                  <c:v>15</c:v>
                </c:pt>
                <c:pt idx="1550">
                  <c:v>6</c:v>
                </c:pt>
                <c:pt idx="1551">
                  <c:v>3</c:v>
                </c:pt>
                <c:pt idx="1552">
                  <c:v>2</c:v>
                </c:pt>
                <c:pt idx="1553">
                  <c:v>2</c:v>
                </c:pt>
                <c:pt idx="1554">
                  <c:v>16</c:v>
                </c:pt>
                <c:pt idx="1555">
                  <c:v>4</c:v>
                </c:pt>
                <c:pt idx="1556">
                  <c:v>2</c:v>
                </c:pt>
                <c:pt idx="1557">
                  <c:v>4</c:v>
                </c:pt>
                <c:pt idx="1558">
                  <c:v>16</c:v>
                </c:pt>
                <c:pt idx="1559">
                  <c:v>13</c:v>
                </c:pt>
                <c:pt idx="1560">
                  <c:v>10</c:v>
                </c:pt>
                <c:pt idx="1561">
                  <c:v>5</c:v>
                </c:pt>
                <c:pt idx="1562">
                  <c:v>26</c:v>
                </c:pt>
                <c:pt idx="1563">
                  <c:v>4</c:v>
                </c:pt>
                <c:pt idx="1564">
                  <c:v>4</c:v>
                </c:pt>
                <c:pt idx="1565">
                  <c:v>4</c:v>
                </c:pt>
                <c:pt idx="1566">
                  <c:v>11</c:v>
                </c:pt>
                <c:pt idx="1567">
                  <c:v>2</c:v>
                </c:pt>
                <c:pt idx="1568">
                  <c:v>3</c:v>
                </c:pt>
                <c:pt idx="1569">
                  <c:v>7</c:v>
                </c:pt>
                <c:pt idx="1570">
                  <c:v>4</c:v>
                </c:pt>
                <c:pt idx="1571">
                  <c:v>4</c:v>
                </c:pt>
                <c:pt idx="1572">
                  <c:v>17</c:v>
                </c:pt>
                <c:pt idx="1573">
                  <c:v>9</c:v>
                </c:pt>
                <c:pt idx="1574">
                  <c:v>13</c:v>
                </c:pt>
                <c:pt idx="1575">
                  <c:v>5</c:v>
                </c:pt>
                <c:pt idx="1576">
                  <c:v>3</c:v>
                </c:pt>
                <c:pt idx="1577">
                  <c:v>3</c:v>
                </c:pt>
                <c:pt idx="1578">
                  <c:v>29</c:v>
                </c:pt>
                <c:pt idx="1579">
                  <c:v>3</c:v>
                </c:pt>
                <c:pt idx="1580">
                  <c:v>3</c:v>
                </c:pt>
                <c:pt idx="1581">
                  <c:v>4</c:v>
                </c:pt>
                <c:pt idx="1582">
                  <c:v>2</c:v>
                </c:pt>
                <c:pt idx="1583">
                  <c:v>5</c:v>
                </c:pt>
                <c:pt idx="1584">
                  <c:v>20</c:v>
                </c:pt>
                <c:pt idx="1585">
                  <c:v>9</c:v>
                </c:pt>
                <c:pt idx="1586">
                  <c:v>12</c:v>
                </c:pt>
                <c:pt idx="1587">
                  <c:v>24</c:v>
                </c:pt>
                <c:pt idx="1588">
                  <c:v>52</c:v>
                </c:pt>
                <c:pt idx="1589">
                  <c:v>26</c:v>
                </c:pt>
                <c:pt idx="1590">
                  <c:v>30</c:v>
                </c:pt>
                <c:pt idx="1591">
                  <c:v>12</c:v>
                </c:pt>
                <c:pt idx="1592">
                  <c:v>78</c:v>
                </c:pt>
                <c:pt idx="1593">
                  <c:v>20</c:v>
                </c:pt>
                <c:pt idx="1594">
                  <c:v>4</c:v>
                </c:pt>
                <c:pt idx="1595">
                  <c:v>4</c:v>
                </c:pt>
                <c:pt idx="1596">
                  <c:v>14</c:v>
                </c:pt>
                <c:pt idx="1597">
                  <c:v>3</c:v>
                </c:pt>
                <c:pt idx="1598">
                  <c:v>4</c:v>
                </c:pt>
                <c:pt idx="1599">
                  <c:v>2</c:v>
                </c:pt>
                <c:pt idx="1600">
                  <c:v>2</c:v>
                </c:pt>
                <c:pt idx="1601">
                  <c:v>12</c:v>
                </c:pt>
                <c:pt idx="1602">
                  <c:v>5</c:v>
                </c:pt>
                <c:pt idx="1603">
                  <c:v>13</c:v>
                </c:pt>
                <c:pt idx="1604">
                  <c:v>22</c:v>
                </c:pt>
                <c:pt idx="1605">
                  <c:v>12</c:v>
                </c:pt>
                <c:pt idx="1606">
                  <c:v>5</c:v>
                </c:pt>
                <c:pt idx="1607">
                  <c:v>15</c:v>
                </c:pt>
                <c:pt idx="1608">
                  <c:v>3</c:v>
                </c:pt>
                <c:pt idx="1609">
                  <c:v>3</c:v>
                </c:pt>
                <c:pt idx="1610">
                  <c:v>4</c:v>
                </c:pt>
                <c:pt idx="1611">
                  <c:v>13</c:v>
                </c:pt>
                <c:pt idx="1612">
                  <c:v>3</c:v>
                </c:pt>
                <c:pt idx="1613">
                  <c:v>3</c:v>
                </c:pt>
                <c:pt idx="1614">
                  <c:v>3</c:v>
                </c:pt>
                <c:pt idx="1615">
                  <c:v>14</c:v>
                </c:pt>
                <c:pt idx="1616">
                  <c:v>6</c:v>
                </c:pt>
                <c:pt idx="1617">
                  <c:v>10</c:v>
                </c:pt>
                <c:pt idx="1618">
                  <c:v>15</c:v>
                </c:pt>
                <c:pt idx="1619">
                  <c:v>12</c:v>
                </c:pt>
                <c:pt idx="1620">
                  <c:v>12</c:v>
                </c:pt>
                <c:pt idx="1621">
                  <c:v>15</c:v>
                </c:pt>
                <c:pt idx="1622">
                  <c:v>15</c:v>
                </c:pt>
                <c:pt idx="1623">
                  <c:v>15</c:v>
                </c:pt>
                <c:pt idx="1624">
                  <c:v>15</c:v>
                </c:pt>
                <c:pt idx="1625">
                  <c:v>15</c:v>
                </c:pt>
                <c:pt idx="1626">
                  <c:v>9</c:v>
                </c:pt>
                <c:pt idx="1627">
                  <c:v>15</c:v>
                </c:pt>
                <c:pt idx="1628">
                  <c:v>15</c:v>
                </c:pt>
                <c:pt idx="1629">
                  <c:v>15</c:v>
                </c:pt>
                <c:pt idx="1630">
                  <c:v>15</c:v>
                </c:pt>
                <c:pt idx="1631">
                  <c:v>15</c:v>
                </c:pt>
                <c:pt idx="1632">
                  <c:v>15</c:v>
                </c:pt>
                <c:pt idx="1633">
                  <c:v>15</c:v>
                </c:pt>
                <c:pt idx="1634">
                  <c:v>15</c:v>
                </c:pt>
                <c:pt idx="1635">
                  <c:v>15</c:v>
                </c:pt>
                <c:pt idx="1636">
                  <c:v>15</c:v>
                </c:pt>
                <c:pt idx="1637">
                  <c:v>14</c:v>
                </c:pt>
                <c:pt idx="1638">
                  <c:v>15</c:v>
                </c:pt>
                <c:pt idx="1639">
                  <c:v>15</c:v>
                </c:pt>
                <c:pt idx="1640">
                  <c:v>13</c:v>
                </c:pt>
                <c:pt idx="1641">
                  <c:v>15</c:v>
                </c:pt>
                <c:pt idx="1642">
                  <c:v>15</c:v>
                </c:pt>
                <c:pt idx="1643">
                  <c:v>3</c:v>
                </c:pt>
                <c:pt idx="1644">
                  <c:v>3</c:v>
                </c:pt>
                <c:pt idx="1645">
                  <c:v>3</c:v>
                </c:pt>
                <c:pt idx="1646">
                  <c:v>12</c:v>
                </c:pt>
                <c:pt idx="1647">
                  <c:v>5</c:v>
                </c:pt>
                <c:pt idx="1648">
                  <c:v>4</c:v>
                </c:pt>
                <c:pt idx="1649">
                  <c:v>10</c:v>
                </c:pt>
                <c:pt idx="1650">
                  <c:v>4</c:v>
                </c:pt>
                <c:pt idx="1651">
                  <c:v>7</c:v>
                </c:pt>
                <c:pt idx="1652">
                  <c:v>7</c:v>
                </c:pt>
                <c:pt idx="1653">
                  <c:v>10</c:v>
                </c:pt>
                <c:pt idx="1654">
                  <c:v>34</c:v>
                </c:pt>
                <c:pt idx="1655">
                  <c:v>6</c:v>
                </c:pt>
                <c:pt idx="1656">
                  <c:v>3</c:v>
                </c:pt>
                <c:pt idx="1657">
                  <c:v>3</c:v>
                </c:pt>
                <c:pt idx="1658">
                  <c:v>10</c:v>
                </c:pt>
                <c:pt idx="1659">
                  <c:v>3</c:v>
                </c:pt>
                <c:pt idx="1660">
                  <c:v>2</c:v>
                </c:pt>
                <c:pt idx="1661">
                  <c:v>3</c:v>
                </c:pt>
                <c:pt idx="1662">
                  <c:v>11</c:v>
                </c:pt>
                <c:pt idx="1663">
                  <c:v>4</c:v>
                </c:pt>
                <c:pt idx="1664">
                  <c:v>6</c:v>
                </c:pt>
                <c:pt idx="1665">
                  <c:v>8</c:v>
                </c:pt>
                <c:pt idx="1666">
                  <c:v>10</c:v>
                </c:pt>
                <c:pt idx="1667">
                  <c:v>13</c:v>
                </c:pt>
                <c:pt idx="1668">
                  <c:v>26</c:v>
                </c:pt>
                <c:pt idx="1669">
                  <c:v>4</c:v>
                </c:pt>
                <c:pt idx="1670">
                  <c:v>5</c:v>
                </c:pt>
                <c:pt idx="1671">
                  <c:v>7</c:v>
                </c:pt>
                <c:pt idx="1672">
                  <c:v>3</c:v>
                </c:pt>
                <c:pt idx="1673">
                  <c:v>3</c:v>
                </c:pt>
                <c:pt idx="1674">
                  <c:v>12</c:v>
                </c:pt>
                <c:pt idx="1675">
                  <c:v>5</c:v>
                </c:pt>
                <c:pt idx="1676">
                  <c:v>2</c:v>
                </c:pt>
                <c:pt idx="1677">
                  <c:v>3</c:v>
                </c:pt>
                <c:pt idx="1678">
                  <c:v>9</c:v>
                </c:pt>
                <c:pt idx="1679">
                  <c:v>9</c:v>
                </c:pt>
                <c:pt idx="1680">
                  <c:v>31</c:v>
                </c:pt>
                <c:pt idx="1681">
                  <c:v>13</c:v>
                </c:pt>
                <c:pt idx="1682">
                  <c:v>24</c:v>
                </c:pt>
                <c:pt idx="1683">
                  <c:v>17</c:v>
                </c:pt>
                <c:pt idx="1684">
                  <c:v>78</c:v>
                </c:pt>
                <c:pt idx="1685">
                  <c:v>30</c:v>
                </c:pt>
                <c:pt idx="1686">
                  <c:v>18</c:v>
                </c:pt>
                <c:pt idx="1687">
                  <c:v>13</c:v>
                </c:pt>
                <c:pt idx="1688">
                  <c:v>4</c:v>
                </c:pt>
                <c:pt idx="1689">
                  <c:v>47</c:v>
                </c:pt>
                <c:pt idx="1690">
                  <c:v>3</c:v>
                </c:pt>
                <c:pt idx="1691">
                  <c:v>3</c:v>
                </c:pt>
                <c:pt idx="1692">
                  <c:v>4</c:v>
                </c:pt>
                <c:pt idx="1693">
                  <c:v>3</c:v>
                </c:pt>
                <c:pt idx="1694">
                  <c:v>17</c:v>
                </c:pt>
                <c:pt idx="1695">
                  <c:v>3</c:v>
                </c:pt>
                <c:pt idx="1696">
                  <c:v>3</c:v>
                </c:pt>
                <c:pt idx="1697">
                  <c:v>7</c:v>
                </c:pt>
                <c:pt idx="1698">
                  <c:v>18</c:v>
                </c:pt>
                <c:pt idx="1699">
                  <c:v>12</c:v>
                </c:pt>
                <c:pt idx="1700">
                  <c:v>19</c:v>
                </c:pt>
                <c:pt idx="1701">
                  <c:v>11</c:v>
                </c:pt>
                <c:pt idx="1702">
                  <c:v>4</c:v>
                </c:pt>
                <c:pt idx="1703">
                  <c:v>2</c:v>
                </c:pt>
                <c:pt idx="1704">
                  <c:v>11</c:v>
                </c:pt>
                <c:pt idx="1705">
                  <c:v>3</c:v>
                </c:pt>
                <c:pt idx="1706">
                  <c:v>1</c:v>
                </c:pt>
                <c:pt idx="1707">
                  <c:v>3</c:v>
                </c:pt>
                <c:pt idx="1708">
                  <c:v>3</c:v>
                </c:pt>
                <c:pt idx="1709">
                  <c:v>3</c:v>
                </c:pt>
                <c:pt idx="1710">
                  <c:v>15</c:v>
                </c:pt>
                <c:pt idx="1711">
                  <c:v>5</c:v>
                </c:pt>
                <c:pt idx="1712">
                  <c:v>9</c:v>
                </c:pt>
                <c:pt idx="1713">
                  <c:v>15</c:v>
                </c:pt>
                <c:pt idx="1714">
                  <c:v>10</c:v>
                </c:pt>
                <c:pt idx="1715">
                  <c:v>15</c:v>
                </c:pt>
                <c:pt idx="1716">
                  <c:v>15</c:v>
                </c:pt>
                <c:pt idx="1717">
                  <c:v>15</c:v>
                </c:pt>
                <c:pt idx="1718">
                  <c:v>15</c:v>
                </c:pt>
                <c:pt idx="1719">
                  <c:v>15</c:v>
                </c:pt>
                <c:pt idx="1720">
                  <c:v>15</c:v>
                </c:pt>
                <c:pt idx="1721">
                  <c:v>15</c:v>
                </c:pt>
                <c:pt idx="1722">
                  <c:v>15</c:v>
                </c:pt>
                <c:pt idx="1723">
                  <c:v>15</c:v>
                </c:pt>
                <c:pt idx="1724">
                  <c:v>15</c:v>
                </c:pt>
                <c:pt idx="1725">
                  <c:v>15</c:v>
                </c:pt>
                <c:pt idx="1726">
                  <c:v>15</c:v>
                </c:pt>
                <c:pt idx="1727">
                  <c:v>15</c:v>
                </c:pt>
                <c:pt idx="1728">
                  <c:v>15</c:v>
                </c:pt>
                <c:pt idx="1729">
                  <c:v>14</c:v>
                </c:pt>
                <c:pt idx="1730">
                  <c:v>15</c:v>
                </c:pt>
                <c:pt idx="1731">
                  <c:v>15</c:v>
                </c:pt>
                <c:pt idx="1732">
                  <c:v>15</c:v>
                </c:pt>
                <c:pt idx="1733">
                  <c:v>15</c:v>
                </c:pt>
                <c:pt idx="1734">
                  <c:v>15</c:v>
                </c:pt>
                <c:pt idx="1735">
                  <c:v>15</c:v>
                </c:pt>
                <c:pt idx="1736">
                  <c:v>15</c:v>
                </c:pt>
                <c:pt idx="1737">
                  <c:v>15</c:v>
                </c:pt>
                <c:pt idx="1738">
                  <c:v>2</c:v>
                </c:pt>
                <c:pt idx="1739">
                  <c:v>4</c:v>
                </c:pt>
                <c:pt idx="1740">
                  <c:v>11</c:v>
                </c:pt>
                <c:pt idx="1741">
                  <c:v>4</c:v>
                </c:pt>
                <c:pt idx="1742">
                  <c:v>4</c:v>
                </c:pt>
                <c:pt idx="1743">
                  <c:v>3</c:v>
                </c:pt>
                <c:pt idx="1744">
                  <c:v>4</c:v>
                </c:pt>
                <c:pt idx="1745">
                  <c:v>17</c:v>
                </c:pt>
                <c:pt idx="1746">
                  <c:v>5</c:v>
                </c:pt>
                <c:pt idx="1747">
                  <c:v>10</c:v>
                </c:pt>
                <c:pt idx="1748">
                  <c:v>11</c:v>
                </c:pt>
                <c:pt idx="1749">
                  <c:v>26</c:v>
                </c:pt>
                <c:pt idx="1750">
                  <c:v>5</c:v>
                </c:pt>
                <c:pt idx="1751">
                  <c:v>2</c:v>
                </c:pt>
                <c:pt idx="1752">
                  <c:v>4</c:v>
                </c:pt>
                <c:pt idx="1753">
                  <c:v>12</c:v>
                </c:pt>
                <c:pt idx="1754">
                  <c:v>4</c:v>
                </c:pt>
                <c:pt idx="1755">
                  <c:v>2</c:v>
                </c:pt>
                <c:pt idx="1756">
                  <c:v>5</c:v>
                </c:pt>
                <c:pt idx="1757">
                  <c:v>16</c:v>
                </c:pt>
                <c:pt idx="1758">
                  <c:v>4</c:v>
                </c:pt>
                <c:pt idx="1759">
                  <c:v>12</c:v>
                </c:pt>
                <c:pt idx="1760">
                  <c:v>13</c:v>
                </c:pt>
                <c:pt idx="1761">
                  <c:v>6</c:v>
                </c:pt>
                <c:pt idx="1762">
                  <c:v>34</c:v>
                </c:pt>
                <c:pt idx="1763">
                  <c:v>3</c:v>
                </c:pt>
                <c:pt idx="1764">
                  <c:v>2</c:v>
                </c:pt>
                <c:pt idx="1765">
                  <c:v>2</c:v>
                </c:pt>
                <c:pt idx="1766">
                  <c:v>3</c:v>
                </c:pt>
                <c:pt idx="1767">
                  <c:v>13</c:v>
                </c:pt>
                <c:pt idx="1768">
                  <c:v>2</c:v>
                </c:pt>
                <c:pt idx="1769">
                  <c:v>2</c:v>
                </c:pt>
                <c:pt idx="1770">
                  <c:v>2</c:v>
                </c:pt>
                <c:pt idx="1771">
                  <c:v>11</c:v>
                </c:pt>
                <c:pt idx="1772">
                  <c:v>7</c:v>
                </c:pt>
                <c:pt idx="1773">
                  <c:v>9</c:v>
                </c:pt>
                <c:pt idx="1774">
                  <c:v>7</c:v>
                </c:pt>
                <c:pt idx="1775">
                  <c:v>19</c:v>
                </c:pt>
                <c:pt idx="1776">
                  <c:v>50</c:v>
                </c:pt>
                <c:pt idx="1777">
                  <c:v>22</c:v>
                </c:pt>
                <c:pt idx="1778">
                  <c:v>20</c:v>
                </c:pt>
                <c:pt idx="1779">
                  <c:v>18</c:v>
                </c:pt>
                <c:pt idx="1780">
                  <c:v>70</c:v>
                </c:pt>
                <c:pt idx="1781">
                  <c:v>24</c:v>
                </c:pt>
                <c:pt idx="1782">
                  <c:v>16</c:v>
                </c:pt>
                <c:pt idx="1783">
                  <c:v>5</c:v>
                </c:pt>
                <c:pt idx="1784">
                  <c:v>3</c:v>
                </c:pt>
                <c:pt idx="1785">
                  <c:v>32</c:v>
                </c:pt>
                <c:pt idx="1786">
                  <c:v>4</c:v>
                </c:pt>
                <c:pt idx="1787">
                  <c:v>3</c:v>
                </c:pt>
                <c:pt idx="1788">
                  <c:v>4</c:v>
                </c:pt>
                <c:pt idx="1789">
                  <c:v>13</c:v>
                </c:pt>
                <c:pt idx="1790">
                  <c:v>3</c:v>
                </c:pt>
                <c:pt idx="1791">
                  <c:v>11</c:v>
                </c:pt>
                <c:pt idx="1792">
                  <c:v>26</c:v>
                </c:pt>
                <c:pt idx="1793">
                  <c:v>19</c:v>
                </c:pt>
                <c:pt idx="1794">
                  <c:v>5</c:v>
                </c:pt>
                <c:pt idx="1795">
                  <c:v>2</c:v>
                </c:pt>
                <c:pt idx="1796">
                  <c:v>3</c:v>
                </c:pt>
                <c:pt idx="1797">
                  <c:v>13</c:v>
                </c:pt>
                <c:pt idx="1798">
                  <c:v>3</c:v>
                </c:pt>
                <c:pt idx="1799">
                  <c:v>4</c:v>
                </c:pt>
                <c:pt idx="1800">
                  <c:v>12</c:v>
                </c:pt>
                <c:pt idx="1801">
                  <c:v>4</c:v>
                </c:pt>
                <c:pt idx="1802">
                  <c:v>4</c:v>
                </c:pt>
                <c:pt idx="1803">
                  <c:v>9</c:v>
                </c:pt>
                <c:pt idx="1804">
                  <c:v>15</c:v>
                </c:pt>
                <c:pt idx="1805">
                  <c:v>6</c:v>
                </c:pt>
                <c:pt idx="1806">
                  <c:v>4</c:v>
                </c:pt>
                <c:pt idx="1807">
                  <c:v>15</c:v>
                </c:pt>
                <c:pt idx="1808">
                  <c:v>15</c:v>
                </c:pt>
                <c:pt idx="1809">
                  <c:v>15</c:v>
                </c:pt>
                <c:pt idx="1810">
                  <c:v>15</c:v>
                </c:pt>
                <c:pt idx="1811">
                  <c:v>10</c:v>
                </c:pt>
                <c:pt idx="1812">
                  <c:v>15</c:v>
                </c:pt>
                <c:pt idx="1813">
                  <c:v>15</c:v>
                </c:pt>
                <c:pt idx="1814">
                  <c:v>15</c:v>
                </c:pt>
                <c:pt idx="1815">
                  <c:v>15</c:v>
                </c:pt>
                <c:pt idx="1816">
                  <c:v>15</c:v>
                </c:pt>
                <c:pt idx="1817">
                  <c:v>15</c:v>
                </c:pt>
                <c:pt idx="1818">
                  <c:v>15</c:v>
                </c:pt>
                <c:pt idx="1819">
                  <c:v>15</c:v>
                </c:pt>
                <c:pt idx="1820">
                  <c:v>15</c:v>
                </c:pt>
                <c:pt idx="1821">
                  <c:v>15</c:v>
                </c:pt>
                <c:pt idx="1822">
                  <c:v>15</c:v>
                </c:pt>
                <c:pt idx="1823">
                  <c:v>15</c:v>
                </c:pt>
                <c:pt idx="1824">
                  <c:v>15</c:v>
                </c:pt>
                <c:pt idx="1825">
                  <c:v>13</c:v>
                </c:pt>
                <c:pt idx="1826">
                  <c:v>15</c:v>
                </c:pt>
                <c:pt idx="1827">
                  <c:v>15</c:v>
                </c:pt>
                <c:pt idx="1828">
                  <c:v>15</c:v>
                </c:pt>
                <c:pt idx="1829">
                  <c:v>15</c:v>
                </c:pt>
                <c:pt idx="1830">
                  <c:v>12</c:v>
                </c:pt>
                <c:pt idx="1831">
                  <c:v>4</c:v>
                </c:pt>
                <c:pt idx="1832">
                  <c:v>4</c:v>
                </c:pt>
                <c:pt idx="1833">
                  <c:v>9</c:v>
                </c:pt>
                <c:pt idx="1834">
                  <c:v>6</c:v>
                </c:pt>
                <c:pt idx="1835">
                  <c:v>2</c:v>
                </c:pt>
                <c:pt idx="1836">
                  <c:v>3</c:v>
                </c:pt>
                <c:pt idx="1837">
                  <c:v>14</c:v>
                </c:pt>
                <c:pt idx="1838">
                  <c:v>4</c:v>
                </c:pt>
                <c:pt idx="1839">
                  <c:v>5</c:v>
                </c:pt>
                <c:pt idx="1840">
                  <c:v>24</c:v>
                </c:pt>
                <c:pt idx="1841">
                  <c:v>16</c:v>
                </c:pt>
                <c:pt idx="1842">
                  <c:v>9</c:v>
                </c:pt>
                <c:pt idx="1843">
                  <c:v>5</c:v>
                </c:pt>
                <c:pt idx="1844">
                  <c:v>2</c:v>
                </c:pt>
                <c:pt idx="1845">
                  <c:v>20</c:v>
                </c:pt>
                <c:pt idx="1846">
                  <c:v>2</c:v>
                </c:pt>
                <c:pt idx="1847">
                  <c:v>5</c:v>
                </c:pt>
                <c:pt idx="1848">
                  <c:v>4</c:v>
                </c:pt>
                <c:pt idx="1849">
                  <c:v>11</c:v>
                </c:pt>
                <c:pt idx="1850">
                  <c:v>6</c:v>
                </c:pt>
                <c:pt idx="1851">
                  <c:v>8</c:v>
                </c:pt>
                <c:pt idx="1852">
                  <c:v>7</c:v>
                </c:pt>
                <c:pt idx="1853">
                  <c:v>12</c:v>
                </c:pt>
                <c:pt idx="1854">
                  <c:v>37</c:v>
                </c:pt>
                <c:pt idx="1855">
                  <c:v>4</c:v>
                </c:pt>
                <c:pt idx="1856">
                  <c:v>2</c:v>
                </c:pt>
                <c:pt idx="1857">
                  <c:v>4</c:v>
                </c:pt>
                <c:pt idx="1858">
                  <c:v>2</c:v>
                </c:pt>
                <c:pt idx="1859">
                  <c:v>14</c:v>
                </c:pt>
                <c:pt idx="1860">
                  <c:v>3</c:v>
                </c:pt>
                <c:pt idx="1861">
                  <c:v>3</c:v>
                </c:pt>
                <c:pt idx="1862">
                  <c:v>9</c:v>
                </c:pt>
                <c:pt idx="1863">
                  <c:v>4</c:v>
                </c:pt>
                <c:pt idx="1864">
                  <c:v>9</c:v>
                </c:pt>
                <c:pt idx="1865">
                  <c:v>10</c:v>
                </c:pt>
                <c:pt idx="1866">
                  <c:v>21</c:v>
                </c:pt>
                <c:pt idx="1867">
                  <c:v>65</c:v>
                </c:pt>
                <c:pt idx="1868">
                  <c:v>25</c:v>
                </c:pt>
                <c:pt idx="1869">
                  <c:v>27</c:v>
                </c:pt>
                <c:pt idx="1870">
                  <c:v>17</c:v>
                </c:pt>
                <c:pt idx="1871">
                  <c:v>77</c:v>
                </c:pt>
                <c:pt idx="1872">
                  <c:v>24</c:v>
                </c:pt>
                <c:pt idx="1873">
                  <c:v>4</c:v>
                </c:pt>
                <c:pt idx="1874">
                  <c:v>4</c:v>
                </c:pt>
                <c:pt idx="1875">
                  <c:v>3</c:v>
                </c:pt>
                <c:pt idx="1876">
                  <c:v>20</c:v>
                </c:pt>
                <c:pt idx="1877">
                  <c:v>5</c:v>
                </c:pt>
                <c:pt idx="1878">
                  <c:v>4</c:v>
                </c:pt>
                <c:pt idx="1879">
                  <c:v>7</c:v>
                </c:pt>
                <c:pt idx="1880">
                  <c:v>2</c:v>
                </c:pt>
                <c:pt idx="1881">
                  <c:v>5</c:v>
                </c:pt>
                <c:pt idx="1882">
                  <c:v>7</c:v>
                </c:pt>
                <c:pt idx="1883">
                  <c:v>24</c:v>
                </c:pt>
                <c:pt idx="1884">
                  <c:v>14</c:v>
                </c:pt>
                <c:pt idx="1885">
                  <c:v>7</c:v>
                </c:pt>
                <c:pt idx="1886">
                  <c:v>15</c:v>
                </c:pt>
                <c:pt idx="1887">
                  <c:v>3</c:v>
                </c:pt>
                <c:pt idx="1888">
                  <c:v>3</c:v>
                </c:pt>
                <c:pt idx="1889">
                  <c:v>4</c:v>
                </c:pt>
                <c:pt idx="1890">
                  <c:v>12</c:v>
                </c:pt>
                <c:pt idx="1891">
                  <c:v>4</c:v>
                </c:pt>
                <c:pt idx="1892">
                  <c:v>7</c:v>
                </c:pt>
                <c:pt idx="1893">
                  <c:v>5</c:v>
                </c:pt>
                <c:pt idx="1894">
                  <c:v>4</c:v>
                </c:pt>
                <c:pt idx="1895">
                  <c:v>15</c:v>
                </c:pt>
                <c:pt idx="1896">
                  <c:v>14</c:v>
                </c:pt>
                <c:pt idx="1897">
                  <c:v>9</c:v>
                </c:pt>
                <c:pt idx="1898">
                  <c:v>15</c:v>
                </c:pt>
                <c:pt idx="1899">
                  <c:v>15</c:v>
                </c:pt>
                <c:pt idx="1900">
                  <c:v>15</c:v>
                </c:pt>
                <c:pt idx="1901">
                  <c:v>15</c:v>
                </c:pt>
                <c:pt idx="1902">
                  <c:v>15</c:v>
                </c:pt>
                <c:pt idx="1903">
                  <c:v>15</c:v>
                </c:pt>
                <c:pt idx="1904">
                  <c:v>15</c:v>
                </c:pt>
                <c:pt idx="1905">
                  <c:v>15</c:v>
                </c:pt>
                <c:pt idx="1906">
                  <c:v>15</c:v>
                </c:pt>
                <c:pt idx="1907">
                  <c:v>14</c:v>
                </c:pt>
                <c:pt idx="1908">
                  <c:v>15</c:v>
                </c:pt>
                <c:pt idx="1909">
                  <c:v>15</c:v>
                </c:pt>
                <c:pt idx="1910">
                  <c:v>15</c:v>
                </c:pt>
                <c:pt idx="1911">
                  <c:v>15</c:v>
                </c:pt>
                <c:pt idx="1912">
                  <c:v>15</c:v>
                </c:pt>
                <c:pt idx="1913">
                  <c:v>15</c:v>
                </c:pt>
                <c:pt idx="1914">
                  <c:v>15</c:v>
                </c:pt>
                <c:pt idx="1915">
                  <c:v>15</c:v>
                </c:pt>
                <c:pt idx="1916">
                  <c:v>15</c:v>
                </c:pt>
                <c:pt idx="1917">
                  <c:v>15</c:v>
                </c:pt>
                <c:pt idx="1918">
                  <c:v>15</c:v>
                </c:pt>
                <c:pt idx="1919">
                  <c:v>15</c:v>
                </c:pt>
                <c:pt idx="192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B5-40C2-A623-12A16288A1A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360365536"/>
        <c:axId val="1360366016"/>
      </c:scatterChart>
      <c:valAx>
        <c:axId val="136036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b="1"/>
                  <a:t>Alumnos</a:t>
                </a:r>
                <a:r>
                  <a:rPr lang="es-MX" b="1" baseline="0"/>
                  <a:t> al esperar la combi (X)</a:t>
                </a:r>
                <a:endParaRPr lang="es-MX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60366016"/>
        <c:crosses val="autoZero"/>
        <c:crossBetween val="midCat"/>
      </c:valAx>
      <c:valAx>
        <c:axId val="136036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b="1"/>
                  <a:t>Minutos</a:t>
                </a:r>
                <a:r>
                  <a:rPr lang="es-MX" b="1" baseline="0"/>
                  <a:t> para llenar / tiempo de espera acumulado (Y)</a:t>
                </a:r>
                <a:endParaRPr lang="es-MX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60365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18</xdr:row>
      <xdr:rowOff>174625</xdr:rowOff>
    </xdr:from>
    <xdr:to>
      <xdr:col>9</xdr:col>
      <xdr:colOff>9525</xdr:colOff>
      <xdr:row>33</xdr:row>
      <xdr:rowOff>155575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012AE0-DF68-BD38-9018-9927F3327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44824</xdr:colOff>
      <xdr:row>6</xdr:row>
      <xdr:rowOff>141942</xdr:rowOff>
    </xdr:from>
    <xdr:to>
      <xdr:col>24</xdr:col>
      <xdr:colOff>141941</xdr:colOff>
      <xdr:row>21</xdr:row>
      <xdr:rowOff>112195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081A53-20F0-4E9D-A599-D91B87758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ealStats\XRealStats.xlam" TargetMode="External"/><Relationship Id="rId1" Type="http://schemas.openxmlformats.org/officeDocument/2006/relationships/externalLinkPath" Target="/Users/RealStats/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Prime"/>
    </sheetNames>
    <definedNames>
      <definedName name="DAGOSTINO"/>
      <definedName name="DESIGN"/>
      <definedName name="DPTEST"/>
      <definedName name="LEVERAGE"/>
      <definedName name="RegCoeff"/>
      <definedName name="SHAPIRO"/>
      <definedName name="SW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9F8A-E6E0-41AF-BB66-58E33BEF9B49}">
  <dimension ref="A1:X1924"/>
  <sheetViews>
    <sheetView topLeftCell="A15" workbookViewId="0">
      <selection activeCell="J21" sqref="J21"/>
    </sheetView>
  </sheetViews>
  <sheetFormatPr baseColWidth="10" defaultRowHeight="14.5" x14ac:dyDescent="0.35"/>
  <sheetData>
    <row r="1" spans="1:24" x14ac:dyDescent="0.35">
      <c r="A1" t="s">
        <v>806</v>
      </c>
      <c r="J1" t="s">
        <v>833</v>
      </c>
    </row>
    <row r="2" spans="1:24" ht="15" thickBot="1" x14ac:dyDescent="0.4"/>
    <row r="3" spans="1:24" ht="15.5" thickTop="1" thickBot="1" x14ac:dyDescent="0.4">
      <c r="A3" s="1" t="s">
        <v>807</v>
      </c>
      <c r="B3" s="1"/>
      <c r="D3" s="1"/>
      <c r="E3" s="1"/>
      <c r="J3" s="4" t="s">
        <v>834</v>
      </c>
      <c r="K3" s="4" t="str">
        <f>demanda!D1</f>
        <v>alumnos_esperando</v>
      </c>
      <c r="L3" s="4" t="str">
        <f>demanda!I1</f>
        <v>tiempo_espera_acum</v>
      </c>
      <c r="M3" s="4" t="s">
        <v>835</v>
      </c>
      <c r="N3" s="4" t="s">
        <v>825</v>
      </c>
      <c r="O3" s="4" t="s">
        <v>836</v>
      </c>
      <c r="P3" s="4" t="s">
        <v>837</v>
      </c>
      <c r="Q3" s="4" t="s">
        <v>838</v>
      </c>
      <c r="R3" s="4" t="s">
        <v>839</v>
      </c>
      <c r="S3" s="4" t="s">
        <v>840</v>
      </c>
      <c r="T3" s="4" t="s">
        <v>833</v>
      </c>
      <c r="U3" s="4" t="s">
        <v>841</v>
      </c>
    </row>
    <row r="4" spans="1:24" ht="15" thickTop="1" x14ac:dyDescent="0.35">
      <c r="A4" t="s">
        <v>808</v>
      </c>
      <c r="B4">
        <f>SQRT(B5)</f>
        <v>0.38101403474051765</v>
      </c>
      <c r="D4" t="s">
        <v>813</v>
      </c>
      <c r="E4">
        <f>B8*LN(C13/B8)+2*(B12+1)</f>
        <v>8819.5390689131164</v>
      </c>
      <c r="J4">
        <v>1</v>
      </c>
      <c r="K4">
        <f>demanda!D2</f>
        <v>0</v>
      </c>
      <c r="L4">
        <f>demanda!I2</f>
        <v>3</v>
      </c>
      <c r="M4">
        <f t="array" ref="M4:M1924">TREND(demanda!I2:I1922,demanda!D2:D1922)</f>
        <v>14.416809279416043</v>
      </c>
      <c r="N4">
        <f>L4-M4</f>
        <v>-11.416809279416043</v>
      </c>
      <c r="O4">
        <f t="array" ref="O4:O1924">[1]!LEVERAGE(demanda!D2:D1922)</f>
        <v>7.4087557083441532E-4</v>
      </c>
      <c r="P4">
        <f>N4/SQRT($X$6)</f>
        <v>-1.150328664309564</v>
      </c>
      <c r="Q4">
        <f>($X$6-N4^2/((1-O4)*$X$5))*$X$5/($X$5-1)</f>
        <v>98.485475268264722</v>
      </c>
      <c r="R4">
        <f>N4/SQRT(Q4*(1-O4))</f>
        <v>-1.1508523061099405</v>
      </c>
      <c r="S4">
        <f>_xlfn.T.DIST.2T(ABS(R4),$X$5)</f>
        <v>0.24993638008158123</v>
      </c>
      <c r="T4">
        <f>(N4^2/$X$6)*(O4/(1-O4)^2)/($X$7+1)</f>
        <v>4.9091117422407117E-4</v>
      </c>
      <c r="U4">
        <f>R4*SQRT(O4/(1-O4))</f>
        <v>-3.1336693399040466E-2</v>
      </c>
      <c r="W4" t="s">
        <v>842</v>
      </c>
      <c r="X4" s="5">
        <f>DEVSQ(N4:N1924)</f>
        <v>189025.58173859274</v>
      </c>
    </row>
    <row r="5" spans="1:24" x14ac:dyDescent="0.35">
      <c r="A5" t="s">
        <v>809</v>
      </c>
      <c r="B5">
        <f>C12/C14</f>
        <v>0.14517169466924837</v>
      </c>
      <c r="D5" t="s">
        <v>814</v>
      </c>
      <c r="E5">
        <f>E4+2*(B12+2)*(B12+3)/(B8-B12-3)</f>
        <v>8819.5515884749311</v>
      </c>
      <c r="J5">
        <f>J4+1</f>
        <v>2</v>
      </c>
      <c r="K5">
        <f>demanda!D3</f>
        <v>5</v>
      </c>
      <c r="L5">
        <f>demanda!I3</f>
        <v>2</v>
      </c>
      <c r="M5">
        <v>1.2636408299870627</v>
      </c>
      <c r="N5">
        <f t="shared" ref="N5:N68" si="0">L5-M5</f>
        <v>0.73635917001293727</v>
      </c>
      <c r="O5">
        <v>3.9509249049329382E-3</v>
      </c>
      <c r="P5">
        <f t="shared" ref="P5:P68" si="1">N5/SQRT($X$6)</f>
        <v>7.4193677039020078E-2</v>
      </c>
      <c r="Q5">
        <f t="shared" ref="Q5:Q68" si="2">($X$6-N5^2/((1-O5)*$X$5))*$X$5/($X$5-1)</f>
        <v>98.553199876422468</v>
      </c>
      <c r="R5">
        <f t="shared" ref="R5:R68" si="3">N5/SQRT(Q5*(1-O5))</f>
        <v>7.4321414457959423E-2</v>
      </c>
      <c r="S5">
        <f t="shared" ref="S5:S68" si="4">_xlfn.T.DIST.2T(ABS(R5),$X$5)</f>
        <v>0.94076238398569867</v>
      </c>
      <c r="T5">
        <f t="shared" ref="T5:T68" si="5">(N5^2/$X$6)*(O5/(1-O5)^2)/($X$7+1)</f>
        <v>1.0960770814463366E-5</v>
      </c>
      <c r="U5">
        <f t="shared" ref="U5:U68" si="6">R5*SQRT(O5/(1-O5))</f>
        <v>4.680831262592092E-3</v>
      </c>
      <c r="W5" t="s">
        <v>843</v>
      </c>
      <c r="X5" s="6">
        <f>COUNT(demanda!I2:I1922)-X7-1</f>
        <v>1919</v>
      </c>
    </row>
    <row r="6" spans="1:24" x14ac:dyDescent="0.35">
      <c r="A6" t="s">
        <v>810</v>
      </c>
      <c r="B6">
        <f>1-(1-B5)*(B8-1)/(B8-B12-1)</f>
        <v>0.1447262395856993</v>
      </c>
      <c r="D6" s="2" t="s">
        <v>815</v>
      </c>
      <c r="E6" s="2">
        <f>B8*LN(C13/B8)+(B12+1)*LN(B8)</f>
        <v>8830.6602712386539</v>
      </c>
      <c r="J6">
        <f t="shared" ref="J6:J69" si="7">J5+1</f>
        <v>3</v>
      </c>
      <c r="K6">
        <f>demanda!D4</f>
        <v>1</v>
      </c>
      <c r="L6">
        <f>demanda!I4</f>
        <v>3</v>
      </c>
      <c r="M6">
        <v>11.786175589530247</v>
      </c>
      <c r="N6">
        <f t="shared" si="0"/>
        <v>-8.7861755895302469</v>
      </c>
      <c r="O6">
        <v>5.2058796926701797E-4</v>
      </c>
      <c r="P6">
        <f t="shared" si="1"/>
        <v>-0.88527270474037267</v>
      </c>
      <c r="Q6">
        <f t="shared" si="2"/>
        <v>98.513214102399758</v>
      </c>
      <c r="R6">
        <f t="shared" si="3"/>
        <v>-0.88545339538896362</v>
      </c>
      <c r="S6">
        <f t="shared" si="4"/>
        <v>0.37602308055069167</v>
      </c>
      <c r="T6">
        <f t="shared" si="5"/>
        <v>2.0420697614382047E-4</v>
      </c>
      <c r="U6">
        <f t="shared" si="6"/>
        <v>-2.0208116875988336E-2</v>
      </c>
      <c r="W6" t="s">
        <v>844</v>
      </c>
      <c r="X6" s="6">
        <f>X4/X5</f>
        <v>98.502127013336491</v>
      </c>
    </row>
    <row r="7" spans="1:24" x14ac:dyDescent="0.35">
      <c r="A7" t="s">
        <v>811</v>
      </c>
      <c r="B7">
        <f>SQRT(D13)</f>
        <v>9.9248237774449564</v>
      </c>
      <c r="J7">
        <f t="shared" si="7"/>
        <v>4</v>
      </c>
      <c r="K7">
        <f>demanda!D5</f>
        <v>0</v>
      </c>
      <c r="L7">
        <f>demanda!I5</f>
        <v>5</v>
      </c>
      <c r="M7">
        <v>14.416809279416043</v>
      </c>
      <c r="N7">
        <f t="shared" si="0"/>
        <v>-9.416809279416043</v>
      </c>
      <c r="O7">
        <v>7.4087557083441532E-4</v>
      </c>
      <c r="P7">
        <f t="shared" si="1"/>
        <v>-0.94881375131481849</v>
      </c>
      <c r="Q7">
        <f t="shared" si="2"/>
        <v>98.507215690706701</v>
      </c>
      <c r="R7">
        <f t="shared" si="3"/>
        <v>-0.94914090693055775</v>
      </c>
      <c r="S7">
        <f t="shared" si="4"/>
        <v>0.34266846368408377</v>
      </c>
      <c r="T7">
        <f t="shared" si="5"/>
        <v>3.339803955874275E-4</v>
      </c>
      <c r="U7">
        <f t="shared" si="6"/>
        <v>-2.5844269881602652E-2</v>
      </c>
      <c r="W7" t="s">
        <v>845</v>
      </c>
      <c r="X7" s="7">
        <f>COUNT(demanda!D2)</f>
        <v>1</v>
      </c>
    </row>
    <row r="8" spans="1:24" x14ac:dyDescent="0.35">
      <c r="A8" s="2" t="s">
        <v>812</v>
      </c>
      <c r="B8" s="2">
        <f>COUNT(demanda!I2:I1922)</f>
        <v>1921</v>
      </c>
      <c r="J8">
        <f t="shared" si="7"/>
        <v>5</v>
      </c>
      <c r="K8">
        <f>demanda!D6</f>
        <v>0</v>
      </c>
      <c r="L8">
        <f>demanda!I6</f>
        <v>16</v>
      </c>
      <c r="M8">
        <v>14.416809279416043</v>
      </c>
      <c r="N8">
        <f t="shared" si="0"/>
        <v>1.583190720583957</v>
      </c>
      <c r="O8">
        <v>7.4087557083441532E-4</v>
      </c>
      <c r="P8">
        <f t="shared" si="1"/>
        <v>0.15951827015628237</v>
      </c>
      <c r="Q8">
        <f t="shared" si="2"/>
        <v>98.552175905817947</v>
      </c>
      <c r="R8">
        <f t="shared" si="3"/>
        <v>0.1595368694422851</v>
      </c>
      <c r="S8">
        <f t="shared" si="4"/>
        <v>0.87326270170878273</v>
      </c>
      <c r="T8">
        <f t="shared" si="5"/>
        <v>9.440171775777902E-6</v>
      </c>
      <c r="U8">
        <f t="shared" si="6"/>
        <v>4.3440482649370034E-3</v>
      </c>
    </row>
    <row r="9" spans="1:24" x14ac:dyDescent="0.35">
      <c r="J9">
        <f t="shared" si="7"/>
        <v>6</v>
      </c>
      <c r="K9">
        <f>demanda!D7</f>
        <v>2</v>
      </c>
      <c r="L9">
        <f>demanda!I7</f>
        <v>3</v>
      </c>
      <c r="M9">
        <v>9.1555418996444509</v>
      </c>
      <c r="N9">
        <f t="shared" si="0"/>
        <v>-6.1555418996444509</v>
      </c>
      <c r="O9">
        <v>7.3144910189317154E-4</v>
      </c>
      <c r="P9">
        <f t="shared" si="1"/>
        <v>-0.62021674517118131</v>
      </c>
      <c r="Q9">
        <f t="shared" si="2"/>
        <v>98.533713924458709</v>
      </c>
      <c r="R9">
        <f t="shared" si="3"/>
        <v>-0.62034424251421916</v>
      </c>
      <c r="S9">
        <f t="shared" si="4"/>
        <v>0.53510483257501296</v>
      </c>
      <c r="T9">
        <f t="shared" si="5"/>
        <v>1.4088885884323287E-4</v>
      </c>
      <c r="U9">
        <f t="shared" si="6"/>
        <v>-1.6783545165498539E-2</v>
      </c>
    </row>
    <row r="10" spans="1:24" ht="15" thickBot="1" x14ac:dyDescent="0.4">
      <c r="A10" t="s">
        <v>816</v>
      </c>
      <c r="E10" s="3" t="s">
        <v>817</v>
      </c>
      <c r="F10" s="3">
        <v>0.05</v>
      </c>
      <c r="J10">
        <f t="shared" si="7"/>
        <v>7</v>
      </c>
      <c r="K10">
        <f>demanda!D8</f>
        <v>3</v>
      </c>
      <c r="L10">
        <f>demanda!I8</f>
        <v>4</v>
      </c>
      <c r="M10">
        <v>6.5249082097586548</v>
      </c>
      <c r="N10">
        <f t="shared" si="0"/>
        <v>-2.5249082097586548</v>
      </c>
      <c r="O10">
        <v>1.3734589687128761E-3</v>
      </c>
      <c r="P10">
        <f t="shared" si="1"/>
        <v>-0.2544033291046171</v>
      </c>
      <c r="Q10">
        <f t="shared" si="2"/>
        <v>98.550155270625524</v>
      </c>
      <c r="R10">
        <f t="shared" si="3"/>
        <v>-0.25451617384299874</v>
      </c>
      <c r="S10">
        <f t="shared" si="4"/>
        <v>0.79912408038987892</v>
      </c>
      <c r="T10">
        <f t="shared" si="5"/>
        <v>4.4568197050885148E-5</v>
      </c>
      <c r="U10">
        <f t="shared" si="6"/>
        <v>-9.4389063786870474E-3</v>
      </c>
    </row>
    <row r="11" spans="1:24" ht="15" thickTop="1" x14ac:dyDescent="0.35">
      <c r="A11" s="4"/>
      <c r="B11" s="4" t="s">
        <v>818</v>
      </c>
      <c r="C11" s="4" t="s">
        <v>819</v>
      </c>
      <c r="D11" s="4" t="s">
        <v>820</v>
      </c>
      <c r="E11" s="4" t="s">
        <v>821</v>
      </c>
      <c r="F11" s="4" t="s">
        <v>822</v>
      </c>
      <c r="G11" s="4" t="s">
        <v>823</v>
      </c>
      <c r="J11">
        <f t="shared" si="7"/>
        <v>8</v>
      </c>
      <c r="K11">
        <f>demanda!D9</f>
        <v>0</v>
      </c>
      <c r="L11">
        <f>demanda!I9</f>
        <v>10</v>
      </c>
      <c r="M11">
        <v>14.416809279416043</v>
      </c>
      <c r="N11">
        <f t="shared" si="0"/>
        <v>-4.416809279416043</v>
      </c>
      <c r="O11">
        <v>7.4087557083441532E-4</v>
      </c>
      <c r="P11">
        <f t="shared" si="1"/>
        <v>-0.44502646882795449</v>
      </c>
      <c r="Q11">
        <f t="shared" si="2"/>
        <v>98.543305041978172</v>
      </c>
      <c r="R11">
        <f t="shared" si="3"/>
        <v>-0.44509838991165818</v>
      </c>
      <c r="S11">
        <f t="shared" si="4"/>
        <v>0.65629885256814913</v>
      </c>
      <c r="T11">
        <f t="shared" si="5"/>
        <v>7.3473498325511761E-5</v>
      </c>
      <c r="U11">
        <f t="shared" si="6"/>
        <v>-1.2119636640616644E-2</v>
      </c>
    </row>
    <row r="12" spans="1:24" x14ac:dyDescent="0.35">
      <c r="A12" t="s">
        <v>824</v>
      </c>
      <c r="B12">
        <f>COUNT(demanda!D2)</f>
        <v>1</v>
      </c>
      <c r="C12">
        <f>DEVSQ(MMULT([1]!DESIGN(demanda!D2:D1922),B17:B18))</f>
        <v>32101.375054742162</v>
      </c>
      <c r="D12">
        <f>C12/B12</f>
        <v>32101.375054742162</v>
      </c>
      <c r="E12">
        <f>D12/D13</f>
        <v>325.89524742339597</v>
      </c>
      <c r="F12">
        <f>_xlfn.F.DIST.RT(E12,B12,B13)</f>
        <v>2.0695829201991533E-67</v>
      </c>
      <c r="G12" s="8" t="str">
        <f>IF(F12&lt;F10,"yes","no")</f>
        <v>yes</v>
      </c>
      <c r="J12">
        <f t="shared" si="7"/>
        <v>9</v>
      </c>
      <c r="K12">
        <f>demanda!D10</f>
        <v>2</v>
      </c>
      <c r="L12">
        <f>demanda!I10</f>
        <v>3</v>
      </c>
      <c r="M12">
        <v>9.1555418996444509</v>
      </c>
      <c r="N12">
        <f t="shared" si="0"/>
        <v>-6.1555418996444509</v>
      </c>
      <c r="O12">
        <v>7.3144910189317154E-4</v>
      </c>
      <c r="P12">
        <f t="shared" si="1"/>
        <v>-0.62021674517118131</v>
      </c>
      <c r="Q12">
        <f t="shared" si="2"/>
        <v>98.533713924458709</v>
      </c>
      <c r="R12">
        <f t="shared" si="3"/>
        <v>-0.62034424251421916</v>
      </c>
      <c r="S12">
        <f t="shared" si="4"/>
        <v>0.53510483257501296</v>
      </c>
      <c r="T12">
        <f t="shared" si="5"/>
        <v>1.4088885884323287E-4</v>
      </c>
      <c r="U12">
        <f t="shared" si="6"/>
        <v>-1.6783545165498539E-2</v>
      </c>
    </row>
    <row r="13" spans="1:24" x14ac:dyDescent="0.35">
      <c r="A13" t="s">
        <v>825</v>
      </c>
      <c r="B13">
        <f>B14-B12</f>
        <v>1919</v>
      </c>
      <c r="C13">
        <f>C14-C12</f>
        <v>189025.58173859326</v>
      </c>
      <c r="D13">
        <f>C13/B13</f>
        <v>98.502127013336775</v>
      </c>
      <c r="J13">
        <f t="shared" si="7"/>
        <v>10</v>
      </c>
      <c r="K13">
        <f>demanda!D11</f>
        <v>1</v>
      </c>
      <c r="L13">
        <f>demanda!I11</f>
        <v>17</v>
      </c>
      <c r="M13">
        <v>11.786175589530247</v>
      </c>
      <c r="N13">
        <f t="shared" si="0"/>
        <v>5.2138244104697531</v>
      </c>
      <c r="O13">
        <v>5.2058796926701797E-4</v>
      </c>
      <c r="P13">
        <f t="shared" si="1"/>
        <v>0.52533168622284654</v>
      </c>
      <c r="Q13">
        <f t="shared" si="2"/>
        <v>98.53930324014253</v>
      </c>
      <c r="R13">
        <f t="shared" si="3"/>
        <v>0.52536934840521532</v>
      </c>
      <c r="S13">
        <f t="shared" si="4"/>
        <v>0.59938715228216755</v>
      </c>
      <c r="T13">
        <f t="shared" si="5"/>
        <v>7.1909061372328232E-5</v>
      </c>
      <c r="U13">
        <f t="shared" si="6"/>
        <v>1.1990156964693431E-2</v>
      </c>
    </row>
    <row r="14" spans="1:24" x14ac:dyDescent="0.35">
      <c r="A14" s="2" t="s">
        <v>826</v>
      </c>
      <c r="B14" s="2">
        <f>B8-1</f>
        <v>1920</v>
      </c>
      <c r="C14" s="2">
        <f>DEVSQ(demanda!I2:I1922)</f>
        <v>221126.95679333541</v>
      </c>
      <c r="D14" s="2"/>
      <c r="E14" s="2"/>
      <c r="F14" s="2"/>
      <c r="G14" s="2"/>
      <c r="J14">
        <f t="shared" si="7"/>
        <v>11</v>
      </c>
      <c r="K14">
        <f>demanda!D12</f>
        <v>0</v>
      </c>
      <c r="L14">
        <f>demanda!I12</f>
        <v>9</v>
      </c>
      <c r="M14">
        <v>14.416809279416043</v>
      </c>
      <c r="N14">
        <f t="shared" si="0"/>
        <v>-5.416809279416043</v>
      </c>
      <c r="O14">
        <v>7.4087557083441532E-4</v>
      </c>
      <c r="P14">
        <f t="shared" si="1"/>
        <v>-0.54578392532532727</v>
      </c>
      <c r="Q14">
        <f t="shared" si="2"/>
        <v>98.538174223704843</v>
      </c>
      <c r="R14">
        <f t="shared" si="3"/>
        <v>-0.54588634131956315</v>
      </c>
      <c r="S14">
        <f t="shared" si="4"/>
        <v>0.58520751823074413</v>
      </c>
      <c r="T14">
        <f t="shared" si="5"/>
        <v>1.1050972928307278E-4</v>
      </c>
      <c r="U14">
        <f t="shared" si="6"/>
        <v>-1.4864003676090257E-2</v>
      </c>
    </row>
    <row r="15" spans="1:24" ht="15" thickBot="1" x14ac:dyDescent="0.4">
      <c r="J15">
        <f t="shared" si="7"/>
        <v>12</v>
      </c>
      <c r="K15">
        <f>demanda!D13</f>
        <v>0</v>
      </c>
      <c r="L15">
        <f>demanda!I13</f>
        <v>5</v>
      </c>
      <c r="M15">
        <v>14.416809279416043</v>
      </c>
      <c r="N15">
        <f t="shared" si="0"/>
        <v>-9.416809279416043</v>
      </c>
      <c r="O15">
        <v>7.4087557083441532E-4</v>
      </c>
      <c r="P15">
        <f t="shared" si="1"/>
        <v>-0.94881375131481849</v>
      </c>
      <c r="Q15">
        <f t="shared" si="2"/>
        <v>98.507215690706701</v>
      </c>
      <c r="R15">
        <f t="shared" si="3"/>
        <v>-0.94914090693055775</v>
      </c>
      <c r="S15">
        <f t="shared" si="4"/>
        <v>0.34266846368408377</v>
      </c>
      <c r="T15">
        <f t="shared" si="5"/>
        <v>3.339803955874275E-4</v>
      </c>
      <c r="U15">
        <f t="shared" si="6"/>
        <v>-2.5844269881602652E-2</v>
      </c>
    </row>
    <row r="16" spans="1:24" ht="15" thickTop="1" x14ac:dyDescent="0.35">
      <c r="A16" s="4"/>
      <c r="B16" s="4" t="s">
        <v>827</v>
      </c>
      <c r="C16" s="4" t="s">
        <v>828</v>
      </c>
      <c r="D16" s="4" t="s">
        <v>829</v>
      </c>
      <c r="E16" s="4" t="s">
        <v>822</v>
      </c>
      <c r="F16" s="4" t="s">
        <v>830</v>
      </c>
      <c r="G16" s="4" t="s">
        <v>831</v>
      </c>
      <c r="J16">
        <f t="shared" si="7"/>
        <v>13</v>
      </c>
      <c r="K16">
        <f>demanda!D14</f>
        <v>0</v>
      </c>
      <c r="L16">
        <f>demanda!I14</f>
        <v>35</v>
      </c>
      <c r="M16">
        <v>14.416809279416043</v>
      </c>
      <c r="N16">
        <f t="shared" si="0"/>
        <v>20.583190720583957</v>
      </c>
      <c r="O16">
        <v>7.4087557083441532E-4</v>
      </c>
      <c r="P16">
        <f t="shared" si="1"/>
        <v>2.0739099436063655</v>
      </c>
      <c r="Q16">
        <f t="shared" si="2"/>
        <v>98.3324295519039</v>
      </c>
      <c r="R16">
        <f t="shared" si="3"/>
        <v>2.0764680448505812</v>
      </c>
      <c r="S16">
        <f t="shared" si="4"/>
        <v>3.7983496279122689E-2</v>
      </c>
      <c r="T16">
        <f t="shared" si="5"/>
        <v>1.5956543547950811E-3</v>
      </c>
      <c r="U16">
        <f t="shared" si="6"/>
        <v>5.6540393696853389E-2</v>
      </c>
    </row>
    <row r="17" spans="1:21" x14ac:dyDescent="0.35">
      <c r="A17" t="s">
        <v>832</v>
      </c>
      <c r="B17">
        <f t="array" ref="B17:C18">[1]!RegCoeff(demanda!D2:D1922,demanda!I2:I1922)</f>
        <v>14.416809279416043</v>
      </c>
      <c r="C17">
        <v>0.27014407189388945</v>
      </c>
      <c r="D17">
        <f>B17/C17</f>
        <v>53.367113253104648</v>
      </c>
      <c r="E17">
        <f>_xlfn.T.DIST.2T(ABS(D17),$B$13)</f>
        <v>0</v>
      </c>
      <c r="F17">
        <f>B17-_xlfn.T.INV.2T(F$10,$B$13)*C17</f>
        <v>13.887002468132808</v>
      </c>
      <c r="G17">
        <f>B17+_xlfn.T.INV.2T(F$10,$B$13)*C17</f>
        <v>14.946616090699278</v>
      </c>
      <c r="J17">
        <f t="shared" si="7"/>
        <v>14</v>
      </c>
      <c r="K17">
        <f>demanda!D15</f>
        <v>2</v>
      </c>
      <c r="L17">
        <f>demanda!I15</f>
        <v>5</v>
      </c>
      <c r="M17">
        <v>9.1555418996444509</v>
      </c>
      <c r="N17">
        <f t="shared" si="0"/>
        <v>-4.1555418996444509</v>
      </c>
      <c r="O17">
        <v>7.3144910189317154E-4</v>
      </c>
      <c r="P17">
        <f t="shared" si="1"/>
        <v>-0.4187018321764357</v>
      </c>
      <c r="Q17">
        <f t="shared" si="2"/>
        <v>98.544473706891381</v>
      </c>
      <c r="R17">
        <f t="shared" si="3"/>
        <v>-0.41876504056165376</v>
      </c>
      <c r="S17">
        <f t="shared" si="4"/>
        <v>0.67543472022045181</v>
      </c>
      <c r="T17">
        <f t="shared" si="5"/>
        <v>6.420951640425571E-5</v>
      </c>
      <c r="U17">
        <f t="shared" si="6"/>
        <v>-1.1329777066218591E-2</v>
      </c>
    </row>
    <row r="18" spans="1:21" x14ac:dyDescent="0.35">
      <c r="A18" s="2" t="str">
        <f t="array" ref="A18">TRANSPOSE(demanda!D1)</f>
        <v>alumnos_esperando</v>
      </c>
      <c r="B18" s="2">
        <v>-2.630633689885796</v>
      </c>
      <c r="C18" s="2">
        <v>0.14572073870450561</v>
      </c>
      <c r="D18" s="2">
        <f>B18/C18</f>
        <v>-18.05256899788457</v>
      </c>
      <c r="E18" s="2">
        <f>_xlfn.T.DIST.2T(ABS(D18),$B$13)</f>
        <v>2.069582920210839E-67</v>
      </c>
      <c r="F18" s="2">
        <f>B18-_xlfn.T.INV.2T(F$10,$B$13)*C18</f>
        <v>-2.9164213415252389</v>
      </c>
      <c r="G18" s="2">
        <f>B18+_xlfn.T.INV.2T(F$10,$B$13)*C18</f>
        <v>-2.3448460382463532</v>
      </c>
      <c r="J18">
        <f t="shared" si="7"/>
        <v>15</v>
      </c>
      <c r="K18">
        <f>demanda!D16</f>
        <v>1</v>
      </c>
      <c r="L18">
        <f>demanda!I16</f>
        <v>2</v>
      </c>
      <c r="M18">
        <v>11.786175589530247</v>
      </c>
      <c r="N18">
        <f t="shared" si="0"/>
        <v>-9.7861755895302469</v>
      </c>
      <c r="O18">
        <v>5.2058796926701797E-4</v>
      </c>
      <c r="P18">
        <f t="shared" si="1"/>
        <v>-0.98603016123774556</v>
      </c>
      <c r="Q18">
        <f t="shared" si="2"/>
        <v>98.503525872599127</v>
      </c>
      <c r="R18">
        <f t="shared" si="3"/>
        <v>-0.98627991600190701</v>
      </c>
      <c r="S18">
        <f t="shared" si="4"/>
        <v>0.32412010689798754</v>
      </c>
      <c r="T18">
        <f t="shared" si="5"/>
        <v>2.5333595131680776E-4</v>
      </c>
      <c r="U18">
        <f t="shared" si="6"/>
        <v>-2.2509213831916283E-2</v>
      </c>
    </row>
    <row r="19" spans="1:21" x14ac:dyDescent="0.35">
      <c r="J19">
        <f t="shared" si="7"/>
        <v>16</v>
      </c>
      <c r="K19">
        <f>demanda!D17</f>
        <v>0</v>
      </c>
      <c r="L19">
        <f>demanda!I17</f>
        <v>8</v>
      </c>
      <c r="M19">
        <v>14.416809279416043</v>
      </c>
      <c r="N19">
        <f t="shared" si="0"/>
        <v>-6.416809279416043</v>
      </c>
      <c r="O19">
        <v>7.4087557083441532E-4</v>
      </c>
      <c r="P19">
        <f t="shared" si="1"/>
        <v>-0.64654138182270005</v>
      </c>
      <c r="Q19">
        <f t="shared" si="2"/>
        <v>98.531999879441045</v>
      </c>
      <c r="R19">
        <f t="shared" si="3"/>
        <v>-0.64668296559256133</v>
      </c>
      <c r="S19">
        <f t="shared" si="4"/>
        <v>0.51791448613837154</v>
      </c>
      <c r="T19">
        <f t="shared" si="5"/>
        <v>1.5507853448804487E-4</v>
      </c>
      <c r="U19">
        <f t="shared" si="6"/>
        <v>-1.7608606866032061E-2</v>
      </c>
    </row>
    <row r="20" spans="1:21" x14ac:dyDescent="0.35">
      <c r="A20" t="s">
        <v>846</v>
      </c>
      <c r="J20">
        <f t="shared" si="7"/>
        <v>17</v>
      </c>
      <c r="K20">
        <f>demanda!D18</f>
        <v>0</v>
      </c>
      <c r="L20">
        <f>demanda!I18</f>
        <v>3</v>
      </c>
      <c r="M20">
        <v>14.416809279416043</v>
      </c>
      <c r="N20">
        <f t="shared" si="0"/>
        <v>-11.416809279416043</v>
      </c>
      <c r="O20">
        <v>7.4087557083441532E-4</v>
      </c>
      <c r="P20">
        <f t="shared" si="1"/>
        <v>-1.150328664309564</v>
      </c>
      <c r="Q20">
        <f t="shared" si="2"/>
        <v>98.485475268264722</v>
      </c>
      <c r="R20">
        <f t="shared" si="3"/>
        <v>-1.1508523061099405</v>
      </c>
      <c r="S20">
        <f t="shared" si="4"/>
        <v>0.24993638008158123</v>
      </c>
      <c r="T20">
        <f t="shared" si="5"/>
        <v>4.9091117422407117E-4</v>
      </c>
      <c r="U20">
        <f t="shared" si="6"/>
        <v>-3.1336693399040466E-2</v>
      </c>
    </row>
    <row r="21" spans="1:21" x14ac:dyDescent="0.35">
      <c r="J21">
        <f t="shared" si="7"/>
        <v>18</v>
      </c>
      <c r="K21">
        <f>demanda!D19</f>
        <v>2</v>
      </c>
      <c r="L21">
        <f>demanda!I19</f>
        <v>2</v>
      </c>
      <c r="M21">
        <v>9.1555418996444509</v>
      </c>
      <c r="N21">
        <f t="shared" si="0"/>
        <v>-7.1555418996444509</v>
      </c>
      <c r="O21">
        <v>7.3144910189317154E-4</v>
      </c>
      <c r="P21">
        <f t="shared" si="1"/>
        <v>-0.72097420166855408</v>
      </c>
      <c r="Q21">
        <f t="shared" si="2"/>
        <v>98.526768759022602</v>
      </c>
      <c r="R21">
        <f t="shared" si="3"/>
        <v>-0.72114782718324122</v>
      </c>
      <c r="S21">
        <f t="shared" si="4"/>
        <v>0.47090641241117204</v>
      </c>
      <c r="T21">
        <f t="shared" si="5"/>
        <v>1.9038342084795563E-4</v>
      </c>
      <c r="U21">
        <f t="shared" si="6"/>
        <v>-1.9510807546913981E-2</v>
      </c>
    </row>
    <row r="22" spans="1:21" x14ac:dyDescent="0.35">
      <c r="A22" s="9"/>
      <c r="B22" s="9" t="str">
        <f>N3</f>
        <v>Residual</v>
      </c>
      <c r="J22">
        <f t="shared" si="7"/>
        <v>19</v>
      </c>
      <c r="K22">
        <f>demanda!D20</f>
        <v>0</v>
      </c>
      <c r="L22">
        <f>demanda!I20</f>
        <v>3</v>
      </c>
      <c r="M22">
        <v>14.416809279416043</v>
      </c>
      <c r="N22">
        <f t="shared" si="0"/>
        <v>-11.416809279416043</v>
      </c>
      <c r="O22">
        <v>7.4087557083441532E-4</v>
      </c>
      <c r="P22">
        <f t="shared" si="1"/>
        <v>-1.150328664309564</v>
      </c>
      <c r="Q22">
        <f t="shared" si="2"/>
        <v>98.485475268264722</v>
      </c>
      <c r="R22">
        <f t="shared" si="3"/>
        <v>-1.1508523061099405</v>
      </c>
      <c r="S22">
        <f t="shared" si="4"/>
        <v>0.24993638008158123</v>
      </c>
      <c r="T22">
        <f t="shared" si="5"/>
        <v>4.9091117422407117E-4</v>
      </c>
      <c r="U22">
        <f t="shared" si="6"/>
        <v>-3.1336693399040466E-2</v>
      </c>
    </row>
    <row r="23" spans="1:21" x14ac:dyDescent="0.35">
      <c r="A23" t="s">
        <v>847</v>
      </c>
      <c r="B23">
        <f>[1]!SHAPIRO(N4:N1924)</f>
        <v>0.68031108269359586</v>
      </c>
      <c r="J23">
        <f t="shared" si="7"/>
        <v>20</v>
      </c>
      <c r="K23">
        <f>demanda!D21</f>
        <v>2</v>
      </c>
      <c r="L23">
        <f>demanda!I21</f>
        <v>12</v>
      </c>
      <c r="M23">
        <v>9.1555418996444509</v>
      </c>
      <c r="N23">
        <f t="shared" si="0"/>
        <v>2.8444581003555491</v>
      </c>
      <c r="O23">
        <v>7.3144910189317154E-4</v>
      </c>
      <c r="P23">
        <f t="shared" si="1"/>
        <v>0.28660036330517391</v>
      </c>
      <c r="Q23">
        <f t="shared" si="2"/>
        <v>98.549262186790372</v>
      </c>
      <c r="R23">
        <f t="shared" si="3"/>
        <v>0.28663666523797338</v>
      </c>
      <c r="S23">
        <f t="shared" si="4"/>
        <v>0.77442147974173436</v>
      </c>
      <c r="T23">
        <f t="shared" si="5"/>
        <v>3.0084524357754542E-5</v>
      </c>
      <c r="U23">
        <f t="shared" si="6"/>
        <v>7.7550158241359701E-3</v>
      </c>
    </row>
    <row r="24" spans="1:21" x14ac:dyDescent="0.35">
      <c r="A24" t="s">
        <v>822</v>
      </c>
      <c r="B24">
        <f>[1]!SWTEST(N4:N1924)</f>
        <v>0</v>
      </c>
      <c r="J24">
        <f t="shared" si="7"/>
        <v>21</v>
      </c>
      <c r="K24">
        <f>demanda!D22</f>
        <v>5</v>
      </c>
      <c r="L24">
        <f>demanda!I22</f>
        <v>2</v>
      </c>
      <c r="M24">
        <v>1.2636408299870627</v>
      </c>
      <c r="N24">
        <f t="shared" si="0"/>
        <v>0.73635917001293727</v>
      </c>
      <c r="O24">
        <v>3.9509249049329382E-3</v>
      </c>
      <c r="P24">
        <f t="shared" si="1"/>
        <v>7.4193677039020078E-2</v>
      </c>
      <c r="Q24">
        <f t="shared" si="2"/>
        <v>98.553199876422468</v>
      </c>
      <c r="R24">
        <f t="shared" si="3"/>
        <v>7.4321414457959423E-2</v>
      </c>
      <c r="S24">
        <f t="shared" si="4"/>
        <v>0.94076238398569867</v>
      </c>
      <c r="T24">
        <f t="shared" si="5"/>
        <v>1.0960770814463366E-5</v>
      </c>
      <c r="U24">
        <f t="shared" si="6"/>
        <v>4.680831262592092E-3</v>
      </c>
    </row>
    <row r="25" spans="1:21" x14ac:dyDescent="0.35">
      <c r="A25" t="s">
        <v>848</v>
      </c>
      <c r="B25">
        <v>0.05</v>
      </c>
      <c r="J25">
        <f t="shared" si="7"/>
        <v>22</v>
      </c>
      <c r="K25">
        <f>demanda!D23</f>
        <v>4</v>
      </c>
      <c r="L25">
        <f>demanda!I23</f>
        <v>7</v>
      </c>
      <c r="M25">
        <v>3.8942745198728588</v>
      </c>
      <c r="N25">
        <f t="shared" si="0"/>
        <v>3.1057254801271412</v>
      </c>
      <c r="O25">
        <v>2.4466175697261316E-3</v>
      </c>
      <c r="P25">
        <f t="shared" si="1"/>
        <v>0.31292499995669271</v>
      </c>
      <c r="Q25">
        <f t="shared" si="2"/>
        <v>98.548442414510234</v>
      </c>
      <c r="R25">
        <f t="shared" si="3"/>
        <v>0.31323487533497651</v>
      </c>
      <c r="S25">
        <f t="shared" si="4"/>
        <v>0.75413626378186993</v>
      </c>
      <c r="T25">
        <f t="shared" si="5"/>
        <v>1.203772243383327E-4</v>
      </c>
      <c r="U25">
        <f t="shared" si="6"/>
        <v>1.5512617440902718E-2</v>
      </c>
    </row>
    <row r="26" spans="1:21" x14ac:dyDescent="0.35">
      <c r="A26" s="2" t="s">
        <v>849</v>
      </c>
      <c r="B26" s="12" t="str">
        <f>IF(B24&lt;B25,"no","yes")</f>
        <v>no</v>
      </c>
      <c r="J26">
        <f t="shared" si="7"/>
        <v>23</v>
      </c>
      <c r="K26">
        <f>demanda!D24</f>
        <v>2</v>
      </c>
      <c r="L26">
        <f>demanda!I24</f>
        <v>10</v>
      </c>
      <c r="M26">
        <v>9.1555418996444509</v>
      </c>
      <c r="N26">
        <f t="shared" si="0"/>
        <v>0.84445810035554913</v>
      </c>
      <c r="O26">
        <v>7.3144910189317154E-4</v>
      </c>
      <c r="P26">
        <f t="shared" si="1"/>
        <v>8.5085450310428315E-2</v>
      </c>
      <c r="Q26">
        <f t="shared" si="2"/>
        <v>98.553111630408949</v>
      </c>
      <c r="R26">
        <f t="shared" si="3"/>
        <v>8.5094565641383624E-2</v>
      </c>
      <c r="S26">
        <f t="shared" si="4"/>
        <v>0.9321950870824135</v>
      </c>
      <c r="T26">
        <f t="shared" si="5"/>
        <v>2.6515528012122139E-6</v>
      </c>
      <c r="U26">
        <f t="shared" si="6"/>
        <v>2.3022515369728867E-3</v>
      </c>
    </row>
    <row r="27" spans="1:21" x14ac:dyDescent="0.35">
      <c r="J27">
        <f t="shared" si="7"/>
        <v>24</v>
      </c>
      <c r="K27">
        <f>demanda!D25</f>
        <v>0</v>
      </c>
      <c r="L27">
        <f>demanda!I25</f>
        <v>12</v>
      </c>
      <c r="M27">
        <v>14.416809279416043</v>
      </c>
      <c r="N27">
        <f t="shared" si="0"/>
        <v>-2.416809279416043</v>
      </c>
      <c r="O27">
        <v>7.4087557083441532E-4</v>
      </c>
      <c r="P27">
        <f t="shared" si="1"/>
        <v>-0.24351155583320885</v>
      </c>
      <c r="Q27">
        <f t="shared" si="2"/>
        <v>98.55043610055337</v>
      </c>
      <c r="R27">
        <f t="shared" si="3"/>
        <v>-0.24354209816225414</v>
      </c>
      <c r="S27">
        <f t="shared" si="4"/>
        <v>0.80761150818210881</v>
      </c>
      <c r="T27">
        <f t="shared" si="5"/>
        <v>2.199875915262289E-5</v>
      </c>
      <c r="U27">
        <f t="shared" si="6"/>
        <v>-6.6314365617133417E-3</v>
      </c>
    </row>
    <row r="28" spans="1:21" x14ac:dyDescent="0.35">
      <c r="A28" t="s">
        <v>850</v>
      </c>
      <c r="J28">
        <f t="shared" si="7"/>
        <v>25</v>
      </c>
      <c r="K28">
        <f>demanda!D26</f>
        <v>0</v>
      </c>
      <c r="L28">
        <f>demanda!I26</f>
        <v>35</v>
      </c>
      <c r="M28">
        <v>14.416809279416043</v>
      </c>
      <c r="N28">
        <f t="shared" si="0"/>
        <v>20.583190720583957</v>
      </c>
      <c r="O28">
        <v>7.4087557083441532E-4</v>
      </c>
      <c r="P28">
        <f t="shared" si="1"/>
        <v>2.0739099436063655</v>
      </c>
      <c r="Q28">
        <f t="shared" si="2"/>
        <v>98.3324295519039</v>
      </c>
      <c r="R28">
        <f t="shared" si="3"/>
        <v>2.0764680448505812</v>
      </c>
      <c r="S28">
        <f t="shared" si="4"/>
        <v>3.7983496279122689E-2</v>
      </c>
      <c r="T28">
        <f t="shared" si="5"/>
        <v>1.5956543547950811E-3</v>
      </c>
      <c r="U28">
        <f t="shared" si="6"/>
        <v>5.6540393696853389E-2</v>
      </c>
    </row>
    <row r="29" spans="1:21" x14ac:dyDescent="0.35">
      <c r="J29">
        <f t="shared" si="7"/>
        <v>26</v>
      </c>
      <c r="K29">
        <f>demanda!D27</f>
        <v>4</v>
      </c>
      <c r="L29">
        <f>demanda!I27</f>
        <v>4</v>
      </c>
      <c r="M29">
        <v>3.8942745198728588</v>
      </c>
      <c r="N29">
        <f t="shared" si="0"/>
        <v>0.10572548012714122</v>
      </c>
      <c r="O29">
        <v>2.4466175697261316E-3</v>
      </c>
      <c r="P29">
        <f t="shared" si="1"/>
        <v>1.0652630464574285E-2</v>
      </c>
      <c r="Q29">
        <f t="shared" si="2"/>
        <v>98.553477858863673</v>
      </c>
      <c r="R29">
        <f t="shared" si="3"/>
        <v>1.0662906866275572E-2</v>
      </c>
      <c r="S29">
        <f t="shared" si="4"/>
        <v>0.99149350080457299</v>
      </c>
      <c r="T29">
        <f t="shared" si="5"/>
        <v>1.3950106623021426E-7</v>
      </c>
      <c r="U29">
        <f t="shared" si="6"/>
        <v>5.2806889669490694E-4</v>
      </c>
    </row>
    <row r="30" spans="1:21" x14ac:dyDescent="0.35">
      <c r="A30" s="11" t="s">
        <v>851</v>
      </c>
      <c r="B30" s="11">
        <f>[1]!DAGOSTINO(N4:N1924)</f>
        <v>1556.0927673057358</v>
      </c>
      <c r="J30">
        <f t="shared" si="7"/>
        <v>27</v>
      </c>
      <c r="K30">
        <f>demanda!D28</f>
        <v>4</v>
      </c>
      <c r="L30">
        <f>demanda!I28</f>
        <v>3</v>
      </c>
      <c r="M30">
        <v>3.8942745198728588</v>
      </c>
      <c r="N30">
        <f t="shared" si="0"/>
        <v>-0.89427451987285878</v>
      </c>
      <c r="O30">
        <v>2.4466175697261316E-3</v>
      </c>
      <c r="P30">
        <f t="shared" si="1"/>
        <v>-9.0104826032798527E-2</v>
      </c>
      <c r="Q30">
        <f t="shared" si="2"/>
        <v>98.553065719630368</v>
      </c>
      <c r="R30">
        <f t="shared" si="3"/>
        <v>-9.0191937130002245E-2</v>
      </c>
      <c r="S30">
        <f t="shared" si="4"/>
        <v>0.92814410376796586</v>
      </c>
      <c r="T30">
        <f t="shared" si="5"/>
        <v>9.9806748742546123E-6</v>
      </c>
      <c r="U30">
        <f t="shared" si="6"/>
        <v>-4.4666578568412878E-3</v>
      </c>
    </row>
    <row r="31" spans="1:21" x14ac:dyDescent="0.35">
      <c r="A31" t="s">
        <v>822</v>
      </c>
      <c r="B31">
        <f>[1]!DPTEST(N4:N1924)</f>
        <v>0</v>
      </c>
      <c r="J31">
        <f t="shared" si="7"/>
        <v>28</v>
      </c>
      <c r="K31">
        <f>demanda!D29</f>
        <v>2</v>
      </c>
      <c r="L31">
        <f>demanda!I29</f>
        <v>3</v>
      </c>
      <c r="M31">
        <v>9.1555418996444509</v>
      </c>
      <c r="N31">
        <f t="shared" si="0"/>
        <v>-6.1555418996444509</v>
      </c>
      <c r="O31">
        <v>7.3144910189317154E-4</v>
      </c>
      <c r="P31">
        <f t="shared" si="1"/>
        <v>-0.62021674517118131</v>
      </c>
      <c r="Q31">
        <f t="shared" si="2"/>
        <v>98.533713924458709</v>
      </c>
      <c r="R31">
        <f t="shared" si="3"/>
        <v>-0.62034424251421916</v>
      </c>
      <c r="S31">
        <f t="shared" si="4"/>
        <v>0.53510483257501296</v>
      </c>
      <c r="T31">
        <f t="shared" si="5"/>
        <v>1.4088885884323287E-4</v>
      </c>
      <c r="U31">
        <f t="shared" si="6"/>
        <v>-1.6783545165498539E-2</v>
      </c>
    </row>
    <row r="32" spans="1:21" x14ac:dyDescent="0.35">
      <c r="A32" t="s">
        <v>848</v>
      </c>
      <c r="B32">
        <v>0.05</v>
      </c>
      <c r="J32">
        <f t="shared" si="7"/>
        <v>29</v>
      </c>
      <c r="K32">
        <f>demanda!D30</f>
        <v>5</v>
      </c>
      <c r="L32">
        <f>demanda!I30</f>
        <v>3</v>
      </c>
      <c r="M32">
        <v>1.2636408299870627</v>
      </c>
      <c r="N32">
        <f t="shared" si="0"/>
        <v>1.7363591700129373</v>
      </c>
      <c r="O32">
        <v>3.9509249049329382E-3</v>
      </c>
      <c r="P32">
        <f t="shared" si="1"/>
        <v>0.17495113353639288</v>
      </c>
      <c r="Q32">
        <f t="shared" si="2"/>
        <v>98.551905545548507</v>
      </c>
      <c r="R32">
        <f t="shared" si="3"/>
        <v>0.17525349341046803</v>
      </c>
      <c r="S32">
        <f t="shared" si="4"/>
        <v>0.86089894193681449</v>
      </c>
      <c r="T32">
        <f t="shared" si="5"/>
        <v>6.0945385407997739E-5</v>
      </c>
      <c r="U32">
        <f t="shared" si="6"/>
        <v>1.1037626730021724E-2</v>
      </c>
    </row>
    <row r="33" spans="1:21" x14ac:dyDescent="0.35">
      <c r="A33" s="2" t="s">
        <v>849</v>
      </c>
      <c r="B33" s="10" t="str">
        <f>IF(B31&lt;B32,"no","yes")</f>
        <v>no</v>
      </c>
      <c r="J33">
        <f t="shared" si="7"/>
        <v>30</v>
      </c>
      <c r="K33">
        <f>demanda!D31</f>
        <v>4</v>
      </c>
      <c r="L33">
        <f>demanda!I31</f>
        <v>2</v>
      </c>
      <c r="M33">
        <v>3.8942745198728588</v>
      </c>
      <c r="N33">
        <f t="shared" si="0"/>
        <v>-1.8942745198728588</v>
      </c>
      <c r="O33">
        <v>2.4466175697261316E-3</v>
      </c>
      <c r="P33">
        <f t="shared" si="1"/>
        <v>-0.19086228253017132</v>
      </c>
      <c r="Q33">
        <f t="shared" si="2"/>
        <v>98.551608270054842</v>
      </c>
      <c r="R33">
        <f t="shared" si="3"/>
        <v>-0.19104821608300357</v>
      </c>
      <c r="S33">
        <f t="shared" si="4"/>
        <v>0.84850802764464628</v>
      </c>
      <c r="T33">
        <f t="shared" si="5"/>
        <v>4.4782056131641625E-5</v>
      </c>
      <c r="U33">
        <f t="shared" si="6"/>
        <v>-9.4614556750527434E-3</v>
      </c>
    </row>
    <row r="34" spans="1:21" x14ac:dyDescent="0.35">
      <c r="J34">
        <f t="shared" si="7"/>
        <v>31</v>
      </c>
      <c r="K34">
        <f>demanda!D32</f>
        <v>0</v>
      </c>
      <c r="L34">
        <f>demanda!I32</f>
        <v>21</v>
      </c>
      <c r="M34">
        <v>14.416809279416043</v>
      </c>
      <c r="N34">
        <f t="shared" si="0"/>
        <v>6.583190720583957</v>
      </c>
      <c r="O34">
        <v>7.4087557083441532E-4</v>
      </c>
      <c r="P34">
        <f t="shared" si="1"/>
        <v>0.66330555264314639</v>
      </c>
      <c r="Q34">
        <f t="shared" si="2"/>
        <v>98.530871327612786</v>
      </c>
      <c r="R34">
        <f t="shared" si="3"/>
        <v>0.66345460704039183</v>
      </c>
      <c r="S34">
        <f t="shared" si="4"/>
        <v>0.507119133075143</v>
      </c>
      <c r="T34">
        <f t="shared" si="5"/>
        <v>1.6322485812147056E-4</v>
      </c>
      <c r="U34">
        <f t="shared" si="6"/>
        <v>1.8065283872333419E-2</v>
      </c>
    </row>
    <row r="35" spans="1:21" x14ac:dyDescent="0.35">
      <c r="J35">
        <f t="shared" si="7"/>
        <v>32</v>
      </c>
      <c r="K35">
        <f>demanda!D33</f>
        <v>2</v>
      </c>
      <c r="L35">
        <f>demanda!I33</f>
        <v>5</v>
      </c>
      <c r="M35">
        <v>9.1555418996444509</v>
      </c>
      <c r="N35">
        <f t="shared" si="0"/>
        <v>-4.1555418996444509</v>
      </c>
      <c r="O35">
        <v>7.3144910189317154E-4</v>
      </c>
      <c r="P35">
        <f t="shared" si="1"/>
        <v>-0.4187018321764357</v>
      </c>
      <c r="Q35">
        <f t="shared" si="2"/>
        <v>98.544473706891381</v>
      </c>
      <c r="R35">
        <f t="shared" si="3"/>
        <v>-0.41876504056165376</v>
      </c>
      <c r="S35">
        <f t="shared" si="4"/>
        <v>0.67543472022045181</v>
      </c>
      <c r="T35">
        <f t="shared" si="5"/>
        <v>6.420951640425571E-5</v>
      </c>
      <c r="U35">
        <f t="shared" si="6"/>
        <v>-1.1329777066218591E-2</v>
      </c>
    </row>
    <row r="36" spans="1:21" x14ac:dyDescent="0.35">
      <c r="J36">
        <f t="shared" si="7"/>
        <v>33</v>
      </c>
      <c r="K36">
        <f>demanda!D34</f>
        <v>5</v>
      </c>
      <c r="L36">
        <f>demanda!I34</f>
        <v>2</v>
      </c>
      <c r="M36">
        <v>1.2636408299870627</v>
      </c>
      <c r="N36">
        <f t="shared" si="0"/>
        <v>0.73635917001293727</v>
      </c>
      <c r="O36">
        <v>3.9509249049329382E-3</v>
      </c>
      <c r="P36">
        <f t="shared" si="1"/>
        <v>7.4193677039020078E-2</v>
      </c>
      <c r="Q36">
        <f t="shared" si="2"/>
        <v>98.553199876422468</v>
      </c>
      <c r="R36">
        <f t="shared" si="3"/>
        <v>7.4321414457959423E-2</v>
      </c>
      <c r="S36">
        <f t="shared" si="4"/>
        <v>0.94076238398569867</v>
      </c>
      <c r="T36">
        <f t="shared" si="5"/>
        <v>1.0960770814463366E-5</v>
      </c>
      <c r="U36">
        <f t="shared" si="6"/>
        <v>4.680831262592092E-3</v>
      </c>
    </row>
    <row r="37" spans="1:21" x14ac:dyDescent="0.35">
      <c r="J37">
        <f t="shared" si="7"/>
        <v>34</v>
      </c>
      <c r="K37">
        <f>demanda!D35</f>
        <v>3</v>
      </c>
      <c r="L37">
        <f>demanda!I35</f>
        <v>9</v>
      </c>
      <c r="M37">
        <v>6.5249082097586548</v>
      </c>
      <c r="N37">
        <f t="shared" si="0"/>
        <v>2.4750917902413452</v>
      </c>
      <c r="O37">
        <v>1.3734589687128761E-3</v>
      </c>
      <c r="P37">
        <f t="shared" si="1"/>
        <v>0.24938395338224692</v>
      </c>
      <c r="Q37">
        <f t="shared" si="2"/>
        <v>98.550285314771585</v>
      </c>
      <c r="R37">
        <f t="shared" si="3"/>
        <v>0.24949440708179485</v>
      </c>
      <c r="S37">
        <f t="shared" si="4"/>
        <v>0.80300506873249644</v>
      </c>
      <c r="T37">
        <f t="shared" si="5"/>
        <v>4.2826885860052115E-5</v>
      </c>
      <c r="U37">
        <f t="shared" si="6"/>
        <v>9.2526707238015336E-3</v>
      </c>
    </row>
    <row r="38" spans="1:21" x14ac:dyDescent="0.35">
      <c r="J38">
        <f t="shared" si="7"/>
        <v>35</v>
      </c>
      <c r="K38">
        <f>demanda!D36</f>
        <v>2</v>
      </c>
      <c r="L38">
        <f>demanda!I36</f>
        <v>21</v>
      </c>
      <c r="M38">
        <v>9.1555418996444509</v>
      </c>
      <c r="N38">
        <f t="shared" si="0"/>
        <v>11.844458100355549</v>
      </c>
      <c r="O38">
        <v>7.3144910189317154E-4</v>
      </c>
      <c r="P38">
        <f t="shared" si="1"/>
        <v>1.1934174717815291</v>
      </c>
      <c r="Q38">
        <f t="shared" si="2"/>
        <v>98.480285641254</v>
      </c>
      <c r="R38">
        <f t="shared" si="3"/>
        <v>1.1939865550949609</v>
      </c>
      <c r="S38">
        <f t="shared" si="4"/>
        <v>0.23263079718405388</v>
      </c>
      <c r="T38">
        <f t="shared" si="5"/>
        <v>5.2164429227492457E-4</v>
      </c>
      <c r="U38">
        <f t="shared" si="6"/>
        <v>3.2303559702941805E-2</v>
      </c>
    </row>
    <row r="39" spans="1:21" x14ac:dyDescent="0.35">
      <c r="J39">
        <f t="shared" si="7"/>
        <v>36</v>
      </c>
      <c r="K39">
        <f>demanda!D37</f>
        <v>0</v>
      </c>
      <c r="L39">
        <f>demanda!I37</f>
        <v>16</v>
      </c>
      <c r="M39">
        <v>14.416809279416043</v>
      </c>
      <c r="N39">
        <f t="shared" si="0"/>
        <v>1.583190720583957</v>
      </c>
      <c r="O39">
        <v>7.4087557083441532E-4</v>
      </c>
      <c r="P39">
        <f t="shared" si="1"/>
        <v>0.15951827015628237</v>
      </c>
      <c r="Q39">
        <f t="shared" si="2"/>
        <v>98.552175905817947</v>
      </c>
      <c r="R39">
        <f t="shared" si="3"/>
        <v>0.1595368694422851</v>
      </c>
      <c r="S39">
        <f t="shared" si="4"/>
        <v>0.87326270170878273</v>
      </c>
      <c r="T39">
        <f t="shared" si="5"/>
        <v>9.440171775777902E-6</v>
      </c>
      <c r="U39">
        <f t="shared" si="6"/>
        <v>4.3440482649370034E-3</v>
      </c>
    </row>
    <row r="40" spans="1:21" x14ac:dyDescent="0.35">
      <c r="J40">
        <f t="shared" si="7"/>
        <v>37</v>
      </c>
      <c r="K40">
        <f>demanda!D38</f>
        <v>0</v>
      </c>
      <c r="L40">
        <f>demanda!I38</f>
        <v>21</v>
      </c>
      <c r="M40">
        <v>14.416809279416043</v>
      </c>
      <c r="N40">
        <f t="shared" si="0"/>
        <v>6.583190720583957</v>
      </c>
      <c r="O40">
        <v>7.4087557083441532E-4</v>
      </c>
      <c r="P40">
        <f t="shared" si="1"/>
        <v>0.66330555264314639</v>
      </c>
      <c r="Q40">
        <f t="shared" si="2"/>
        <v>98.530871327612786</v>
      </c>
      <c r="R40">
        <f t="shared" si="3"/>
        <v>0.66345460704039183</v>
      </c>
      <c r="S40">
        <f t="shared" si="4"/>
        <v>0.507119133075143</v>
      </c>
      <c r="T40">
        <f t="shared" si="5"/>
        <v>1.6322485812147056E-4</v>
      </c>
      <c r="U40">
        <f t="shared" si="6"/>
        <v>1.8065283872333419E-2</v>
      </c>
    </row>
    <row r="41" spans="1:21" x14ac:dyDescent="0.35">
      <c r="J41">
        <f t="shared" si="7"/>
        <v>38</v>
      </c>
      <c r="K41">
        <f>demanda!D39</f>
        <v>0</v>
      </c>
      <c r="L41">
        <f>demanda!I39</f>
        <v>49</v>
      </c>
      <c r="M41">
        <v>14.416809279416043</v>
      </c>
      <c r="N41">
        <f t="shared" si="0"/>
        <v>34.583190720583957</v>
      </c>
      <c r="O41">
        <v>7.4087557083441532E-4</v>
      </c>
      <c r="P41">
        <f t="shared" si="1"/>
        <v>3.4845143345695848</v>
      </c>
      <c r="Q41">
        <f t="shared" si="2"/>
        <v>97.92945668206012</v>
      </c>
      <c r="R41">
        <f t="shared" si="3"/>
        <v>3.4959831113165705</v>
      </c>
      <c r="S41">
        <f t="shared" si="4"/>
        <v>4.8305416689257676E-4</v>
      </c>
      <c r="T41">
        <f t="shared" si="5"/>
        <v>4.5044684039612596E-3</v>
      </c>
      <c r="U41">
        <f t="shared" si="6"/>
        <v>9.519253713611224E-2</v>
      </c>
    </row>
    <row r="42" spans="1:21" x14ac:dyDescent="0.35">
      <c r="J42">
        <f t="shared" si="7"/>
        <v>39</v>
      </c>
      <c r="K42">
        <f>demanda!D40</f>
        <v>0</v>
      </c>
      <c r="L42">
        <f>demanda!I40</f>
        <v>21</v>
      </c>
      <c r="M42">
        <v>14.416809279416043</v>
      </c>
      <c r="N42">
        <f t="shared" si="0"/>
        <v>6.583190720583957</v>
      </c>
      <c r="O42">
        <v>7.4087557083441532E-4</v>
      </c>
      <c r="P42">
        <f t="shared" si="1"/>
        <v>0.66330555264314639</v>
      </c>
      <c r="Q42">
        <f t="shared" si="2"/>
        <v>98.530871327612786</v>
      </c>
      <c r="R42">
        <f t="shared" si="3"/>
        <v>0.66345460704039183</v>
      </c>
      <c r="S42">
        <f t="shared" si="4"/>
        <v>0.507119133075143</v>
      </c>
      <c r="T42">
        <f t="shared" si="5"/>
        <v>1.6322485812147056E-4</v>
      </c>
      <c r="U42">
        <f t="shared" si="6"/>
        <v>1.8065283872333419E-2</v>
      </c>
    </row>
    <row r="43" spans="1:21" x14ac:dyDescent="0.35">
      <c r="J43">
        <f t="shared" si="7"/>
        <v>40</v>
      </c>
      <c r="K43">
        <f>demanda!D41</f>
        <v>0</v>
      </c>
      <c r="L43">
        <f>demanda!I41</f>
        <v>18</v>
      </c>
      <c r="M43">
        <v>14.416809279416043</v>
      </c>
      <c r="N43">
        <f t="shared" si="0"/>
        <v>3.583190720583957</v>
      </c>
      <c r="O43">
        <v>7.4087557083441532E-4</v>
      </c>
      <c r="P43">
        <f t="shared" si="1"/>
        <v>0.36103318315102795</v>
      </c>
      <c r="Q43">
        <f t="shared" si="2"/>
        <v>98.546784652507341</v>
      </c>
      <c r="R43">
        <f t="shared" si="3"/>
        <v>0.3610851550254302</v>
      </c>
      <c r="S43">
        <f t="shared" si="4"/>
        <v>0.7180755365508017</v>
      </c>
      <c r="T43">
        <f t="shared" si="5"/>
        <v>4.8356323571821784E-5</v>
      </c>
      <c r="U43">
        <f t="shared" si="6"/>
        <v>9.8320303429934326E-3</v>
      </c>
    </row>
    <row r="44" spans="1:21" x14ac:dyDescent="0.35">
      <c r="J44">
        <f t="shared" si="7"/>
        <v>41</v>
      </c>
      <c r="K44">
        <f>demanda!D42</f>
        <v>2</v>
      </c>
      <c r="L44">
        <f>demanda!I42</f>
        <v>26</v>
      </c>
      <c r="M44">
        <v>9.1555418996444509</v>
      </c>
      <c r="N44">
        <f t="shared" si="0"/>
        <v>16.844458100355549</v>
      </c>
      <c r="O44">
        <v>7.3144910189317154E-4</v>
      </c>
      <c r="P44">
        <f t="shared" si="1"/>
        <v>1.6972047542683932</v>
      </c>
      <c r="Q44">
        <f t="shared" si="2"/>
        <v>98.405442273050113</v>
      </c>
      <c r="R44">
        <f t="shared" si="3"/>
        <v>1.6986596686107598</v>
      </c>
      <c r="S44">
        <f t="shared" si="4"/>
        <v>8.9545424489914704E-2</v>
      </c>
      <c r="T44">
        <f t="shared" si="5"/>
        <v>1.0550138372177067E-3</v>
      </c>
      <c r="U44">
        <f t="shared" si="6"/>
        <v>4.595759791916823E-2</v>
      </c>
    </row>
    <row r="45" spans="1:21" x14ac:dyDescent="0.35">
      <c r="J45">
        <f t="shared" si="7"/>
        <v>42</v>
      </c>
      <c r="K45">
        <f>demanda!D43</f>
        <v>3</v>
      </c>
      <c r="L45">
        <f>demanda!I43</f>
        <v>21</v>
      </c>
      <c r="M45">
        <v>6.5249082097586548</v>
      </c>
      <c r="N45">
        <f t="shared" si="0"/>
        <v>14.475091790241345</v>
      </c>
      <c r="O45">
        <v>1.3734589687128761E-3</v>
      </c>
      <c r="P45">
        <f t="shared" si="1"/>
        <v>1.4584734313507206</v>
      </c>
      <c r="Q45">
        <f t="shared" si="2"/>
        <v>98.444090345131741</v>
      </c>
      <c r="R45">
        <f t="shared" si="3"/>
        <v>1.4599061868729604</v>
      </c>
      <c r="S45">
        <f t="shared" si="4"/>
        <v>0.14447953929288843</v>
      </c>
      <c r="T45">
        <f t="shared" si="5"/>
        <v>1.4647939228180395E-3</v>
      </c>
      <c r="U45">
        <f t="shared" si="6"/>
        <v>5.4141619416533317E-2</v>
      </c>
    </row>
    <row r="46" spans="1:21" x14ac:dyDescent="0.35">
      <c r="J46">
        <f t="shared" si="7"/>
        <v>43</v>
      </c>
      <c r="K46">
        <f>demanda!D44</f>
        <v>0</v>
      </c>
      <c r="L46">
        <f>demanda!I44</f>
        <v>81</v>
      </c>
      <c r="M46">
        <v>14.416809279416043</v>
      </c>
      <c r="N46">
        <f t="shared" si="0"/>
        <v>66.583190720583957</v>
      </c>
      <c r="O46">
        <v>7.4087557083441532E-4</v>
      </c>
      <c r="P46">
        <f t="shared" si="1"/>
        <v>6.708752942485515</v>
      </c>
      <c r="Q46">
        <f t="shared" si="2"/>
        <v>96.240340707706451</v>
      </c>
      <c r="R46">
        <f t="shared" si="3"/>
        <v>6.7896434100391829</v>
      </c>
      <c r="S46">
        <f t="shared" si="4"/>
        <v>1.4936909136339487E-11</v>
      </c>
      <c r="T46">
        <f t="shared" si="5"/>
        <v>1.6697160876721351E-2</v>
      </c>
      <c r="U46">
        <f t="shared" si="6"/>
        <v>0.18487600250669184</v>
      </c>
    </row>
    <row r="47" spans="1:21" x14ac:dyDescent="0.35">
      <c r="J47">
        <f t="shared" si="7"/>
        <v>44</v>
      </c>
      <c r="K47">
        <f>demanda!D45</f>
        <v>2</v>
      </c>
      <c r="L47">
        <f>demanda!I45</f>
        <v>13</v>
      </c>
      <c r="M47">
        <v>9.1555418996444509</v>
      </c>
      <c r="N47">
        <f t="shared" si="0"/>
        <v>3.8444581003555491</v>
      </c>
      <c r="O47">
        <v>7.3144910189317154E-4</v>
      </c>
      <c r="P47">
        <f t="shared" si="1"/>
        <v>0.38735781980254674</v>
      </c>
      <c r="Q47">
        <f t="shared" si="2"/>
        <v>98.545772190761269</v>
      </c>
      <c r="R47">
        <f t="shared" si="3"/>
        <v>0.3874137440140889</v>
      </c>
      <c r="S47">
        <f t="shared" si="4"/>
        <v>0.69849289283451077</v>
      </c>
      <c r="T47">
        <f t="shared" si="5"/>
        <v>5.4955900921259929E-5</v>
      </c>
      <c r="U47">
        <f t="shared" si="6"/>
        <v>1.0481561082992258E-2</v>
      </c>
    </row>
    <row r="48" spans="1:21" x14ac:dyDescent="0.35">
      <c r="J48">
        <f t="shared" si="7"/>
        <v>45</v>
      </c>
      <c r="K48">
        <f>demanda!D46</f>
        <v>1</v>
      </c>
      <c r="L48">
        <f>demanda!I46</f>
        <v>4</v>
      </c>
      <c r="M48">
        <v>11.786175589530247</v>
      </c>
      <c r="N48">
        <f t="shared" si="0"/>
        <v>-7.7861755895302469</v>
      </c>
      <c r="O48">
        <v>5.2058796926701797E-4</v>
      </c>
      <c r="P48">
        <f t="shared" si="1"/>
        <v>-0.7845152482429999</v>
      </c>
      <c r="Q48">
        <f t="shared" si="2"/>
        <v>98.52185903620547</v>
      </c>
      <c r="R48">
        <f t="shared" si="3"/>
        <v>-0.784640946599786</v>
      </c>
      <c r="S48">
        <f t="shared" si="4"/>
        <v>0.43276096337473069</v>
      </c>
      <c r="T48">
        <f t="shared" si="5"/>
        <v>1.6036855085321727E-4</v>
      </c>
      <c r="U48">
        <f t="shared" si="6"/>
        <v>-1.7907341071981879E-2</v>
      </c>
    </row>
    <row r="49" spans="10:21" x14ac:dyDescent="0.35">
      <c r="J49">
        <f t="shared" si="7"/>
        <v>46</v>
      </c>
      <c r="K49">
        <f>demanda!D47</f>
        <v>4</v>
      </c>
      <c r="L49">
        <f>demanda!I47</f>
        <v>1</v>
      </c>
      <c r="M49">
        <v>3.8942745198728588</v>
      </c>
      <c r="N49">
        <f t="shared" si="0"/>
        <v>-2.8942745198728588</v>
      </c>
      <c r="O49">
        <v>2.4466175697261316E-3</v>
      </c>
      <c r="P49">
        <f t="shared" si="1"/>
        <v>-0.29161973902754412</v>
      </c>
      <c r="Q49">
        <f t="shared" si="2"/>
        <v>98.549105510137124</v>
      </c>
      <c r="R49">
        <f t="shared" si="3"/>
        <v>-0.2919075347093899</v>
      </c>
      <c r="S49">
        <f t="shared" si="4"/>
        <v>0.77038887469672734</v>
      </c>
      <c r="T49">
        <f t="shared" si="5"/>
        <v>1.0454364483839124E-4</v>
      </c>
      <c r="U49">
        <f t="shared" si="6"/>
        <v>-1.4456404029791516E-2</v>
      </c>
    </row>
    <row r="50" spans="10:21" x14ac:dyDescent="0.35">
      <c r="J50">
        <f t="shared" si="7"/>
        <v>47</v>
      </c>
      <c r="K50">
        <f>demanda!D48</f>
        <v>1</v>
      </c>
      <c r="L50">
        <f>demanda!I48</f>
        <v>4</v>
      </c>
      <c r="M50">
        <v>11.786175589530247</v>
      </c>
      <c r="N50">
        <f t="shared" si="0"/>
        <v>-7.7861755895302469</v>
      </c>
      <c r="O50">
        <v>5.2058796926701797E-4</v>
      </c>
      <c r="P50">
        <f t="shared" si="1"/>
        <v>-0.7845152482429999</v>
      </c>
      <c r="Q50">
        <f t="shared" si="2"/>
        <v>98.52185903620547</v>
      </c>
      <c r="R50">
        <f t="shared" si="3"/>
        <v>-0.784640946599786</v>
      </c>
      <c r="S50">
        <f t="shared" si="4"/>
        <v>0.43276096337473069</v>
      </c>
      <c r="T50">
        <f t="shared" si="5"/>
        <v>1.6036855085321727E-4</v>
      </c>
      <c r="U50">
        <f t="shared" si="6"/>
        <v>-1.7907341071981879E-2</v>
      </c>
    </row>
    <row r="51" spans="10:21" x14ac:dyDescent="0.35">
      <c r="J51">
        <f t="shared" si="7"/>
        <v>48</v>
      </c>
      <c r="K51">
        <f>demanda!D49</f>
        <v>0</v>
      </c>
      <c r="L51">
        <f>demanda!I49</f>
        <v>14</v>
      </c>
      <c r="M51">
        <v>14.416809279416043</v>
      </c>
      <c r="N51">
        <f t="shared" si="0"/>
        <v>-0.41680927941604295</v>
      </c>
      <c r="O51">
        <v>7.4087557083441532E-4</v>
      </c>
      <c r="P51">
        <f t="shared" si="1"/>
        <v>-4.1996642838463258E-2</v>
      </c>
      <c r="Q51">
        <f t="shared" si="2"/>
        <v>98.553393055166637</v>
      </c>
      <c r="R51">
        <f t="shared" si="3"/>
        <v>-4.2001280140228352E-2</v>
      </c>
      <c r="S51">
        <f t="shared" si="4"/>
        <v>0.96650204701357412</v>
      </c>
      <c r="T51">
        <f t="shared" si="5"/>
        <v>6.5431696937827154E-7</v>
      </c>
      <c r="U51">
        <f t="shared" si="6"/>
        <v>-1.1436578187608104E-3</v>
      </c>
    </row>
    <row r="52" spans="10:21" x14ac:dyDescent="0.35">
      <c r="J52">
        <f t="shared" si="7"/>
        <v>49</v>
      </c>
      <c r="K52">
        <f>demanda!D50</f>
        <v>4</v>
      </c>
      <c r="L52">
        <f>demanda!I50</f>
        <v>1</v>
      </c>
      <c r="M52">
        <v>3.8942745198728588</v>
      </c>
      <c r="N52">
        <f t="shared" si="0"/>
        <v>-2.8942745198728588</v>
      </c>
      <c r="O52">
        <v>2.4466175697261316E-3</v>
      </c>
      <c r="P52">
        <f t="shared" si="1"/>
        <v>-0.29161973902754412</v>
      </c>
      <c r="Q52">
        <f t="shared" si="2"/>
        <v>98.549105510137124</v>
      </c>
      <c r="R52">
        <f t="shared" si="3"/>
        <v>-0.2919075347093899</v>
      </c>
      <c r="S52">
        <f t="shared" si="4"/>
        <v>0.77038887469672734</v>
      </c>
      <c r="T52">
        <f t="shared" si="5"/>
        <v>1.0454364483839124E-4</v>
      </c>
      <c r="U52">
        <f t="shared" si="6"/>
        <v>-1.4456404029791516E-2</v>
      </c>
    </row>
    <row r="53" spans="10:21" x14ac:dyDescent="0.35">
      <c r="J53">
        <f t="shared" si="7"/>
        <v>50</v>
      </c>
      <c r="K53">
        <f>demanda!D51</f>
        <v>1</v>
      </c>
      <c r="L53">
        <f>demanda!I51</f>
        <v>4</v>
      </c>
      <c r="M53">
        <v>11.786175589530247</v>
      </c>
      <c r="N53">
        <f t="shared" si="0"/>
        <v>-7.7861755895302469</v>
      </c>
      <c r="O53">
        <v>5.2058796926701797E-4</v>
      </c>
      <c r="P53">
        <f t="shared" si="1"/>
        <v>-0.7845152482429999</v>
      </c>
      <c r="Q53">
        <f t="shared" si="2"/>
        <v>98.52185903620547</v>
      </c>
      <c r="R53">
        <f t="shared" si="3"/>
        <v>-0.784640946599786</v>
      </c>
      <c r="S53">
        <f t="shared" si="4"/>
        <v>0.43276096337473069</v>
      </c>
      <c r="T53">
        <f t="shared" si="5"/>
        <v>1.6036855085321727E-4</v>
      </c>
      <c r="U53">
        <f t="shared" si="6"/>
        <v>-1.7907341071981879E-2</v>
      </c>
    </row>
    <row r="54" spans="10:21" x14ac:dyDescent="0.35">
      <c r="J54">
        <f t="shared" si="7"/>
        <v>51</v>
      </c>
      <c r="K54">
        <f>demanda!D52</f>
        <v>0</v>
      </c>
      <c r="L54">
        <f>demanda!I52</f>
        <v>3</v>
      </c>
      <c r="M54">
        <v>14.416809279416043</v>
      </c>
      <c r="N54">
        <f t="shared" si="0"/>
        <v>-11.416809279416043</v>
      </c>
      <c r="O54">
        <v>7.4087557083441532E-4</v>
      </c>
      <c r="P54">
        <f t="shared" si="1"/>
        <v>-1.150328664309564</v>
      </c>
      <c r="Q54">
        <f t="shared" si="2"/>
        <v>98.485475268264722</v>
      </c>
      <c r="R54">
        <f t="shared" si="3"/>
        <v>-1.1508523061099405</v>
      </c>
      <c r="S54">
        <f t="shared" si="4"/>
        <v>0.24993638008158123</v>
      </c>
      <c r="T54">
        <f t="shared" si="5"/>
        <v>4.9091117422407117E-4</v>
      </c>
      <c r="U54">
        <f t="shared" si="6"/>
        <v>-3.1336693399040466E-2</v>
      </c>
    </row>
    <row r="55" spans="10:21" x14ac:dyDescent="0.35">
      <c r="J55">
        <f t="shared" si="7"/>
        <v>52</v>
      </c>
      <c r="K55">
        <f>demanda!D53</f>
        <v>2</v>
      </c>
      <c r="L55">
        <f>demanda!I53</f>
        <v>10</v>
      </c>
      <c r="M55">
        <v>9.1555418996444509</v>
      </c>
      <c r="N55">
        <f t="shared" si="0"/>
        <v>0.84445810035554913</v>
      </c>
      <c r="O55">
        <v>7.3144910189317154E-4</v>
      </c>
      <c r="P55">
        <f t="shared" si="1"/>
        <v>8.5085450310428315E-2</v>
      </c>
      <c r="Q55">
        <f t="shared" si="2"/>
        <v>98.553111630408949</v>
      </c>
      <c r="R55">
        <f t="shared" si="3"/>
        <v>8.5094565641383624E-2</v>
      </c>
      <c r="S55">
        <f t="shared" si="4"/>
        <v>0.9321950870824135</v>
      </c>
      <c r="T55">
        <f t="shared" si="5"/>
        <v>2.6515528012122139E-6</v>
      </c>
      <c r="U55">
        <f t="shared" si="6"/>
        <v>2.3022515369728867E-3</v>
      </c>
    </row>
    <row r="56" spans="10:21" x14ac:dyDescent="0.35">
      <c r="J56">
        <f t="shared" si="7"/>
        <v>53</v>
      </c>
      <c r="K56">
        <f>demanda!D54</f>
        <v>1</v>
      </c>
      <c r="L56">
        <f>demanda!I54</f>
        <v>4</v>
      </c>
      <c r="M56">
        <v>11.786175589530247</v>
      </c>
      <c r="N56">
        <f t="shared" si="0"/>
        <v>-7.7861755895302469</v>
      </c>
      <c r="O56">
        <v>5.2058796926701797E-4</v>
      </c>
      <c r="P56">
        <f t="shared" si="1"/>
        <v>-0.7845152482429999</v>
      </c>
      <c r="Q56">
        <f t="shared" si="2"/>
        <v>98.52185903620547</v>
      </c>
      <c r="R56">
        <f t="shared" si="3"/>
        <v>-0.784640946599786</v>
      </c>
      <c r="S56">
        <f t="shared" si="4"/>
        <v>0.43276096337473069</v>
      </c>
      <c r="T56">
        <f t="shared" si="5"/>
        <v>1.6036855085321727E-4</v>
      </c>
      <c r="U56">
        <f t="shared" si="6"/>
        <v>-1.7907341071981879E-2</v>
      </c>
    </row>
    <row r="57" spans="10:21" x14ac:dyDescent="0.35">
      <c r="J57">
        <f t="shared" si="7"/>
        <v>54</v>
      </c>
      <c r="K57">
        <f>demanda!D55</f>
        <v>0</v>
      </c>
      <c r="L57">
        <f>demanda!I55</f>
        <v>11</v>
      </c>
      <c r="M57">
        <v>14.416809279416043</v>
      </c>
      <c r="N57">
        <f t="shared" si="0"/>
        <v>-3.416809279416043</v>
      </c>
      <c r="O57">
        <v>7.4087557083441532E-4</v>
      </c>
      <c r="P57">
        <f t="shared" si="1"/>
        <v>-0.34426901233058166</v>
      </c>
      <c r="Q57">
        <f t="shared" si="2"/>
        <v>98.547392334261005</v>
      </c>
      <c r="R57">
        <f t="shared" si="3"/>
        <v>-0.34431750934619676</v>
      </c>
      <c r="S57">
        <f t="shared" si="4"/>
        <v>0.73064524437297085</v>
      </c>
      <c r="T57">
        <f t="shared" si="5"/>
        <v>4.3969841615361785E-5</v>
      </c>
      <c r="U57">
        <f t="shared" si="6"/>
        <v>-9.3754621379472432E-3</v>
      </c>
    </row>
    <row r="58" spans="10:21" x14ac:dyDescent="0.35">
      <c r="J58">
        <f t="shared" si="7"/>
        <v>55</v>
      </c>
      <c r="K58">
        <f>demanda!D56</f>
        <v>1</v>
      </c>
      <c r="L58">
        <f>demanda!I56</f>
        <v>11</v>
      </c>
      <c r="M58">
        <v>11.786175589530247</v>
      </c>
      <c r="N58">
        <f t="shared" si="0"/>
        <v>-0.78617558953024691</v>
      </c>
      <c r="O58">
        <v>5.2058796926701797E-4</v>
      </c>
      <c r="P58">
        <f t="shared" si="1"/>
        <v>-7.9213052761390276E-2</v>
      </c>
      <c r="Q58">
        <f t="shared" si="2"/>
        <v>98.553161284987851</v>
      </c>
      <c r="R58">
        <f t="shared" si="3"/>
        <v>-7.9213161855515926E-2</v>
      </c>
      <c r="S58">
        <f t="shared" si="4"/>
        <v>0.93687133485398588</v>
      </c>
      <c r="T58">
        <f t="shared" si="5"/>
        <v>1.6349705257494771E-6</v>
      </c>
      <c r="U58">
        <f t="shared" si="6"/>
        <v>-1.8078295720913319E-3</v>
      </c>
    </row>
    <row r="59" spans="10:21" x14ac:dyDescent="0.35">
      <c r="J59">
        <f t="shared" si="7"/>
        <v>56</v>
      </c>
      <c r="K59">
        <f>demanda!D57</f>
        <v>1</v>
      </c>
      <c r="L59">
        <f>demanda!I57</f>
        <v>33</v>
      </c>
      <c r="M59">
        <v>11.786175589530247</v>
      </c>
      <c r="N59">
        <f t="shared" si="0"/>
        <v>21.213824410469755</v>
      </c>
      <c r="O59">
        <v>5.2058796926701797E-4</v>
      </c>
      <c r="P59">
        <f t="shared" si="1"/>
        <v>2.1374509901808114</v>
      </c>
      <c r="Q59">
        <f t="shared" si="2"/>
        <v>98.318728358783545</v>
      </c>
      <c r="R59">
        <f t="shared" si="3"/>
        <v>2.1400007082960935</v>
      </c>
      <c r="S59">
        <f t="shared" si="4"/>
        <v>3.2480477136979533E-2</v>
      </c>
      <c r="T59">
        <f t="shared" si="5"/>
        <v>1.1904434162628057E-3</v>
      </c>
      <c r="U59">
        <f t="shared" si="6"/>
        <v>4.8839819976011688E-2</v>
      </c>
    </row>
    <row r="60" spans="10:21" x14ac:dyDescent="0.35">
      <c r="J60">
        <f t="shared" si="7"/>
        <v>57</v>
      </c>
      <c r="K60">
        <f>demanda!D58</f>
        <v>0</v>
      </c>
      <c r="L60">
        <f>demanda!I58</f>
        <v>7</v>
      </c>
      <c r="M60">
        <v>14.416809279416043</v>
      </c>
      <c r="N60">
        <f t="shared" si="0"/>
        <v>-7.416809279416043</v>
      </c>
      <c r="O60">
        <v>7.4087557083441532E-4</v>
      </c>
      <c r="P60">
        <f t="shared" si="1"/>
        <v>-0.74729883832007293</v>
      </c>
      <c r="Q60">
        <f t="shared" si="2"/>
        <v>98.524782009186751</v>
      </c>
      <c r="R60">
        <f t="shared" si="3"/>
        <v>-0.74748986544241569</v>
      </c>
      <c r="S60">
        <f t="shared" si="4"/>
        <v>0.45485950007005715</v>
      </c>
      <c r="T60">
        <f t="shared" si="5"/>
        <v>2.0717991394042799E-4</v>
      </c>
      <c r="U60">
        <f t="shared" si="6"/>
        <v>-2.0353489850869988E-2</v>
      </c>
    </row>
    <row r="61" spans="10:21" x14ac:dyDescent="0.35">
      <c r="J61">
        <f t="shared" si="7"/>
        <v>58</v>
      </c>
      <c r="K61">
        <f>demanda!D59</f>
        <v>4</v>
      </c>
      <c r="L61">
        <f>demanda!I59</f>
        <v>3</v>
      </c>
      <c r="M61">
        <v>3.8942745198728588</v>
      </c>
      <c r="N61">
        <f t="shared" si="0"/>
        <v>-0.89427451987285878</v>
      </c>
      <c r="O61">
        <v>2.4466175697261316E-3</v>
      </c>
      <c r="P61">
        <f t="shared" si="1"/>
        <v>-9.0104826032798527E-2</v>
      </c>
      <c r="Q61">
        <f t="shared" si="2"/>
        <v>98.553065719630368</v>
      </c>
      <c r="R61">
        <f t="shared" si="3"/>
        <v>-9.0191937130002245E-2</v>
      </c>
      <c r="S61">
        <f t="shared" si="4"/>
        <v>0.92814410376796586</v>
      </c>
      <c r="T61">
        <f t="shared" si="5"/>
        <v>9.9806748742546123E-6</v>
      </c>
      <c r="U61">
        <f t="shared" si="6"/>
        <v>-4.4666578568412878E-3</v>
      </c>
    </row>
    <row r="62" spans="10:21" x14ac:dyDescent="0.35">
      <c r="J62">
        <f t="shared" si="7"/>
        <v>59</v>
      </c>
      <c r="K62">
        <f>demanda!D60</f>
        <v>5</v>
      </c>
      <c r="L62">
        <f>demanda!I60</f>
        <v>3</v>
      </c>
      <c r="M62">
        <v>1.2636408299870627</v>
      </c>
      <c r="N62">
        <f t="shared" si="0"/>
        <v>1.7363591700129373</v>
      </c>
      <c r="O62">
        <v>3.9509249049329382E-3</v>
      </c>
      <c r="P62">
        <f t="shared" si="1"/>
        <v>0.17495113353639288</v>
      </c>
      <c r="Q62">
        <f t="shared" si="2"/>
        <v>98.551905545548507</v>
      </c>
      <c r="R62">
        <f t="shared" si="3"/>
        <v>0.17525349341046803</v>
      </c>
      <c r="S62">
        <f t="shared" si="4"/>
        <v>0.86089894193681449</v>
      </c>
      <c r="T62">
        <f t="shared" si="5"/>
        <v>6.0945385407997739E-5</v>
      </c>
      <c r="U62">
        <f t="shared" si="6"/>
        <v>1.1037626730021724E-2</v>
      </c>
    </row>
    <row r="63" spans="10:21" x14ac:dyDescent="0.35">
      <c r="J63">
        <f t="shared" si="7"/>
        <v>60</v>
      </c>
      <c r="K63">
        <f>demanda!D61</f>
        <v>0</v>
      </c>
      <c r="L63">
        <f>demanda!I61</f>
        <v>11</v>
      </c>
      <c r="M63">
        <v>14.416809279416043</v>
      </c>
      <c r="N63">
        <f t="shared" si="0"/>
        <v>-3.416809279416043</v>
      </c>
      <c r="O63">
        <v>7.4087557083441532E-4</v>
      </c>
      <c r="P63">
        <f t="shared" si="1"/>
        <v>-0.34426901233058166</v>
      </c>
      <c r="Q63">
        <f t="shared" si="2"/>
        <v>98.547392334261005</v>
      </c>
      <c r="R63">
        <f t="shared" si="3"/>
        <v>-0.34431750934619676</v>
      </c>
      <c r="S63">
        <f t="shared" si="4"/>
        <v>0.73064524437297085</v>
      </c>
      <c r="T63">
        <f t="shared" si="5"/>
        <v>4.3969841615361785E-5</v>
      </c>
      <c r="U63">
        <f t="shared" si="6"/>
        <v>-9.3754621379472432E-3</v>
      </c>
    </row>
    <row r="64" spans="10:21" x14ac:dyDescent="0.35">
      <c r="J64">
        <f t="shared" si="7"/>
        <v>61</v>
      </c>
      <c r="K64">
        <f>demanda!D62</f>
        <v>5</v>
      </c>
      <c r="L64">
        <f>demanda!I62</f>
        <v>5</v>
      </c>
      <c r="M64">
        <v>1.2636408299870627</v>
      </c>
      <c r="N64">
        <f t="shared" si="0"/>
        <v>3.7363591700129373</v>
      </c>
      <c r="O64">
        <v>3.9509249049329382E-3</v>
      </c>
      <c r="P64">
        <f t="shared" si="1"/>
        <v>0.37646604653113847</v>
      </c>
      <c r="Q64">
        <f t="shared" si="2"/>
        <v>98.546176216657841</v>
      </c>
      <c r="R64">
        <f t="shared" si="3"/>
        <v>0.37712763756228268</v>
      </c>
      <c r="S64">
        <f t="shared" si="4"/>
        <v>0.70612045258139888</v>
      </c>
      <c r="T64">
        <f t="shared" si="5"/>
        <v>2.8220124991725523E-4</v>
      </c>
      <c r="U64">
        <f t="shared" si="6"/>
        <v>2.375184660791909E-2</v>
      </c>
    </row>
    <row r="65" spans="10:21" x14ac:dyDescent="0.35">
      <c r="J65">
        <f t="shared" si="7"/>
        <v>62</v>
      </c>
      <c r="K65">
        <f>demanda!D63</f>
        <v>5</v>
      </c>
      <c r="L65">
        <f>demanda!I63</f>
        <v>2</v>
      </c>
      <c r="M65">
        <v>1.2636408299870627</v>
      </c>
      <c r="N65">
        <f t="shared" si="0"/>
        <v>0.73635917001293727</v>
      </c>
      <c r="O65">
        <v>3.9509249049329382E-3</v>
      </c>
      <c r="P65">
        <f t="shared" si="1"/>
        <v>7.4193677039020078E-2</v>
      </c>
      <c r="Q65">
        <f t="shared" si="2"/>
        <v>98.553199876422468</v>
      </c>
      <c r="R65">
        <f t="shared" si="3"/>
        <v>7.4321414457959423E-2</v>
      </c>
      <c r="S65">
        <f t="shared" si="4"/>
        <v>0.94076238398569867</v>
      </c>
      <c r="T65">
        <f t="shared" si="5"/>
        <v>1.0960770814463366E-5</v>
      </c>
      <c r="U65">
        <f t="shared" si="6"/>
        <v>4.680831262592092E-3</v>
      </c>
    </row>
    <row r="66" spans="10:21" x14ac:dyDescent="0.35">
      <c r="J66">
        <f t="shared" si="7"/>
        <v>63</v>
      </c>
      <c r="K66">
        <f>demanda!D64</f>
        <v>0</v>
      </c>
      <c r="L66">
        <f>demanda!I64</f>
        <v>11</v>
      </c>
      <c r="M66">
        <v>14.416809279416043</v>
      </c>
      <c r="N66">
        <f t="shared" si="0"/>
        <v>-3.416809279416043</v>
      </c>
      <c r="O66">
        <v>7.4087557083441532E-4</v>
      </c>
      <c r="P66">
        <f t="shared" si="1"/>
        <v>-0.34426901233058166</v>
      </c>
      <c r="Q66">
        <f t="shared" si="2"/>
        <v>98.547392334261005</v>
      </c>
      <c r="R66">
        <f t="shared" si="3"/>
        <v>-0.34431750934619676</v>
      </c>
      <c r="S66">
        <f t="shared" si="4"/>
        <v>0.73064524437297085</v>
      </c>
      <c r="T66">
        <f t="shared" si="5"/>
        <v>4.3969841615361785E-5</v>
      </c>
      <c r="U66">
        <f t="shared" si="6"/>
        <v>-9.3754621379472432E-3</v>
      </c>
    </row>
    <row r="67" spans="10:21" x14ac:dyDescent="0.35">
      <c r="J67">
        <f t="shared" si="7"/>
        <v>64</v>
      </c>
      <c r="K67">
        <f>demanda!D65</f>
        <v>1</v>
      </c>
      <c r="L67">
        <f>demanda!I65</f>
        <v>4</v>
      </c>
      <c r="M67">
        <v>11.786175589530247</v>
      </c>
      <c r="N67">
        <f t="shared" si="0"/>
        <v>-7.7861755895302469</v>
      </c>
      <c r="O67">
        <v>5.2058796926701797E-4</v>
      </c>
      <c r="P67">
        <f t="shared" si="1"/>
        <v>-0.7845152482429999</v>
      </c>
      <c r="Q67">
        <f t="shared" si="2"/>
        <v>98.52185903620547</v>
      </c>
      <c r="R67">
        <f t="shared" si="3"/>
        <v>-0.784640946599786</v>
      </c>
      <c r="S67">
        <f t="shared" si="4"/>
        <v>0.43276096337473069</v>
      </c>
      <c r="T67">
        <f t="shared" si="5"/>
        <v>1.6036855085321727E-4</v>
      </c>
      <c r="U67">
        <f t="shared" si="6"/>
        <v>-1.7907341071981879E-2</v>
      </c>
    </row>
    <row r="68" spans="10:21" x14ac:dyDescent="0.35">
      <c r="J68">
        <f t="shared" si="7"/>
        <v>65</v>
      </c>
      <c r="K68">
        <f>demanda!D66</f>
        <v>1</v>
      </c>
      <c r="L68">
        <f>demanda!I66</f>
        <v>8</v>
      </c>
      <c r="M68">
        <v>11.786175589530247</v>
      </c>
      <c r="N68">
        <f t="shared" si="0"/>
        <v>-3.7861755895302469</v>
      </c>
      <c r="O68">
        <v>5.2058796926701797E-4</v>
      </c>
      <c r="P68">
        <f t="shared" si="1"/>
        <v>-0.38148542225350868</v>
      </c>
      <c r="Q68">
        <f t="shared" si="2"/>
        <v>98.546005811479162</v>
      </c>
      <c r="R68">
        <f t="shared" si="3"/>
        <v>-0.38149979733331263</v>
      </c>
      <c r="S68">
        <f t="shared" si="4"/>
        <v>0.70287465676174632</v>
      </c>
      <c r="T68">
        <f t="shared" si="5"/>
        <v>3.7920348514645389E-5</v>
      </c>
      <c r="U68">
        <f t="shared" si="6"/>
        <v>-8.7067174092102829E-3</v>
      </c>
    </row>
    <row r="69" spans="10:21" x14ac:dyDescent="0.35">
      <c r="J69">
        <f t="shared" si="7"/>
        <v>66</v>
      </c>
      <c r="K69">
        <f>demanda!D67</f>
        <v>0</v>
      </c>
      <c r="L69">
        <f>demanda!I67</f>
        <v>15</v>
      </c>
      <c r="M69">
        <v>14.416809279416043</v>
      </c>
      <c r="N69">
        <f t="shared" ref="N69:N132" si="8">L69-M69</f>
        <v>0.58319072058395705</v>
      </c>
      <c r="O69">
        <v>7.4087557083441532E-4</v>
      </c>
      <c r="P69">
        <f t="shared" ref="P69:P132" si="9">N69/SQRT($X$6)</f>
        <v>5.8760813658909554E-2</v>
      </c>
      <c r="Q69">
        <f t="shared" ref="Q69:Q132" si="10">($X$6-N69^2/((1-O69)*$X$5))*$X$5/($X$5-1)</f>
        <v>98.553306243487526</v>
      </c>
      <c r="R69">
        <f t="shared" ref="R69:R132" si="11">N69/SQRT(Q69*(1-O69))</f>
        <v>5.8767327956256402E-2</v>
      </c>
      <c r="S69">
        <f t="shared" ref="S69:S132" si="12">_xlfn.T.DIST.2T(ABS(R69),$X$5)</f>
        <v>0.95314355069247325</v>
      </c>
      <c r="T69">
        <f t="shared" ref="T69:T132" si="13">(N69^2/$X$6)*(O69/(1-O69)^2)/($X$7+1)</f>
        <v>1.2809572488725558E-6</v>
      </c>
      <c r="U69">
        <f t="shared" ref="U69:U132" si="14">R69*SQRT(O69/(1-O69))</f>
        <v>1.6001825154010173E-3</v>
      </c>
    </row>
    <row r="70" spans="10:21" x14ac:dyDescent="0.35">
      <c r="J70">
        <f t="shared" ref="J70:J133" si="15">J69+1</f>
        <v>67</v>
      </c>
      <c r="K70">
        <f>demanda!D68</f>
        <v>5</v>
      </c>
      <c r="L70">
        <f>demanda!I68</f>
        <v>9</v>
      </c>
      <c r="M70">
        <v>1.2636408299870627</v>
      </c>
      <c r="N70">
        <f t="shared" si="8"/>
        <v>7.7363591700129373</v>
      </c>
      <c r="O70">
        <v>3.9509249049329382E-3</v>
      </c>
      <c r="P70">
        <f t="shared" si="9"/>
        <v>0.77949587252062968</v>
      </c>
      <c r="Q70">
        <f t="shared" si="10"/>
        <v>98.522154890305529</v>
      </c>
      <c r="R70">
        <f t="shared" si="11"/>
        <v>0.78096092520642379</v>
      </c>
      <c r="S70">
        <f t="shared" si="12"/>
        <v>0.43492180403100367</v>
      </c>
      <c r="T70">
        <f t="shared" si="13"/>
        <v>1.2098595202245253E-3</v>
      </c>
      <c r="U70">
        <f t="shared" si="14"/>
        <v>4.9185639700612335E-2</v>
      </c>
    </row>
    <row r="71" spans="10:21" x14ac:dyDescent="0.35">
      <c r="J71">
        <f t="shared" si="15"/>
        <v>68</v>
      </c>
      <c r="K71">
        <f>demanda!D69</f>
        <v>0</v>
      </c>
      <c r="L71">
        <f>demanda!I69</f>
        <v>15</v>
      </c>
      <c r="M71">
        <v>14.416809279416043</v>
      </c>
      <c r="N71">
        <f t="shared" si="8"/>
        <v>0.58319072058395705</v>
      </c>
      <c r="O71">
        <v>7.4087557083441532E-4</v>
      </c>
      <c r="P71">
        <f t="shared" si="9"/>
        <v>5.8760813658909554E-2</v>
      </c>
      <c r="Q71">
        <f t="shared" si="10"/>
        <v>98.553306243487526</v>
      </c>
      <c r="R71">
        <f t="shared" si="11"/>
        <v>5.8767327956256402E-2</v>
      </c>
      <c r="S71">
        <f t="shared" si="12"/>
        <v>0.95314355069247325</v>
      </c>
      <c r="T71">
        <f t="shared" si="13"/>
        <v>1.2809572488725558E-6</v>
      </c>
      <c r="U71">
        <f t="shared" si="14"/>
        <v>1.6001825154010173E-3</v>
      </c>
    </row>
    <row r="72" spans="10:21" x14ac:dyDescent="0.35">
      <c r="J72">
        <f t="shared" si="15"/>
        <v>69</v>
      </c>
      <c r="K72">
        <f>demanda!D70</f>
        <v>0</v>
      </c>
      <c r="L72">
        <f>demanda!I70</f>
        <v>13</v>
      </c>
      <c r="M72">
        <v>14.416809279416043</v>
      </c>
      <c r="N72">
        <f t="shared" si="8"/>
        <v>-1.416809279416043</v>
      </c>
      <c r="O72">
        <v>7.4087557083441532E-4</v>
      </c>
      <c r="P72">
        <f t="shared" si="9"/>
        <v>-0.14275409933583605</v>
      </c>
      <c r="Q72">
        <f t="shared" si="10"/>
        <v>98.552436340855238</v>
      </c>
      <c r="R72">
        <f t="shared" si="11"/>
        <v>-0.14277055533334676</v>
      </c>
      <c r="S72">
        <f t="shared" si="12"/>
        <v>0.88648638054980111</v>
      </c>
      <c r="T72">
        <f t="shared" si="13"/>
        <v>7.5602509372950483E-6</v>
      </c>
      <c r="U72">
        <f t="shared" si="14"/>
        <v>-3.8875163173756836E-3</v>
      </c>
    </row>
    <row r="73" spans="10:21" x14ac:dyDescent="0.35">
      <c r="J73">
        <f t="shared" si="15"/>
        <v>70</v>
      </c>
      <c r="K73">
        <f>demanda!D71</f>
        <v>0</v>
      </c>
      <c r="L73">
        <f>demanda!I71</f>
        <v>15</v>
      </c>
      <c r="M73">
        <v>14.416809279416043</v>
      </c>
      <c r="N73">
        <f t="shared" si="8"/>
        <v>0.58319072058395705</v>
      </c>
      <c r="O73">
        <v>7.4087557083441532E-4</v>
      </c>
      <c r="P73">
        <f t="shared" si="9"/>
        <v>5.8760813658909554E-2</v>
      </c>
      <c r="Q73">
        <f t="shared" si="10"/>
        <v>98.553306243487526</v>
      </c>
      <c r="R73">
        <f t="shared" si="11"/>
        <v>5.8767327956256402E-2</v>
      </c>
      <c r="S73">
        <f t="shared" si="12"/>
        <v>0.95314355069247325</v>
      </c>
      <c r="T73">
        <f t="shared" si="13"/>
        <v>1.2809572488725558E-6</v>
      </c>
      <c r="U73">
        <f t="shared" si="14"/>
        <v>1.6001825154010173E-3</v>
      </c>
    </row>
    <row r="74" spans="10:21" x14ac:dyDescent="0.35">
      <c r="J74">
        <f t="shared" si="15"/>
        <v>71</v>
      </c>
      <c r="K74">
        <f>demanda!D72</f>
        <v>0</v>
      </c>
      <c r="L74">
        <f>demanda!I72</f>
        <v>15</v>
      </c>
      <c r="M74">
        <v>14.416809279416043</v>
      </c>
      <c r="N74">
        <f t="shared" si="8"/>
        <v>0.58319072058395705</v>
      </c>
      <c r="O74">
        <v>7.4087557083441532E-4</v>
      </c>
      <c r="P74">
        <f t="shared" si="9"/>
        <v>5.8760813658909554E-2</v>
      </c>
      <c r="Q74">
        <f t="shared" si="10"/>
        <v>98.553306243487526</v>
      </c>
      <c r="R74">
        <f t="shared" si="11"/>
        <v>5.8767327956256402E-2</v>
      </c>
      <c r="S74">
        <f t="shared" si="12"/>
        <v>0.95314355069247325</v>
      </c>
      <c r="T74">
        <f t="shared" si="13"/>
        <v>1.2809572488725558E-6</v>
      </c>
      <c r="U74">
        <f t="shared" si="14"/>
        <v>1.6001825154010173E-3</v>
      </c>
    </row>
    <row r="75" spans="10:21" x14ac:dyDescent="0.35">
      <c r="J75">
        <f t="shared" si="15"/>
        <v>72</v>
      </c>
      <c r="K75">
        <f>demanda!D73</f>
        <v>0</v>
      </c>
      <c r="L75">
        <f>demanda!I73</f>
        <v>15</v>
      </c>
      <c r="M75">
        <v>14.416809279416043</v>
      </c>
      <c r="N75">
        <f t="shared" si="8"/>
        <v>0.58319072058395705</v>
      </c>
      <c r="O75">
        <v>7.4087557083441532E-4</v>
      </c>
      <c r="P75">
        <f t="shared" si="9"/>
        <v>5.8760813658909554E-2</v>
      </c>
      <c r="Q75">
        <f t="shared" si="10"/>
        <v>98.553306243487526</v>
      </c>
      <c r="R75">
        <f t="shared" si="11"/>
        <v>5.8767327956256402E-2</v>
      </c>
      <c r="S75">
        <f t="shared" si="12"/>
        <v>0.95314355069247325</v>
      </c>
      <c r="T75">
        <f t="shared" si="13"/>
        <v>1.2809572488725558E-6</v>
      </c>
      <c r="U75">
        <f t="shared" si="14"/>
        <v>1.6001825154010173E-3</v>
      </c>
    </row>
    <row r="76" spans="10:21" x14ac:dyDescent="0.35">
      <c r="J76">
        <f t="shared" si="15"/>
        <v>73</v>
      </c>
      <c r="K76">
        <f>demanda!D74</f>
        <v>0</v>
      </c>
      <c r="L76">
        <f>demanda!I74</f>
        <v>15</v>
      </c>
      <c r="M76">
        <v>14.416809279416043</v>
      </c>
      <c r="N76">
        <f t="shared" si="8"/>
        <v>0.58319072058395705</v>
      </c>
      <c r="O76">
        <v>7.4087557083441532E-4</v>
      </c>
      <c r="P76">
        <f t="shared" si="9"/>
        <v>5.8760813658909554E-2</v>
      </c>
      <c r="Q76">
        <f t="shared" si="10"/>
        <v>98.553306243487526</v>
      </c>
      <c r="R76">
        <f t="shared" si="11"/>
        <v>5.8767327956256402E-2</v>
      </c>
      <c r="S76">
        <f t="shared" si="12"/>
        <v>0.95314355069247325</v>
      </c>
      <c r="T76">
        <f t="shared" si="13"/>
        <v>1.2809572488725558E-6</v>
      </c>
      <c r="U76">
        <f t="shared" si="14"/>
        <v>1.6001825154010173E-3</v>
      </c>
    </row>
    <row r="77" spans="10:21" x14ac:dyDescent="0.35">
      <c r="J77">
        <f t="shared" si="15"/>
        <v>74</v>
      </c>
      <c r="K77">
        <f>demanda!D75</f>
        <v>0</v>
      </c>
      <c r="L77">
        <f>demanda!I75</f>
        <v>15</v>
      </c>
      <c r="M77">
        <v>14.416809279416043</v>
      </c>
      <c r="N77">
        <f t="shared" si="8"/>
        <v>0.58319072058395705</v>
      </c>
      <c r="O77">
        <v>7.4087557083441532E-4</v>
      </c>
      <c r="P77">
        <f t="shared" si="9"/>
        <v>5.8760813658909554E-2</v>
      </c>
      <c r="Q77">
        <f t="shared" si="10"/>
        <v>98.553306243487526</v>
      </c>
      <c r="R77">
        <f t="shared" si="11"/>
        <v>5.8767327956256402E-2</v>
      </c>
      <c r="S77">
        <f t="shared" si="12"/>
        <v>0.95314355069247325</v>
      </c>
      <c r="T77">
        <f t="shared" si="13"/>
        <v>1.2809572488725558E-6</v>
      </c>
      <c r="U77">
        <f t="shared" si="14"/>
        <v>1.6001825154010173E-3</v>
      </c>
    </row>
    <row r="78" spans="10:21" x14ac:dyDescent="0.35">
      <c r="J78">
        <f t="shared" si="15"/>
        <v>75</v>
      </c>
      <c r="K78">
        <f>demanda!D76</f>
        <v>0</v>
      </c>
      <c r="L78">
        <f>demanda!I76</f>
        <v>15</v>
      </c>
      <c r="M78">
        <v>14.416809279416043</v>
      </c>
      <c r="N78">
        <f t="shared" si="8"/>
        <v>0.58319072058395705</v>
      </c>
      <c r="O78">
        <v>7.4087557083441532E-4</v>
      </c>
      <c r="P78">
        <f t="shared" si="9"/>
        <v>5.8760813658909554E-2</v>
      </c>
      <c r="Q78">
        <f t="shared" si="10"/>
        <v>98.553306243487526</v>
      </c>
      <c r="R78">
        <f t="shared" si="11"/>
        <v>5.8767327956256402E-2</v>
      </c>
      <c r="S78">
        <f t="shared" si="12"/>
        <v>0.95314355069247325</v>
      </c>
      <c r="T78">
        <f t="shared" si="13"/>
        <v>1.2809572488725558E-6</v>
      </c>
      <c r="U78">
        <f t="shared" si="14"/>
        <v>1.6001825154010173E-3</v>
      </c>
    </row>
    <row r="79" spans="10:21" x14ac:dyDescent="0.35">
      <c r="J79">
        <f t="shared" si="15"/>
        <v>76</v>
      </c>
      <c r="K79">
        <f>demanda!D77</f>
        <v>0</v>
      </c>
      <c r="L79">
        <f>demanda!I77</f>
        <v>15</v>
      </c>
      <c r="M79">
        <v>14.416809279416043</v>
      </c>
      <c r="N79">
        <f t="shared" si="8"/>
        <v>0.58319072058395705</v>
      </c>
      <c r="O79">
        <v>7.4087557083441532E-4</v>
      </c>
      <c r="P79">
        <f t="shared" si="9"/>
        <v>5.8760813658909554E-2</v>
      </c>
      <c r="Q79">
        <f t="shared" si="10"/>
        <v>98.553306243487526</v>
      </c>
      <c r="R79">
        <f t="shared" si="11"/>
        <v>5.8767327956256402E-2</v>
      </c>
      <c r="S79">
        <f t="shared" si="12"/>
        <v>0.95314355069247325</v>
      </c>
      <c r="T79">
        <f t="shared" si="13"/>
        <v>1.2809572488725558E-6</v>
      </c>
      <c r="U79">
        <f t="shared" si="14"/>
        <v>1.6001825154010173E-3</v>
      </c>
    </row>
    <row r="80" spans="10:21" x14ac:dyDescent="0.35">
      <c r="J80">
        <f t="shared" si="15"/>
        <v>77</v>
      </c>
      <c r="K80">
        <f>demanda!D78</f>
        <v>0</v>
      </c>
      <c r="L80">
        <f>demanda!I78</f>
        <v>15</v>
      </c>
      <c r="M80">
        <v>14.416809279416043</v>
      </c>
      <c r="N80">
        <f t="shared" si="8"/>
        <v>0.58319072058395705</v>
      </c>
      <c r="O80">
        <v>7.4087557083441532E-4</v>
      </c>
      <c r="P80">
        <f t="shared" si="9"/>
        <v>5.8760813658909554E-2</v>
      </c>
      <c r="Q80">
        <f t="shared" si="10"/>
        <v>98.553306243487526</v>
      </c>
      <c r="R80">
        <f t="shared" si="11"/>
        <v>5.8767327956256402E-2</v>
      </c>
      <c r="S80">
        <f t="shared" si="12"/>
        <v>0.95314355069247325</v>
      </c>
      <c r="T80">
        <f t="shared" si="13"/>
        <v>1.2809572488725558E-6</v>
      </c>
      <c r="U80">
        <f t="shared" si="14"/>
        <v>1.6001825154010173E-3</v>
      </c>
    </row>
    <row r="81" spans="10:21" x14ac:dyDescent="0.35">
      <c r="J81">
        <f t="shared" si="15"/>
        <v>78</v>
      </c>
      <c r="K81">
        <f>demanda!D79</f>
        <v>0</v>
      </c>
      <c r="L81">
        <f>demanda!I79</f>
        <v>13</v>
      </c>
      <c r="M81">
        <v>14.416809279416043</v>
      </c>
      <c r="N81">
        <f t="shared" si="8"/>
        <v>-1.416809279416043</v>
      </c>
      <c r="O81">
        <v>7.4087557083441532E-4</v>
      </c>
      <c r="P81">
        <f t="shared" si="9"/>
        <v>-0.14275409933583605</v>
      </c>
      <c r="Q81">
        <f t="shared" si="10"/>
        <v>98.552436340855238</v>
      </c>
      <c r="R81">
        <f t="shared" si="11"/>
        <v>-0.14277055533334676</v>
      </c>
      <c r="S81">
        <f t="shared" si="12"/>
        <v>0.88648638054980111</v>
      </c>
      <c r="T81">
        <f t="shared" si="13"/>
        <v>7.5602509372950483E-6</v>
      </c>
      <c r="U81">
        <f t="shared" si="14"/>
        <v>-3.8875163173756836E-3</v>
      </c>
    </row>
    <row r="82" spans="10:21" x14ac:dyDescent="0.35">
      <c r="J82">
        <f t="shared" si="15"/>
        <v>79</v>
      </c>
      <c r="K82">
        <f>demanda!D80</f>
        <v>0</v>
      </c>
      <c r="L82">
        <f>demanda!I80</f>
        <v>15</v>
      </c>
      <c r="M82">
        <v>14.416809279416043</v>
      </c>
      <c r="N82">
        <f t="shared" si="8"/>
        <v>0.58319072058395705</v>
      </c>
      <c r="O82">
        <v>7.4087557083441532E-4</v>
      </c>
      <c r="P82">
        <f t="shared" si="9"/>
        <v>5.8760813658909554E-2</v>
      </c>
      <c r="Q82">
        <f t="shared" si="10"/>
        <v>98.553306243487526</v>
      </c>
      <c r="R82">
        <f t="shared" si="11"/>
        <v>5.8767327956256402E-2</v>
      </c>
      <c r="S82">
        <f t="shared" si="12"/>
        <v>0.95314355069247325</v>
      </c>
      <c r="T82">
        <f t="shared" si="13"/>
        <v>1.2809572488725558E-6</v>
      </c>
      <c r="U82">
        <f t="shared" si="14"/>
        <v>1.6001825154010173E-3</v>
      </c>
    </row>
    <row r="83" spans="10:21" x14ac:dyDescent="0.35">
      <c r="J83">
        <f t="shared" si="15"/>
        <v>80</v>
      </c>
      <c r="K83">
        <f>demanda!D81</f>
        <v>0</v>
      </c>
      <c r="L83">
        <f>demanda!I81</f>
        <v>15</v>
      </c>
      <c r="M83">
        <v>14.416809279416043</v>
      </c>
      <c r="N83">
        <f t="shared" si="8"/>
        <v>0.58319072058395705</v>
      </c>
      <c r="O83">
        <v>7.4087557083441532E-4</v>
      </c>
      <c r="P83">
        <f t="shared" si="9"/>
        <v>5.8760813658909554E-2</v>
      </c>
      <c r="Q83">
        <f t="shared" si="10"/>
        <v>98.553306243487526</v>
      </c>
      <c r="R83">
        <f t="shared" si="11"/>
        <v>5.8767327956256402E-2</v>
      </c>
      <c r="S83">
        <f t="shared" si="12"/>
        <v>0.95314355069247325</v>
      </c>
      <c r="T83">
        <f t="shared" si="13"/>
        <v>1.2809572488725558E-6</v>
      </c>
      <c r="U83">
        <f t="shared" si="14"/>
        <v>1.6001825154010173E-3</v>
      </c>
    </row>
    <row r="84" spans="10:21" x14ac:dyDescent="0.35">
      <c r="J84">
        <f t="shared" si="15"/>
        <v>81</v>
      </c>
      <c r="K84">
        <f>demanda!D82</f>
        <v>0</v>
      </c>
      <c r="L84">
        <f>demanda!I82</f>
        <v>15</v>
      </c>
      <c r="M84">
        <v>14.416809279416043</v>
      </c>
      <c r="N84">
        <f t="shared" si="8"/>
        <v>0.58319072058395705</v>
      </c>
      <c r="O84">
        <v>7.4087557083441532E-4</v>
      </c>
      <c r="P84">
        <f t="shared" si="9"/>
        <v>5.8760813658909554E-2</v>
      </c>
      <c r="Q84">
        <f t="shared" si="10"/>
        <v>98.553306243487526</v>
      </c>
      <c r="R84">
        <f t="shared" si="11"/>
        <v>5.8767327956256402E-2</v>
      </c>
      <c r="S84">
        <f t="shared" si="12"/>
        <v>0.95314355069247325</v>
      </c>
      <c r="T84">
        <f t="shared" si="13"/>
        <v>1.2809572488725558E-6</v>
      </c>
      <c r="U84">
        <f t="shared" si="14"/>
        <v>1.6001825154010173E-3</v>
      </c>
    </row>
    <row r="85" spans="10:21" x14ac:dyDescent="0.35">
      <c r="J85">
        <f t="shared" si="15"/>
        <v>82</v>
      </c>
      <c r="K85">
        <f>demanda!D83</f>
        <v>0</v>
      </c>
      <c r="L85">
        <f>demanda!I83</f>
        <v>15</v>
      </c>
      <c r="M85">
        <v>14.416809279416043</v>
      </c>
      <c r="N85">
        <f t="shared" si="8"/>
        <v>0.58319072058395705</v>
      </c>
      <c r="O85">
        <v>7.4087557083441532E-4</v>
      </c>
      <c r="P85">
        <f t="shared" si="9"/>
        <v>5.8760813658909554E-2</v>
      </c>
      <c r="Q85">
        <f t="shared" si="10"/>
        <v>98.553306243487526</v>
      </c>
      <c r="R85">
        <f t="shared" si="11"/>
        <v>5.8767327956256402E-2</v>
      </c>
      <c r="S85">
        <f t="shared" si="12"/>
        <v>0.95314355069247325</v>
      </c>
      <c r="T85">
        <f t="shared" si="13"/>
        <v>1.2809572488725558E-6</v>
      </c>
      <c r="U85">
        <f t="shared" si="14"/>
        <v>1.6001825154010173E-3</v>
      </c>
    </row>
    <row r="86" spans="10:21" x14ac:dyDescent="0.35">
      <c r="J86">
        <f t="shared" si="15"/>
        <v>83</v>
      </c>
      <c r="K86">
        <f>demanda!D84</f>
        <v>0</v>
      </c>
      <c r="L86">
        <f>demanda!I84</f>
        <v>15</v>
      </c>
      <c r="M86">
        <v>14.416809279416043</v>
      </c>
      <c r="N86">
        <f t="shared" si="8"/>
        <v>0.58319072058395705</v>
      </c>
      <c r="O86">
        <v>7.4087557083441532E-4</v>
      </c>
      <c r="P86">
        <f t="shared" si="9"/>
        <v>5.8760813658909554E-2</v>
      </c>
      <c r="Q86">
        <f t="shared" si="10"/>
        <v>98.553306243487526</v>
      </c>
      <c r="R86">
        <f t="shared" si="11"/>
        <v>5.8767327956256402E-2</v>
      </c>
      <c r="S86">
        <f t="shared" si="12"/>
        <v>0.95314355069247325</v>
      </c>
      <c r="T86">
        <f t="shared" si="13"/>
        <v>1.2809572488725558E-6</v>
      </c>
      <c r="U86">
        <f t="shared" si="14"/>
        <v>1.6001825154010173E-3</v>
      </c>
    </row>
    <row r="87" spans="10:21" x14ac:dyDescent="0.35">
      <c r="J87">
        <f t="shared" si="15"/>
        <v>84</v>
      </c>
      <c r="K87">
        <f>demanda!D85</f>
        <v>0</v>
      </c>
      <c r="L87">
        <f>demanda!I85</f>
        <v>15</v>
      </c>
      <c r="M87">
        <v>14.416809279416043</v>
      </c>
      <c r="N87">
        <f t="shared" si="8"/>
        <v>0.58319072058395705</v>
      </c>
      <c r="O87">
        <v>7.4087557083441532E-4</v>
      </c>
      <c r="P87">
        <f t="shared" si="9"/>
        <v>5.8760813658909554E-2</v>
      </c>
      <c r="Q87">
        <f t="shared" si="10"/>
        <v>98.553306243487526</v>
      </c>
      <c r="R87">
        <f t="shared" si="11"/>
        <v>5.8767327956256402E-2</v>
      </c>
      <c r="S87">
        <f t="shared" si="12"/>
        <v>0.95314355069247325</v>
      </c>
      <c r="T87">
        <f t="shared" si="13"/>
        <v>1.2809572488725558E-6</v>
      </c>
      <c r="U87">
        <f t="shared" si="14"/>
        <v>1.6001825154010173E-3</v>
      </c>
    </row>
    <row r="88" spans="10:21" x14ac:dyDescent="0.35">
      <c r="J88">
        <f t="shared" si="15"/>
        <v>85</v>
      </c>
      <c r="K88">
        <f>demanda!D86</f>
        <v>0</v>
      </c>
      <c r="L88">
        <f>demanda!I86</f>
        <v>15</v>
      </c>
      <c r="M88">
        <v>14.416809279416043</v>
      </c>
      <c r="N88">
        <f t="shared" si="8"/>
        <v>0.58319072058395705</v>
      </c>
      <c r="O88">
        <v>7.4087557083441532E-4</v>
      </c>
      <c r="P88">
        <f t="shared" si="9"/>
        <v>5.8760813658909554E-2</v>
      </c>
      <c r="Q88">
        <f t="shared" si="10"/>
        <v>98.553306243487526</v>
      </c>
      <c r="R88">
        <f t="shared" si="11"/>
        <v>5.8767327956256402E-2</v>
      </c>
      <c r="S88">
        <f t="shared" si="12"/>
        <v>0.95314355069247325</v>
      </c>
      <c r="T88">
        <f t="shared" si="13"/>
        <v>1.2809572488725558E-6</v>
      </c>
      <c r="U88">
        <f t="shared" si="14"/>
        <v>1.6001825154010173E-3</v>
      </c>
    </row>
    <row r="89" spans="10:21" x14ac:dyDescent="0.35">
      <c r="J89">
        <f t="shared" si="15"/>
        <v>86</v>
      </c>
      <c r="K89">
        <f>demanda!D87</f>
        <v>0</v>
      </c>
      <c r="L89">
        <f>demanda!I87</f>
        <v>15</v>
      </c>
      <c r="M89">
        <v>14.416809279416043</v>
      </c>
      <c r="N89">
        <f t="shared" si="8"/>
        <v>0.58319072058395705</v>
      </c>
      <c r="O89">
        <v>7.4087557083441532E-4</v>
      </c>
      <c r="P89">
        <f t="shared" si="9"/>
        <v>5.8760813658909554E-2</v>
      </c>
      <c r="Q89">
        <f t="shared" si="10"/>
        <v>98.553306243487526</v>
      </c>
      <c r="R89">
        <f t="shared" si="11"/>
        <v>5.8767327956256402E-2</v>
      </c>
      <c r="S89">
        <f t="shared" si="12"/>
        <v>0.95314355069247325</v>
      </c>
      <c r="T89">
        <f t="shared" si="13"/>
        <v>1.2809572488725558E-6</v>
      </c>
      <c r="U89">
        <f t="shared" si="14"/>
        <v>1.6001825154010173E-3</v>
      </c>
    </row>
    <row r="90" spans="10:21" x14ac:dyDescent="0.35">
      <c r="J90">
        <f t="shared" si="15"/>
        <v>87</v>
      </c>
      <c r="K90">
        <f>demanda!D88</f>
        <v>0</v>
      </c>
      <c r="L90">
        <f>demanda!I88</f>
        <v>11</v>
      </c>
      <c r="M90">
        <v>14.416809279416043</v>
      </c>
      <c r="N90">
        <f t="shared" si="8"/>
        <v>-3.416809279416043</v>
      </c>
      <c r="O90">
        <v>7.4087557083441532E-4</v>
      </c>
      <c r="P90">
        <f t="shared" si="9"/>
        <v>-0.34426901233058166</v>
      </c>
      <c r="Q90">
        <f t="shared" si="10"/>
        <v>98.547392334261005</v>
      </c>
      <c r="R90">
        <f t="shared" si="11"/>
        <v>-0.34431750934619676</v>
      </c>
      <c r="S90">
        <f t="shared" si="12"/>
        <v>0.73064524437297085</v>
      </c>
      <c r="T90">
        <f t="shared" si="13"/>
        <v>4.3969841615361785E-5</v>
      </c>
      <c r="U90">
        <f t="shared" si="14"/>
        <v>-9.3754621379472432E-3</v>
      </c>
    </row>
    <row r="91" spans="10:21" x14ac:dyDescent="0.35">
      <c r="J91">
        <f t="shared" si="15"/>
        <v>88</v>
      </c>
      <c r="K91">
        <f>demanda!D89</f>
        <v>0</v>
      </c>
      <c r="L91">
        <f>demanda!I89</f>
        <v>15</v>
      </c>
      <c r="M91">
        <v>14.416809279416043</v>
      </c>
      <c r="N91">
        <f t="shared" si="8"/>
        <v>0.58319072058395705</v>
      </c>
      <c r="O91">
        <v>7.4087557083441532E-4</v>
      </c>
      <c r="P91">
        <f t="shared" si="9"/>
        <v>5.8760813658909554E-2</v>
      </c>
      <c r="Q91">
        <f t="shared" si="10"/>
        <v>98.553306243487526</v>
      </c>
      <c r="R91">
        <f t="shared" si="11"/>
        <v>5.8767327956256402E-2</v>
      </c>
      <c r="S91">
        <f t="shared" si="12"/>
        <v>0.95314355069247325</v>
      </c>
      <c r="T91">
        <f t="shared" si="13"/>
        <v>1.2809572488725558E-6</v>
      </c>
      <c r="U91">
        <f t="shared" si="14"/>
        <v>1.6001825154010173E-3</v>
      </c>
    </row>
    <row r="92" spans="10:21" x14ac:dyDescent="0.35">
      <c r="J92">
        <f t="shared" si="15"/>
        <v>89</v>
      </c>
      <c r="K92">
        <f>demanda!D90</f>
        <v>0</v>
      </c>
      <c r="L92">
        <f>demanda!I90</f>
        <v>15</v>
      </c>
      <c r="M92">
        <v>14.416809279416043</v>
      </c>
      <c r="N92">
        <f t="shared" si="8"/>
        <v>0.58319072058395705</v>
      </c>
      <c r="O92">
        <v>7.4087557083441532E-4</v>
      </c>
      <c r="P92">
        <f t="shared" si="9"/>
        <v>5.8760813658909554E-2</v>
      </c>
      <c r="Q92">
        <f t="shared" si="10"/>
        <v>98.553306243487526</v>
      </c>
      <c r="R92">
        <f t="shared" si="11"/>
        <v>5.8767327956256402E-2</v>
      </c>
      <c r="S92">
        <f t="shared" si="12"/>
        <v>0.95314355069247325</v>
      </c>
      <c r="T92">
        <f t="shared" si="13"/>
        <v>1.2809572488725558E-6</v>
      </c>
      <c r="U92">
        <f t="shared" si="14"/>
        <v>1.6001825154010173E-3</v>
      </c>
    </row>
    <row r="93" spans="10:21" x14ac:dyDescent="0.35">
      <c r="J93">
        <f t="shared" si="15"/>
        <v>90</v>
      </c>
      <c r="K93">
        <f>demanda!D91</f>
        <v>0</v>
      </c>
      <c r="L93">
        <f>demanda!I91</f>
        <v>15</v>
      </c>
      <c r="M93">
        <v>14.416809279416043</v>
      </c>
      <c r="N93">
        <f t="shared" si="8"/>
        <v>0.58319072058395705</v>
      </c>
      <c r="O93">
        <v>7.4087557083441532E-4</v>
      </c>
      <c r="P93">
        <f t="shared" si="9"/>
        <v>5.8760813658909554E-2</v>
      </c>
      <c r="Q93">
        <f t="shared" si="10"/>
        <v>98.553306243487526</v>
      </c>
      <c r="R93">
        <f t="shared" si="11"/>
        <v>5.8767327956256402E-2</v>
      </c>
      <c r="S93">
        <f t="shared" si="12"/>
        <v>0.95314355069247325</v>
      </c>
      <c r="T93">
        <f t="shared" si="13"/>
        <v>1.2809572488725558E-6</v>
      </c>
      <c r="U93">
        <f t="shared" si="14"/>
        <v>1.6001825154010173E-3</v>
      </c>
    </row>
    <row r="94" spans="10:21" x14ac:dyDescent="0.35">
      <c r="J94">
        <f t="shared" si="15"/>
        <v>91</v>
      </c>
      <c r="K94">
        <f>demanda!D92</f>
        <v>0</v>
      </c>
      <c r="L94">
        <f>demanda!I92</f>
        <v>4</v>
      </c>
      <c r="M94">
        <v>14.416809279416043</v>
      </c>
      <c r="N94">
        <f t="shared" si="8"/>
        <v>-10.416809279416043</v>
      </c>
      <c r="O94">
        <v>7.4087557083441532E-4</v>
      </c>
      <c r="P94">
        <f t="shared" si="9"/>
        <v>-1.0495712078121913</v>
      </c>
      <c r="Q94">
        <f t="shared" si="10"/>
        <v>98.49686724248096</v>
      </c>
      <c r="R94">
        <f t="shared" si="11"/>
        <v>-1.049988258586362</v>
      </c>
      <c r="S94">
        <f t="shared" si="12"/>
        <v>0.29385572056513598</v>
      </c>
      <c r="T94">
        <f t="shared" si="13"/>
        <v>4.0867949778204384E-4</v>
      </c>
      <c r="U94">
        <f t="shared" si="14"/>
        <v>-2.8590254333443563E-2</v>
      </c>
    </row>
    <row r="95" spans="10:21" x14ac:dyDescent="0.35">
      <c r="J95">
        <f t="shared" si="15"/>
        <v>92</v>
      </c>
      <c r="K95">
        <f>demanda!D93</f>
        <v>2</v>
      </c>
      <c r="L95">
        <f>demanda!I93</f>
        <v>5</v>
      </c>
      <c r="M95">
        <v>9.1555418996444509</v>
      </c>
      <c r="N95">
        <f t="shared" si="8"/>
        <v>-4.1555418996444509</v>
      </c>
      <c r="O95">
        <v>7.3144910189317154E-4</v>
      </c>
      <c r="P95">
        <f t="shared" si="9"/>
        <v>-0.4187018321764357</v>
      </c>
      <c r="Q95">
        <f t="shared" si="10"/>
        <v>98.544473706891381</v>
      </c>
      <c r="R95">
        <f t="shared" si="11"/>
        <v>-0.41876504056165376</v>
      </c>
      <c r="S95">
        <f t="shared" si="12"/>
        <v>0.67543472022045181</v>
      </c>
      <c r="T95">
        <f t="shared" si="13"/>
        <v>6.420951640425571E-5</v>
      </c>
      <c r="U95">
        <f t="shared" si="14"/>
        <v>-1.1329777066218591E-2</v>
      </c>
    </row>
    <row r="96" spans="10:21" x14ac:dyDescent="0.35">
      <c r="J96">
        <f t="shared" si="15"/>
        <v>93</v>
      </c>
      <c r="K96">
        <f>demanda!D94</f>
        <v>0</v>
      </c>
      <c r="L96">
        <f>demanda!I94</f>
        <v>13</v>
      </c>
      <c r="M96">
        <v>14.416809279416043</v>
      </c>
      <c r="N96">
        <f t="shared" si="8"/>
        <v>-1.416809279416043</v>
      </c>
      <c r="O96">
        <v>7.4087557083441532E-4</v>
      </c>
      <c r="P96">
        <f t="shared" si="9"/>
        <v>-0.14275409933583605</v>
      </c>
      <c r="Q96">
        <f t="shared" si="10"/>
        <v>98.552436340855238</v>
      </c>
      <c r="R96">
        <f t="shared" si="11"/>
        <v>-0.14277055533334676</v>
      </c>
      <c r="S96">
        <f t="shared" si="12"/>
        <v>0.88648638054980111</v>
      </c>
      <c r="T96">
        <f t="shared" si="13"/>
        <v>7.5602509372950483E-6</v>
      </c>
      <c r="U96">
        <f t="shared" si="14"/>
        <v>-3.8875163173756836E-3</v>
      </c>
    </row>
    <row r="97" spans="10:21" x14ac:dyDescent="0.35">
      <c r="J97">
        <f t="shared" si="15"/>
        <v>94</v>
      </c>
      <c r="K97">
        <f>demanda!D95</f>
        <v>3</v>
      </c>
      <c r="L97">
        <f>demanda!I95</f>
        <v>4</v>
      </c>
      <c r="M97">
        <v>6.5249082097586548</v>
      </c>
      <c r="N97">
        <f t="shared" si="8"/>
        <v>-2.5249082097586548</v>
      </c>
      <c r="O97">
        <v>1.3734589687128761E-3</v>
      </c>
      <c r="P97">
        <f t="shared" si="9"/>
        <v>-0.2544033291046171</v>
      </c>
      <c r="Q97">
        <f t="shared" si="10"/>
        <v>98.550155270625524</v>
      </c>
      <c r="R97">
        <f t="shared" si="11"/>
        <v>-0.25451617384299874</v>
      </c>
      <c r="S97">
        <f t="shared" si="12"/>
        <v>0.79912408038987892</v>
      </c>
      <c r="T97">
        <f t="shared" si="13"/>
        <v>4.4568197050885148E-5</v>
      </c>
      <c r="U97">
        <f t="shared" si="14"/>
        <v>-9.4389063786870474E-3</v>
      </c>
    </row>
    <row r="98" spans="10:21" x14ac:dyDescent="0.35">
      <c r="J98">
        <f t="shared" si="15"/>
        <v>95</v>
      </c>
      <c r="K98">
        <f>demanda!D96</f>
        <v>2</v>
      </c>
      <c r="L98">
        <f>demanda!I96</f>
        <v>3</v>
      </c>
      <c r="M98">
        <v>9.1555418996444509</v>
      </c>
      <c r="N98">
        <f t="shared" si="8"/>
        <v>-6.1555418996444509</v>
      </c>
      <c r="O98">
        <v>7.3144910189317154E-4</v>
      </c>
      <c r="P98">
        <f t="shared" si="9"/>
        <v>-0.62021674517118131</v>
      </c>
      <c r="Q98">
        <f t="shared" si="10"/>
        <v>98.533713924458709</v>
      </c>
      <c r="R98">
        <f t="shared" si="11"/>
        <v>-0.62034424251421916</v>
      </c>
      <c r="S98">
        <f t="shared" si="12"/>
        <v>0.53510483257501296</v>
      </c>
      <c r="T98">
        <f t="shared" si="13"/>
        <v>1.4088885884323287E-4</v>
      </c>
      <c r="U98">
        <f t="shared" si="14"/>
        <v>-1.6783545165498539E-2</v>
      </c>
    </row>
    <row r="99" spans="10:21" x14ac:dyDescent="0.35">
      <c r="J99">
        <f t="shared" si="15"/>
        <v>96</v>
      </c>
      <c r="K99">
        <f>demanda!D97</f>
        <v>2</v>
      </c>
      <c r="L99">
        <f>demanda!I97</f>
        <v>4</v>
      </c>
      <c r="M99">
        <v>9.1555418996444509</v>
      </c>
      <c r="N99">
        <f t="shared" si="8"/>
        <v>-5.1555418996444509</v>
      </c>
      <c r="O99">
        <v>7.3144910189317154E-4</v>
      </c>
      <c r="P99">
        <f t="shared" si="9"/>
        <v>-0.51945928867380853</v>
      </c>
      <c r="Q99">
        <f t="shared" si="10"/>
        <v>98.539615573748293</v>
      </c>
      <c r="R99">
        <f t="shared" si="11"/>
        <v>-0.51955051447259837</v>
      </c>
      <c r="S99">
        <f t="shared" si="12"/>
        <v>0.60343681513546954</v>
      </c>
      <c r="T99">
        <f t="shared" si="13"/>
        <v>9.8830890695332879E-5</v>
      </c>
      <c r="U99">
        <f t="shared" si="14"/>
        <v>-1.4056549457229766E-2</v>
      </c>
    </row>
    <row r="100" spans="10:21" x14ac:dyDescent="0.35">
      <c r="J100">
        <f t="shared" si="15"/>
        <v>97</v>
      </c>
      <c r="K100">
        <f>demanda!D98</f>
        <v>1</v>
      </c>
      <c r="L100">
        <f>demanda!I98</f>
        <v>13</v>
      </c>
      <c r="M100">
        <v>11.786175589530247</v>
      </c>
      <c r="N100">
        <f t="shared" si="8"/>
        <v>1.2138244104697531</v>
      </c>
      <c r="O100">
        <v>5.2058796926701797E-4</v>
      </c>
      <c r="P100">
        <f t="shared" si="9"/>
        <v>0.12230186023335533</v>
      </c>
      <c r="Q100">
        <f t="shared" si="10"/>
        <v>98.552715120685733</v>
      </c>
      <c r="R100">
        <f t="shared" si="11"/>
        <v>0.12230230551078146</v>
      </c>
      <c r="S100">
        <f t="shared" si="12"/>
        <v>0.90267241210292171</v>
      </c>
      <c r="T100">
        <f t="shared" si="13"/>
        <v>3.8974679450726784E-6</v>
      </c>
      <c r="U100">
        <f t="shared" si="14"/>
        <v>2.7912245826094769E-3</v>
      </c>
    </row>
    <row r="101" spans="10:21" x14ac:dyDescent="0.35">
      <c r="J101">
        <f t="shared" si="15"/>
        <v>98</v>
      </c>
      <c r="K101">
        <f>demanda!D99</f>
        <v>3</v>
      </c>
      <c r="L101">
        <f>demanda!I99</f>
        <v>4</v>
      </c>
      <c r="M101">
        <v>6.5249082097586548</v>
      </c>
      <c r="N101">
        <f t="shared" si="8"/>
        <v>-2.5249082097586548</v>
      </c>
      <c r="O101">
        <v>1.3734589687128761E-3</v>
      </c>
      <c r="P101">
        <f t="shared" si="9"/>
        <v>-0.2544033291046171</v>
      </c>
      <c r="Q101">
        <f t="shared" si="10"/>
        <v>98.550155270625524</v>
      </c>
      <c r="R101">
        <f t="shared" si="11"/>
        <v>-0.25451617384299874</v>
      </c>
      <c r="S101">
        <f t="shared" si="12"/>
        <v>0.79912408038987892</v>
      </c>
      <c r="T101">
        <f t="shared" si="13"/>
        <v>4.4568197050885148E-5</v>
      </c>
      <c r="U101">
        <f t="shared" si="14"/>
        <v>-9.4389063786870474E-3</v>
      </c>
    </row>
    <row r="102" spans="10:21" x14ac:dyDescent="0.35">
      <c r="J102">
        <f t="shared" si="15"/>
        <v>99</v>
      </c>
      <c r="K102">
        <f>demanda!D100</f>
        <v>2</v>
      </c>
      <c r="L102">
        <f>demanda!I100</f>
        <v>9</v>
      </c>
      <c r="M102">
        <v>9.1555418996444509</v>
      </c>
      <c r="N102">
        <f t="shared" si="8"/>
        <v>-0.15554189964445087</v>
      </c>
      <c r="O102">
        <v>7.3144910189317154E-4</v>
      </c>
      <c r="P102">
        <f t="shared" si="9"/>
        <v>-1.5672006186944486E-2</v>
      </c>
      <c r="Q102">
        <f t="shared" si="10"/>
        <v>98.553471077998481</v>
      </c>
      <c r="R102">
        <f t="shared" si="11"/>
        <v>-1.5673656569471353E-2</v>
      </c>
      <c r="S102">
        <f t="shared" si="12"/>
        <v>0.98749637272587987</v>
      </c>
      <c r="T102">
        <f t="shared" si="13"/>
        <v>8.9957808175279303E-8</v>
      </c>
      <c r="U102">
        <f t="shared" si="14"/>
        <v>-4.2405410563023908E-4</v>
      </c>
    </row>
    <row r="103" spans="10:21" x14ac:dyDescent="0.35">
      <c r="J103">
        <f t="shared" si="15"/>
        <v>100</v>
      </c>
      <c r="K103">
        <f>demanda!D101</f>
        <v>1</v>
      </c>
      <c r="L103">
        <f>demanda!I101</f>
        <v>11</v>
      </c>
      <c r="M103">
        <v>11.786175589530247</v>
      </c>
      <c r="N103">
        <f t="shared" si="8"/>
        <v>-0.78617558953024691</v>
      </c>
      <c r="O103">
        <v>5.2058796926701797E-4</v>
      </c>
      <c r="P103">
        <f t="shared" si="9"/>
        <v>-7.9213052761390276E-2</v>
      </c>
      <c r="Q103">
        <f t="shared" si="10"/>
        <v>98.553161284987851</v>
      </c>
      <c r="R103">
        <f t="shared" si="11"/>
        <v>-7.9213161855515926E-2</v>
      </c>
      <c r="S103">
        <f t="shared" si="12"/>
        <v>0.93687133485398588</v>
      </c>
      <c r="T103">
        <f t="shared" si="13"/>
        <v>1.6349705257494771E-6</v>
      </c>
      <c r="U103">
        <f t="shared" si="14"/>
        <v>-1.8078295720913319E-3</v>
      </c>
    </row>
    <row r="104" spans="10:21" x14ac:dyDescent="0.35">
      <c r="J104">
        <f t="shared" si="15"/>
        <v>101</v>
      </c>
      <c r="K104">
        <f>demanda!D102</f>
        <v>1</v>
      </c>
      <c r="L104">
        <f>demanda!I102</f>
        <v>9</v>
      </c>
      <c r="M104">
        <v>11.786175589530247</v>
      </c>
      <c r="N104">
        <f t="shared" si="8"/>
        <v>-2.7861755895302469</v>
      </c>
      <c r="O104">
        <v>5.2058796926701797E-4</v>
      </c>
      <c r="P104">
        <f t="shared" si="9"/>
        <v>-0.2807279657561359</v>
      </c>
      <c r="Q104">
        <f t="shared" si="10"/>
        <v>98.549434265310296</v>
      </c>
      <c r="R104">
        <f t="shared" si="11"/>
        <v>-0.2807336607336009</v>
      </c>
      <c r="S104">
        <f t="shared" si="12"/>
        <v>0.77894495126310248</v>
      </c>
      <c r="T104">
        <f t="shared" si="13"/>
        <v>2.0534672635962656E-5</v>
      </c>
      <c r="U104">
        <f t="shared" si="14"/>
        <v>-6.4069985576559628E-3</v>
      </c>
    </row>
    <row r="105" spans="10:21" x14ac:dyDescent="0.35">
      <c r="J105">
        <f t="shared" si="15"/>
        <v>102</v>
      </c>
      <c r="K105">
        <f>demanda!D103</f>
        <v>1</v>
      </c>
      <c r="L105">
        <f>demanda!I103</f>
        <v>33</v>
      </c>
      <c r="M105">
        <v>11.786175589530247</v>
      </c>
      <c r="N105">
        <f t="shared" si="8"/>
        <v>21.213824410469755</v>
      </c>
      <c r="O105">
        <v>5.2058796926701797E-4</v>
      </c>
      <c r="P105">
        <f t="shared" si="9"/>
        <v>2.1374509901808114</v>
      </c>
      <c r="Q105">
        <f t="shared" si="10"/>
        <v>98.318728358783545</v>
      </c>
      <c r="R105">
        <f t="shared" si="11"/>
        <v>2.1400007082960935</v>
      </c>
      <c r="S105">
        <f t="shared" si="12"/>
        <v>3.2480477136979533E-2</v>
      </c>
      <c r="T105">
        <f t="shared" si="13"/>
        <v>1.1904434162628057E-3</v>
      </c>
      <c r="U105">
        <f t="shared" si="14"/>
        <v>4.8839819976011688E-2</v>
      </c>
    </row>
    <row r="106" spans="10:21" x14ac:dyDescent="0.35">
      <c r="J106">
        <f t="shared" si="15"/>
        <v>103</v>
      </c>
      <c r="K106">
        <f>demanda!D104</f>
        <v>1</v>
      </c>
      <c r="L106">
        <f>demanda!I104</f>
        <v>5</v>
      </c>
      <c r="M106">
        <v>11.786175589530247</v>
      </c>
      <c r="N106">
        <f t="shared" si="8"/>
        <v>-6.7861755895302469</v>
      </c>
      <c r="O106">
        <v>5.2058796926701797E-4</v>
      </c>
      <c r="P106">
        <f t="shared" si="9"/>
        <v>-0.68375779174562712</v>
      </c>
      <c r="Q106">
        <f t="shared" si="10"/>
        <v>98.529460674016264</v>
      </c>
      <c r="R106">
        <f t="shared" si="11"/>
        <v>-0.68384096531208116</v>
      </c>
      <c r="S106">
        <f t="shared" si="12"/>
        <v>0.49415815943295716</v>
      </c>
      <c r="T106">
        <f t="shared" si="13"/>
        <v>1.2182067544499816E-4</v>
      </c>
      <c r="U106">
        <f t="shared" si="14"/>
        <v>-1.560684980551091E-2</v>
      </c>
    </row>
    <row r="107" spans="10:21" x14ac:dyDescent="0.35">
      <c r="J107">
        <f t="shared" si="15"/>
        <v>104</v>
      </c>
      <c r="K107">
        <f>demanda!D105</f>
        <v>0</v>
      </c>
      <c r="L107">
        <f>demanda!I105</f>
        <v>3</v>
      </c>
      <c r="M107">
        <v>14.416809279416043</v>
      </c>
      <c r="N107">
        <f t="shared" si="8"/>
        <v>-11.416809279416043</v>
      </c>
      <c r="O107">
        <v>7.4087557083441532E-4</v>
      </c>
      <c r="P107">
        <f t="shared" si="9"/>
        <v>-1.150328664309564</v>
      </c>
      <c r="Q107">
        <f t="shared" si="10"/>
        <v>98.485475268264722</v>
      </c>
      <c r="R107">
        <f t="shared" si="11"/>
        <v>-1.1508523061099405</v>
      </c>
      <c r="S107">
        <f t="shared" si="12"/>
        <v>0.24993638008158123</v>
      </c>
      <c r="T107">
        <f t="shared" si="13"/>
        <v>4.9091117422407117E-4</v>
      </c>
      <c r="U107">
        <f t="shared" si="14"/>
        <v>-3.1336693399040466E-2</v>
      </c>
    </row>
    <row r="108" spans="10:21" x14ac:dyDescent="0.35">
      <c r="J108">
        <f t="shared" si="15"/>
        <v>105</v>
      </c>
      <c r="K108">
        <f>demanda!D106</f>
        <v>2</v>
      </c>
      <c r="L108">
        <f>demanda!I106</f>
        <v>10</v>
      </c>
      <c r="M108">
        <v>9.1555418996444509</v>
      </c>
      <c r="N108">
        <f t="shared" si="8"/>
        <v>0.84445810035554913</v>
      </c>
      <c r="O108">
        <v>7.3144910189317154E-4</v>
      </c>
      <c r="P108">
        <f t="shared" si="9"/>
        <v>8.5085450310428315E-2</v>
      </c>
      <c r="Q108">
        <f t="shared" si="10"/>
        <v>98.553111630408949</v>
      </c>
      <c r="R108">
        <f t="shared" si="11"/>
        <v>8.5094565641383624E-2</v>
      </c>
      <c r="S108">
        <f t="shared" si="12"/>
        <v>0.9321950870824135</v>
      </c>
      <c r="T108">
        <f t="shared" si="13"/>
        <v>2.6515528012122139E-6</v>
      </c>
      <c r="U108">
        <f t="shared" si="14"/>
        <v>2.3022515369728867E-3</v>
      </c>
    </row>
    <row r="109" spans="10:21" x14ac:dyDescent="0.35">
      <c r="J109">
        <f t="shared" si="15"/>
        <v>106</v>
      </c>
      <c r="K109">
        <f>demanda!D107</f>
        <v>0</v>
      </c>
      <c r="L109">
        <f>demanda!I107</f>
        <v>3</v>
      </c>
      <c r="M109">
        <v>14.416809279416043</v>
      </c>
      <c r="N109">
        <f t="shared" si="8"/>
        <v>-11.416809279416043</v>
      </c>
      <c r="O109">
        <v>7.4087557083441532E-4</v>
      </c>
      <c r="P109">
        <f t="shared" si="9"/>
        <v>-1.150328664309564</v>
      </c>
      <c r="Q109">
        <f t="shared" si="10"/>
        <v>98.485475268264722</v>
      </c>
      <c r="R109">
        <f t="shared" si="11"/>
        <v>-1.1508523061099405</v>
      </c>
      <c r="S109">
        <f t="shared" si="12"/>
        <v>0.24993638008158123</v>
      </c>
      <c r="T109">
        <f t="shared" si="13"/>
        <v>4.9091117422407117E-4</v>
      </c>
      <c r="U109">
        <f t="shared" si="14"/>
        <v>-3.1336693399040466E-2</v>
      </c>
    </row>
    <row r="110" spans="10:21" x14ac:dyDescent="0.35">
      <c r="J110">
        <f t="shared" si="15"/>
        <v>107</v>
      </c>
      <c r="K110">
        <f>demanda!D108</f>
        <v>0</v>
      </c>
      <c r="L110">
        <f>demanda!I108</f>
        <v>4</v>
      </c>
      <c r="M110">
        <v>14.416809279416043</v>
      </c>
      <c r="N110">
        <f t="shared" si="8"/>
        <v>-10.416809279416043</v>
      </c>
      <c r="O110">
        <v>7.4087557083441532E-4</v>
      </c>
      <c r="P110">
        <f t="shared" si="9"/>
        <v>-1.0495712078121913</v>
      </c>
      <c r="Q110">
        <f t="shared" si="10"/>
        <v>98.49686724248096</v>
      </c>
      <c r="R110">
        <f t="shared" si="11"/>
        <v>-1.049988258586362</v>
      </c>
      <c r="S110">
        <f t="shared" si="12"/>
        <v>0.29385572056513598</v>
      </c>
      <c r="T110">
        <f t="shared" si="13"/>
        <v>4.0867949778204384E-4</v>
      </c>
      <c r="U110">
        <f t="shared" si="14"/>
        <v>-2.8590254333443563E-2</v>
      </c>
    </row>
    <row r="111" spans="10:21" x14ac:dyDescent="0.35">
      <c r="J111">
        <f t="shared" si="15"/>
        <v>108</v>
      </c>
      <c r="K111">
        <f>demanda!D109</f>
        <v>7</v>
      </c>
      <c r="L111">
        <f>demanda!I109</f>
        <v>1</v>
      </c>
      <c r="M111">
        <v>-3.9976265497845276</v>
      </c>
      <c r="N111">
        <f t="shared" si="8"/>
        <v>4.9976265497845276</v>
      </c>
      <c r="O111">
        <v>8.2529857779272044E-3</v>
      </c>
      <c r="P111">
        <f t="shared" si="9"/>
        <v>0.50354813968002987</v>
      </c>
      <c r="Q111">
        <f t="shared" si="10"/>
        <v>98.540353296828158</v>
      </c>
      <c r="R111">
        <f t="shared" si="11"/>
        <v>0.50554089362351151</v>
      </c>
      <c r="S111">
        <f t="shared" si="12"/>
        <v>0.61323704299937098</v>
      </c>
      <c r="T111">
        <f t="shared" si="13"/>
        <v>1.063803192754387E-3</v>
      </c>
      <c r="U111">
        <f t="shared" si="14"/>
        <v>4.6117036260322951E-2</v>
      </c>
    </row>
    <row r="112" spans="10:21" x14ac:dyDescent="0.35">
      <c r="J112">
        <f t="shared" si="15"/>
        <v>109</v>
      </c>
      <c r="K112">
        <f>demanda!D110</f>
        <v>1</v>
      </c>
      <c r="L112">
        <f>demanda!I110</f>
        <v>3</v>
      </c>
      <c r="M112">
        <v>11.786175589530247</v>
      </c>
      <c r="N112">
        <f t="shared" si="8"/>
        <v>-8.7861755895302469</v>
      </c>
      <c r="O112">
        <v>5.2058796926701797E-4</v>
      </c>
      <c r="P112">
        <f t="shared" si="9"/>
        <v>-0.88527270474037267</v>
      </c>
      <c r="Q112">
        <f t="shared" si="10"/>
        <v>98.513214102399758</v>
      </c>
      <c r="R112">
        <f t="shared" si="11"/>
        <v>-0.88545339538896362</v>
      </c>
      <c r="S112">
        <f t="shared" si="12"/>
        <v>0.37602308055069167</v>
      </c>
      <c r="T112">
        <f t="shared" si="13"/>
        <v>2.0420697614382047E-4</v>
      </c>
      <c r="U112">
        <f t="shared" si="14"/>
        <v>-2.0208116875988336E-2</v>
      </c>
    </row>
    <row r="113" spans="10:21" x14ac:dyDescent="0.35">
      <c r="J113">
        <f t="shared" si="15"/>
        <v>110</v>
      </c>
      <c r="K113">
        <f>demanda!D111</f>
        <v>0</v>
      </c>
      <c r="L113">
        <f>demanda!I111</f>
        <v>16</v>
      </c>
      <c r="M113">
        <v>14.416809279416043</v>
      </c>
      <c r="N113">
        <f t="shared" si="8"/>
        <v>1.583190720583957</v>
      </c>
      <c r="O113">
        <v>7.4087557083441532E-4</v>
      </c>
      <c r="P113">
        <f t="shared" si="9"/>
        <v>0.15951827015628237</v>
      </c>
      <c r="Q113">
        <f t="shared" si="10"/>
        <v>98.552175905817947</v>
      </c>
      <c r="R113">
        <f t="shared" si="11"/>
        <v>0.1595368694422851</v>
      </c>
      <c r="S113">
        <f t="shared" si="12"/>
        <v>0.87326270170878273</v>
      </c>
      <c r="T113">
        <f t="shared" si="13"/>
        <v>9.440171775777902E-6</v>
      </c>
      <c r="U113">
        <f t="shared" si="14"/>
        <v>4.3440482649370034E-3</v>
      </c>
    </row>
    <row r="114" spans="10:21" x14ac:dyDescent="0.35">
      <c r="J114">
        <f t="shared" si="15"/>
        <v>111</v>
      </c>
      <c r="K114">
        <f>demanda!D112</f>
        <v>0</v>
      </c>
      <c r="L114">
        <f>demanda!I112</f>
        <v>3</v>
      </c>
      <c r="M114">
        <v>14.416809279416043</v>
      </c>
      <c r="N114">
        <f t="shared" si="8"/>
        <v>-11.416809279416043</v>
      </c>
      <c r="O114">
        <v>7.4087557083441532E-4</v>
      </c>
      <c r="P114">
        <f t="shared" si="9"/>
        <v>-1.150328664309564</v>
      </c>
      <c r="Q114">
        <f t="shared" si="10"/>
        <v>98.485475268264722</v>
      </c>
      <c r="R114">
        <f t="shared" si="11"/>
        <v>-1.1508523061099405</v>
      </c>
      <c r="S114">
        <f t="shared" si="12"/>
        <v>0.24993638008158123</v>
      </c>
      <c r="T114">
        <f t="shared" si="13"/>
        <v>4.9091117422407117E-4</v>
      </c>
      <c r="U114">
        <f t="shared" si="14"/>
        <v>-3.1336693399040466E-2</v>
      </c>
    </row>
    <row r="115" spans="10:21" x14ac:dyDescent="0.35">
      <c r="J115">
        <f t="shared" si="15"/>
        <v>112</v>
      </c>
      <c r="K115">
        <f>demanda!D113</f>
        <v>1</v>
      </c>
      <c r="L115">
        <f>demanda!I113</f>
        <v>12</v>
      </c>
      <c r="M115">
        <v>11.786175589530247</v>
      </c>
      <c r="N115">
        <f t="shared" si="8"/>
        <v>0.21382441046975309</v>
      </c>
      <c r="O115">
        <v>5.2058796926701797E-4</v>
      </c>
      <c r="P115">
        <f t="shared" si="9"/>
        <v>2.1544403735982532E-2</v>
      </c>
      <c r="Q115">
        <f t="shared" si="10"/>
        <v>98.55345985083423</v>
      </c>
      <c r="R115">
        <f t="shared" si="11"/>
        <v>2.1544400773202785E-2</v>
      </c>
      <c r="S115">
        <f t="shared" si="12"/>
        <v>0.98281362479024093</v>
      </c>
      <c r="T115">
        <f t="shared" si="13"/>
        <v>1.2094429421903031E-7</v>
      </c>
      <c r="U115">
        <f t="shared" si="14"/>
        <v>4.9169360139701592E-4</v>
      </c>
    </row>
    <row r="116" spans="10:21" x14ac:dyDescent="0.35">
      <c r="J116">
        <f t="shared" si="15"/>
        <v>113</v>
      </c>
      <c r="K116">
        <f>demanda!D114</f>
        <v>1</v>
      </c>
      <c r="L116">
        <f>demanda!I114</f>
        <v>12</v>
      </c>
      <c r="M116">
        <v>11.786175589530247</v>
      </c>
      <c r="N116">
        <f t="shared" si="8"/>
        <v>0.21382441046975309</v>
      </c>
      <c r="O116">
        <v>5.2058796926701797E-4</v>
      </c>
      <c r="P116">
        <f t="shared" si="9"/>
        <v>2.1544403735982532E-2</v>
      </c>
      <c r="Q116">
        <f t="shared" si="10"/>
        <v>98.55345985083423</v>
      </c>
      <c r="R116">
        <f t="shared" si="11"/>
        <v>2.1544400773202785E-2</v>
      </c>
      <c r="S116">
        <f t="shared" si="12"/>
        <v>0.98281362479024093</v>
      </c>
      <c r="T116">
        <f t="shared" si="13"/>
        <v>1.2094429421903031E-7</v>
      </c>
      <c r="U116">
        <f t="shared" si="14"/>
        <v>4.9169360139701592E-4</v>
      </c>
    </row>
    <row r="117" spans="10:21" x14ac:dyDescent="0.35">
      <c r="J117">
        <f t="shared" si="15"/>
        <v>114</v>
      </c>
      <c r="K117">
        <f>demanda!D115</f>
        <v>0</v>
      </c>
      <c r="L117">
        <f>demanda!I115</f>
        <v>23</v>
      </c>
      <c r="M117">
        <v>14.416809279416043</v>
      </c>
      <c r="N117">
        <f t="shared" si="8"/>
        <v>8.583190720583957</v>
      </c>
      <c r="O117">
        <v>7.4087557083441532E-4</v>
      </c>
      <c r="P117">
        <f t="shared" si="9"/>
        <v>0.86482046563789194</v>
      </c>
      <c r="Q117">
        <f t="shared" si="10"/>
        <v>98.515044814397314</v>
      </c>
      <c r="R117">
        <f t="shared" si="11"/>
        <v>0.86508428320119957</v>
      </c>
      <c r="S117">
        <f t="shared" si="12"/>
        <v>0.38710065879826105</v>
      </c>
      <c r="T117">
        <f t="shared" si="13"/>
        <v>2.7746675239162511E-4</v>
      </c>
      <c r="U117">
        <f t="shared" si="14"/>
        <v>2.3555482144044106E-2</v>
      </c>
    </row>
    <row r="118" spans="10:21" x14ac:dyDescent="0.35">
      <c r="J118">
        <f t="shared" si="15"/>
        <v>115</v>
      </c>
      <c r="K118">
        <f>demanda!D116</f>
        <v>0</v>
      </c>
      <c r="L118">
        <f>demanda!I116</f>
        <v>7</v>
      </c>
      <c r="M118">
        <v>14.416809279416043</v>
      </c>
      <c r="N118">
        <f t="shared" si="8"/>
        <v>-7.416809279416043</v>
      </c>
      <c r="O118">
        <v>7.4087557083441532E-4</v>
      </c>
      <c r="P118">
        <f t="shared" si="9"/>
        <v>-0.74729883832007293</v>
      </c>
      <c r="Q118">
        <f t="shared" si="10"/>
        <v>98.524782009186751</v>
      </c>
      <c r="R118">
        <f t="shared" si="11"/>
        <v>-0.74748986544241569</v>
      </c>
      <c r="S118">
        <f t="shared" si="12"/>
        <v>0.45485950007005715</v>
      </c>
      <c r="T118">
        <f t="shared" si="13"/>
        <v>2.0717991394042799E-4</v>
      </c>
      <c r="U118">
        <f t="shared" si="14"/>
        <v>-2.0353489850869988E-2</v>
      </c>
    </row>
    <row r="119" spans="10:21" x14ac:dyDescent="0.35">
      <c r="J119">
        <f t="shared" si="15"/>
        <v>116</v>
      </c>
      <c r="K119">
        <f>demanda!D117</f>
        <v>3</v>
      </c>
      <c r="L119">
        <f>demanda!I117</f>
        <v>3</v>
      </c>
      <c r="M119">
        <v>6.5249082097586548</v>
      </c>
      <c r="N119">
        <f t="shared" si="8"/>
        <v>-3.5249082097586548</v>
      </c>
      <c r="O119">
        <v>1.3734589687128761E-3</v>
      </c>
      <c r="P119">
        <f t="shared" si="9"/>
        <v>-0.35516078560198994</v>
      </c>
      <c r="Q119">
        <f t="shared" si="10"/>
        <v>98.546996700749531</v>
      </c>
      <c r="R119">
        <f t="shared" si="11"/>
        <v>-0.35532401713098288</v>
      </c>
      <c r="S119">
        <f t="shared" si="12"/>
        <v>0.72238591463660118</v>
      </c>
      <c r="T119">
        <f t="shared" si="13"/>
        <v>8.6861935283639592E-5</v>
      </c>
      <c r="U119">
        <f t="shared" si="14"/>
        <v>-1.3177434192717408E-2</v>
      </c>
    </row>
    <row r="120" spans="10:21" x14ac:dyDescent="0.35">
      <c r="J120">
        <f t="shared" si="15"/>
        <v>117</v>
      </c>
      <c r="K120">
        <f>demanda!D118</f>
        <v>5</v>
      </c>
      <c r="L120">
        <f>demanda!I118</f>
        <v>2</v>
      </c>
      <c r="M120">
        <v>1.2636408299870627</v>
      </c>
      <c r="N120">
        <f t="shared" si="8"/>
        <v>0.73635917001293727</v>
      </c>
      <c r="O120">
        <v>3.9509249049329382E-3</v>
      </c>
      <c r="P120">
        <f t="shared" si="9"/>
        <v>7.4193677039020078E-2</v>
      </c>
      <c r="Q120">
        <f t="shared" si="10"/>
        <v>98.553199876422468</v>
      </c>
      <c r="R120">
        <f t="shared" si="11"/>
        <v>7.4321414457959423E-2</v>
      </c>
      <c r="S120">
        <f t="shared" si="12"/>
        <v>0.94076238398569867</v>
      </c>
      <c r="T120">
        <f t="shared" si="13"/>
        <v>1.0960770814463366E-5</v>
      </c>
      <c r="U120">
        <f t="shared" si="14"/>
        <v>4.680831262592092E-3</v>
      </c>
    </row>
    <row r="121" spans="10:21" x14ac:dyDescent="0.35">
      <c r="J121">
        <f t="shared" si="15"/>
        <v>118</v>
      </c>
      <c r="K121">
        <f>demanda!D119</f>
        <v>0</v>
      </c>
      <c r="L121">
        <f>demanda!I119</f>
        <v>13</v>
      </c>
      <c r="M121">
        <v>14.416809279416043</v>
      </c>
      <c r="N121">
        <f t="shared" si="8"/>
        <v>-1.416809279416043</v>
      </c>
      <c r="O121">
        <v>7.4087557083441532E-4</v>
      </c>
      <c r="P121">
        <f t="shared" si="9"/>
        <v>-0.14275409933583605</v>
      </c>
      <c r="Q121">
        <f t="shared" si="10"/>
        <v>98.552436340855238</v>
      </c>
      <c r="R121">
        <f t="shared" si="11"/>
        <v>-0.14277055533334676</v>
      </c>
      <c r="S121">
        <f t="shared" si="12"/>
        <v>0.88648638054980111</v>
      </c>
      <c r="T121">
        <f t="shared" si="13"/>
        <v>7.5602509372950483E-6</v>
      </c>
      <c r="U121">
        <f t="shared" si="14"/>
        <v>-3.8875163173756836E-3</v>
      </c>
    </row>
    <row r="122" spans="10:21" x14ac:dyDescent="0.35">
      <c r="J122">
        <f t="shared" si="15"/>
        <v>119</v>
      </c>
      <c r="K122">
        <f>demanda!D120</f>
        <v>6</v>
      </c>
      <c r="L122">
        <f>demanda!I120</f>
        <v>2</v>
      </c>
      <c r="M122">
        <v>-1.3669928598987333</v>
      </c>
      <c r="N122">
        <f t="shared" si="8"/>
        <v>3.3669928598987333</v>
      </c>
      <c r="O122">
        <v>5.8863809743332956E-3</v>
      </c>
      <c r="P122">
        <f t="shared" si="9"/>
        <v>0.33924963660821145</v>
      </c>
      <c r="Q122">
        <f t="shared" si="10"/>
        <v>98.547538045230482</v>
      </c>
      <c r="R122">
        <f t="shared" si="11"/>
        <v>0.34017413892280718</v>
      </c>
      <c r="S122">
        <f t="shared" si="12"/>
        <v>0.73376262303153728</v>
      </c>
      <c r="T122">
        <f t="shared" si="13"/>
        <v>3.4275603188736416E-4</v>
      </c>
      <c r="U122">
        <f t="shared" si="14"/>
        <v>2.617625216767119E-2</v>
      </c>
    </row>
    <row r="123" spans="10:21" x14ac:dyDescent="0.35">
      <c r="J123">
        <f t="shared" si="15"/>
        <v>120</v>
      </c>
      <c r="K123">
        <f>demanda!D121</f>
        <v>1</v>
      </c>
      <c r="L123">
        <f>demanda!I121</f>
        <v>3</v>
      </c>
      <c r="M123">
        <v>11.786175589530247</v>
      </c>
      <c r="N123">
        <f t="shared" si="8"/>
        <v>-8.7861755895302469</v>
      </c>
      <c r="O123">
        <v>5.2058796926701797E-4</v>
      </c>
      <c r="P123">
        <f t="shared" si="9"/>
        <v>-0.88527270474037267</v>
      </c>
      <c r="Q123">
        <f t="shared" si="10"/>
        <v>98.513214102399758</v>
      </c>
      <c r="R123">
        <f t="shared" si="11"/>
        <v>-0.88545339538896362</v>
      </c>
      <c r="S123">
        <f t="shared" si="12"/>
        <v>0.37602308055069167</v>
      </c>
      <c r="T123">
        <f t="shared" si="13"/>
        <v>2.0420697614382047E-4</v>
      </c>
      <c r="U123">
        <f t="shared" si="14"/>
        <v>-2.0208116875988336E-2</v>
      </c>
    </row>
    <row r="124" spans="10:21" x14ac:dyDescent="0.35">
      <c r="J124">
        <f t="shared" si="15"/>
        <v>121</v>
      </c>
      <c r="K124">
        <f>demanda!D122</f>
        <v>4</v>
      </c>
      <c r="L124">
        <f>demanda!I122</f>
        <v>3</v>
      </c>
      <c r="M124">
        <v>3.8942745198728588</v>
      </c>
      <c r="N124">
        <f t="shared" si="8"/>
        <v>-0.89427451987285878</v>
      </c>
      <c r="O124">
        <v>2.4466175697261316E-3</v>
      </c>
      <c r="P124">
        <f t="shared" si="9"/>
        <v>-9.0104826032798527E-2</v>
      </c>
      <c r="Q124">
        <f t="shared" si="10"/>
        <v>98.553065719630368</v>
      </c>
      <c r="R124">
        <f t="shared" si="11"/>
        <v>-9.0191937130002245E-2</v>
      </c>
      <c r="S124">
        <f t="shared" si="12"/>
        <v>0.92814410376796586</v>
      </c>
      <c r="T124">
        <f t="shared" si="13"/>
        <v>9.9806748742546123E-6</v>
      </c>
      <c r="U124">
        <f t="shared" si="14"/>
        <v>-4.4666578568412878E-3</v>
      </c>
    </row>
    <row r="125" spans="10:21" x14ac:dyDescent="0.35">
      <c r="J125">
        <f t="shared" si="15"/>
        <v>122</v>
      </c>
      <c r="K125">
        <f>demanda!D123</f>
        <v>0</v>
      </c>
      <c r="L125">
        <f>demanda!I123</f>
        <v>4</v>
      </c>
      <c r="M125">
        <v>14.416809279416043</v>
      </c>
      <c r="N125">
        <f t="shared" si="8"/>
        <v>-10.416809279416043</v>
      </c>
      <c r="O125">
        <v>7.4087557083441532E-4</v>
      </c>
      <c r="P125">
        <f t="shared" si="9"/>
        <v>-1.0495712078121913</v>
      </c>
      <c r="Q125">
        <f t="shared" si="10"/>
        <v>98.49686724248096</v>
      </c>
      <c r="R125">
        <f t="shared" si="11"/>
        <v>-1.049988258586362</v>
      </c>
      <c r="S125">
        <f t="shared" si="12"/>
        <v>0.29385572056513598</v>
      </c>
      <c r="T125">
        <f t="shared" si="13"/>
        <v>4.0867949778204384E-4</v>
      </c>
      <c r="U125">
        <f t="shared" si="14"/>
        <v>-2.8590254333443563E-2</v>
      </c>
    </row>
    <row r="126" spans="10:21" x14ac:dyDescent="0.35">
      <c r="J126">
        <f t="shared" si="15"/>
        <v>123</v>
      </c>
      <c r="K126">
        <f>demanda!D124</f>
        <v>3</v>
      </c>
      <c r="L126">
        <f>demanda!I124</f>
        <v>3</v>
      </c>
      <c r="M126">
        <v>6.5249082097586548</v>
      </c>
      <c r="N126">
        <f t="shared" si="8"/>
        <v>-3.5249082097586548</v>
      </c>
      <c r="O126">
        <v>1.3734589687128761E-3</v>
      </c>
      <c r="P126">
        <f t="shared" si="9"/>
        <v>-0.35516078560198994</v>
      </c>
      <c r="Q126">
        <f t="shared" si="10"/>
        <v>98.546996700749531</v>
      </c>
      <c r="R126">
        <f t="shared" si="11"/>
        <v>-0.35532401713098288</v>
      </c>
      <c r="S126">
        <f t="shared" si="12"/>
        <v>0.72238591463660118</v>
      </c>
      <c r="T126">
        <f t="shared" si="13"/>
        <v>8.6861935283639592E-5</v>
      </c>
      <c r="U126">
        <f t="shared" si="14"/>
        <v>-1.3177434192717408E-2</v>
      </c>
    </row>
    <row r="127" spans="10:21" x14ac:dyDescent="0.35">
      <c r="J127">
        <f t="shared" si="15"/>
        <v>124</v>
      </c>
      <c r="K127">
        <f>demanda!D125</f>
        <v>0</v>
      </c>
      <c r="L127">
        <f>demanda!I125</f>
        <v>18</v>
      </c>
      <c r="M127">
        <v>14.416809279416043</v>
      </c>
      <c r="N127">
        <f t="shared" si="8"/>
        <v>3.583190720583957</v>
      </c>
      <c r="O127">
        <v>7.4087557083441532E-4</v>
      </c>
      <c r="P127">
        <f t="shared" si="9"/>
        <v>0.36103318315102795</v>
      </c>
      <c r="Q127">
        <f t="shared" si="10"/>
        <v>98.546784652507341</v>
      </c>
      <c r="R127">
        <f t="shared" si="11"/>
        <v>0.3610851550254302</v>
      </c>
      <c r="S127">
        <f t="shared" si="12"/>
        <v>0.7180755365508017</v>
      </c>
      <c r="T127">
        <f t="shared" si="13"/>
        <v>4.8356323571821784E-5</v>
      </c>
      <c r="U127">
        <f t="shared" si="14"/>
        <v>9.8320303429934326E-3</v>
      </c>
    </row>
    <row r="128" spans="10:21" x14ac:dyDescent="0.35">
      <c r="J128">
        <f t="shared" si="15"/>
        <v>125</v>
      </c>
      <c r="K128">
        <f>demanda!D126</f>
        <v>2</v>
      </c>
      <c r="L128">
        <f>demanda!I126</f>
        <v>11</v>
      </c>
      <c r="M128">
        <v>9.1555418996444509</v>
      </c>
      <c r="N128">
        <f t="shared" si="8"/>
        <v>1.8444581003555491</v>
      </c>
      <c r="O128">
        <v>7.3144910189317154E-4</v>
      </c>
      <c r="P128">
        <f t="shared" si="9"/>
        <v>0.18584290680780113</v>
      </c>
      <c r="Q128">
        <f t="shared" si="10"/>
        <v>98.551708666672923</v>
      </c>
      <c r="R128">
        <f t="shared" si="11"/>
        <v>0.18586413938454407</v>
      </c>
      <c r="S128">
        <f t="shared" si="12"/>
        <v>0.85257094830757985</v>
      </c>
      <c r="T128">
        <f t="shared" si="13"/>
        <v>1.2649741651071969E-5</v>
      </c>
      <c r="U128">
        <f t="shared" si="14"/>
        <v>5.0285937455694357E-3</v>
      </c>
    </row>
    <row r="129" spans="10:21" x14ac:dyDescent="0.35">
      <c r="J129">
        <f t="shared" si="15"/>
        <v>126</v>
      </c>
      <c r="K129">
        <f>demanda!D127</f>
        <v>0</v>
      </c>
      <c r="L129">
        <f>demanda!I127</f>
        <v>13</v>
      </c>
      <c r="M129">
        <v>14.416809279416043</v>
      </c>
      <c r="N129">
        <f t="shared" si="8"/>
        <v>-1.416809279416043</v>
      </c>
      <c r="O129">
        <v>7.4087557083441532E-4</v>
      </c>
      <c r="P129">
        <f t="shared" si="9"/>
        <v>-0.14275409933583605</v>
      </c>
      <c r="Q129">
        <f t="shared" si="10"/>
        <v>98.552436340855238</v>
      </c>
      <c r="R129">
        <f t="shared" si="11"/>
        <v>-0.14277055533334676</v>
      </c>
      <c r="S129">
        <f t="shared" si="12"/>
        <v>0.88648638054980111</v>
      </c>
      <c r="T129">
        <f t="shared" si="13"/>
        <v>7.5602509372950483E-6</v>
      </c>
      <c r="U129">
        <f t="shared" si="14"/>
        <v>-3.8875163173756836E-3</v>
      </c>
    </row>
    <row r="130" spans="10:21" x14ac:dyDescent="0.35">
      <c r="J130">
        <f t="shared" si="15"/>
        <v>127</v>
      </c>
      <c r="K130">
        <f>demanda!D128</f>
        <v>0</v>
      </c>
      <c r="L130">
        <f>demanda!I128</f>
        <v>31</v>
      </c>
      <c r="M130">
        <v>14.416809279416043</v>
      </c>
      <c r="N130">
        <f t="shared" si="8"/>
        <v>16.583190720583957</v>
      </c>
      <c r="O130">
        <v>7.4087557083441532E-4</v>
      </c>
      <c r="P130">
        <f t="shared" si="9"/>
        <v>1.6708801176168744</v>
      </c>
      <c r="Q130">
        <f t="shared" si="10"/>
        <v>98.409997721916127</v>
      </c>
      <c r="R130">
        <f t="shared" si="11"/>
        <v>1.672281646486445</v>
      </c>
      <c r="S130">
        <f t="shared" si="12"/>
        <v>9.4631812115691313E-2</v>
      </c>
      <c r="T130">
        <f t="shared" si="13"/>
        <v>1.0357372993686853E-3</v>
      </c>
      <c r="U130">
        <f t="shared" si="14"/>
        <v>4.5534754507223614E-2</v>
      </c>
    </row>
    <row r="131" spans="10:21" x14ac:dyDescent="0.35">
      <c r="J131">
        <f t="shared" si="15"/>
        <v>128</v>
      </c>
      <c r="K131">
        <f>demanda!D129</f>
        <v>3</v>
      </c>
      <c r="L131">
        <f>demanda!I129</f>
        <v>24</v>
      </c>
      <c r="M131">
        <v>6.5249082097586548</v>
      </c>
      <c r="N131">
        <f t="shared" si="8"/>
        <v>17.475091790241343</v>
      </c>
      <c r="O131">
        <v>1.3734589687128761E-3</v>
      </c>
      <c r="P131">
        <f t="shared" si="9"/>
        <v>1.7607458008428387</v>
      </c>
      <c r="Q131">
        <f t="shared" si="10"/>
        <v>98.394047394870967</v>
      </c>
      <c r="R131">
        <f t="shared" si="11"/>
        <v>1.7629236368291248</v>
      </c>
      <c r="S131">
        <f t="shared" si="12"/>
        <v>7.8072515774616436E-2</v>
      </c>
      <c r="T131">
        <f t="shared" si="13"/>
        <v>2.1348767520169443E-3</v>
      </c>
      <c r="U131">
        <f t="shared" si="14"/>
        <v>6.5379228791444949E-2</v>
      </c>
    </row>
    <row r="132" spans="10:21" x14ac:dyDescent="0.35">
      <c r="J132">
        <f t="shared" si="15"/>
        <v>129</v>
      </c>
      <c r="K132">
        <f>demanda!D130</f>
        <v>0</v>
      </c>
      <c r="L132">
        <f>demanda!I130</f>
        <v>21</v>
      </c>
      <c r="M132">
        <v>14.416809279416043</v>
      </c>
      <c r="N132">
        <f t="shared" si="8"/>
        <v>6.583190720583957</v>
      </c>
      <c r="O132">
        <v>7.4087557083441532E-4</v>
      </c>
      <c r="P132">
        <f t="shared" si="9"/>
        <v>0.66330555264314639</v>
      </c>
      <c r="Q132">
        <f t="shared" si="10"/>
        <v>98.530871327612786</v>
      </c>
      <c r="R132">
        <f t="shared" si="11"/>
        <v>0.66345460704039183</v>
      </c>
      <c r="S132">
        <f t="shared" si="12"/>
        <v>0.507119133075143</v>
      </c>
      <c r="T132">
        <f t="shared" si="13"/>
        <v>1.6322485812147056E-4</v>
      </c>
      <c r="U132">
        <f t="shared" si="14"/>
        <v>1.8065283872333419E-2</v>
      </c>
    </row>
    <row r="133" spans="10:21" x14ac:dyDescent="0.35">
      <c r="J133">
        <f t="shared" si="15"/>
        <v>130</v>
      </c>
      <c r="K133">
        <f>demanda!D131</f>
        <v>0</v>
      </c>
      <c r="L133">
        <f>demanda!I131</f>
        <v>21</v>
      </c>
      <c r="M133">
        <v>14.416809279416043</v>
      </c>
      <c r="N133">
        <f t="shared" ref="N133:N196" si="16">L133-M133</f>
        <v>6.583190720583957</v>
      </c>
      <c r="O133">
        <v>7.4087557083441532E-4</v>
      </c>
      <c r="P133">
        <f t="shared" ref="P133:P196" si="17">N133/SQRT($X$6)</f>
        <v>0.66330555264314639</v>
      </c>
      <c r="Q133">
        <f t="shared" ref="Q133:Q196" si="18">($X$6-N133^2/((1-O133)*$X$5))*$X$5/($X$5-1)</f>
        <v>98.530871327612786</v>
      </c>
      <c r="R133">
        <f t="shared" ref="R133:R196" si="19">N133/SQRT(Q133*(1-O133))</f>
        <v>0.66345460704039183</v>
      </c>
      <c r="S133">
        <f t="shared" ref="S133:S196" si="20">_xlfn.T.DIST.2T(ABS(R133),$X$5)</f>
        <v>0.507119133075143</v>
      </c>
      <c r="T133">
        <f t="shared" ref="T133:T196" si="21">(N133^2/$X$6)*(O133/(1-O133)^2)/($X$7+1)</f>
        <v>1.6322485812147056E-4</v>
      </c>
      <c r="U133">
        <f t="shared" ref="U133:U196" si="22">R133*SQRT(O133/(1-O133))</f>
        <v>1.8065283872333419E-2</v>
      </c>
    </row>
    <row r="134" spans="10:21" x14ac:dyDescent="0.35">
      <c r="J134">
        <f t="shared" ref="J134:J197" si="23">J133+1</f>
        <v>131</v>
      </c>
      <c r="K134">
        <f>demanda!D132</f>
        <v>0</v>
      </c>
      <c r="L134">
        <f>demanda!I132</f>
        <v>21</v>
      </c>
      <c r="M134">
        <v>14.416809279416043</v>
      </c>
      <c r="N134">
        <f t="shared" si="16"/>
        <v>6.583190720583957</v>
      </c>
      <c r="O134">
        <v>7.4087557083441532E-4</v>
      </c>
      <c r="P134">
        <f t="shared" si="17"/>
        <v>0.66330555264314639</v>
      </c>
      <c r="Q134">
        <f t="shared" si="18"/>
        <v>98.530871327612786</v>
      </c>
      <c r="R134">
        <f t="shared" si="19"/>
        <v>0.66345460704039183</v>
      </c>
      <c r="S134">
        <f t="shared" si="20"/>
        <v>0.507119133075143</v>
      </c>
      <c r="T134">
        <f t="shared" si="21"/>
        <v>1.6322485812147056E-4</v>
      </c>
      <c r="U134">
        <f t="shared" si="22"/>
        <v>1.8065283872333419E-2</v>
      </c>
    </row>
    <row r="135" spans="10:21" x14ac:dyDescent="0.35">
      <c r="J135">
        <f t="shared" si="23"/>
        <v>132</v>
      </c>
      <c r="K135">
        <f>demanda!D133</f>
        <v>0</v>
      </c>
      <c r="L135">
        <f>demanda!I133</f>
        <v>85</v>
      </c>
      <c r="M135">
        <v>14.416809279416043</v>
      </c>
      <c r="N135">
        <f t="shared" si="16"/>
        <v>70.583190720583957</v>
      </c>
      <c r="O135">
        <v>7.4087557083441532E-4</v>
      </c>
      <c r="P135">
        <f t="shared" si="17"/>
        <v>7.1117827684750061</v>
      </c>
      <c r="Q135">
        <f t="shared" si="18"/>
        <v>95.954067339597387</v>
      </c>
      <c r="R135">
        <f t="shared" si="19"/>
        <v>7.2082614624621941</v>
      </c>
      <c r="S135">
        <f t="shared" si="20"/>
        <v>8.1125121464558978E-13</v>
      </c>
      <c r="T135">
        <f t="shared" si="21"/>
        <v>1.8763592781629961E-2</v>
      </c>
      <c r="U135">
        <f t="shared" si="22"/>
        <v>0.19627460290957463</v>
      </c>
    </row>
    <row r="136" spans="10:21" x14ac:dyDescent="0.35">
      <c r="J136">
        <f t="shared" si="23"/>
        <v>133</v>
      </c>
      <c r="K136">
        <f>demanda!D134</f>
        <v>0</v>
      </c>
      <c r="L136">
        <f>demanda!I134</f>
        <v>19</v>
      </c>
      <c r="M136">
        <v>14.416809279416043</v>
      </c>
      <c r="N136">
        <f t="shared" si="16"/>
        <v>4.583190720583957</v>
      </c>
      <c r="O136">
        <v>7.4087557083441532E-4</v>
      </c>
      <c r="P136">
        <f t="shared" si="17"/>
        <v>0.46179063964840078</v>
      </c>
      <c r="Q136">
        <f t="shared" si="18"/>
        <v>98.542523736866301</v>
      </c>
      <c r="R136">
        <f t="shared" si="19"/>
        <v>0.46186710097403588</v>
      </c>
      <c r="S136">
        <f t="shared" si="20"/>
        <v>0.64422898084639124</v>
      </c>
      <c r="T136">
        <f t="shared" si="21"/>
        <v>7.9113260840960322E-5</v>
      </c>
      <c r="U136">
        <f t="shared" si="22"/>
        <v>1.2576233855106329E-2</v>
      </c>
    </row>
    <row r="137" spans="10:21" x14ac:dyDescent="0.35">
      <c r="J137">
        <f t="shared" si="23"/>
        <v>134</v>
      </c>
      <c r="K137">
        <f>demanda!D135</f>
        <v>0</v>
      </c>
      <c r="L137">
        <f>demanda!I135</f>
        <v>10</v>
      </c>
      <c r="M137">
        <v>14.416809279416043</v>
      </c>
      <c r="N137">
        <f t="shared" si="16"/>
        <v>-4.416809279416043</v>
      </c>
      <c r="O137">
        <v>7.4087557083441532E-4</v>
      </c>
      <c r="P137">
        <f t="shared" si="17"/>
        <v>-0.44502646882795449</v>
      </c>
      <c r="Q137">
        <f t="shared" si="18"/>
        <v>98.543305041978172</v>
      </c>
      <c r="R137">
        <f t="shared" si="19"/>
        <v>-0.44509838991165818</v>
      </c>
      <c r="S137">
        <f t="shared" si="20"/>
        <v>0.65629885256814913</v>
      </c>
      <c r="T137">
        <f t="shared" si="21"/>
        <v>7.3473498325511761E-5</v>
      </c>
      <c r="U137">
        <f t="shared" si="22"/>
        <v>-1.2119636640616644E-2</v>
      </c>
    </row>
    <row r="138" spans="10:21" x14ac:dyDescent="0.35">
      <c r="J138">
        <f t="shared" si="23"/>
        <v>135</v>
      </c>
      <c r="K138">
        <f>demanda!D136</f>
        <v>2</v>
      </c>
      <c r="L138">
        <f>demanda!I136</f>
        <v>3</v>
      </c>
      <c r="M138">
        <v>9.1555418996444509</v>
      </c>
      <c r="N138">
        <f t="shared" si="16"/>
        <v>-6.1555418996444509</v>
      </c>
      <c r="O138">
        <v>7.3144910189317154E-4</v>
      </c>
      <c r="P138">
        <f t="shared" si="17"/>
        <v>-0.62021674517118131</v>
      </c>
      <c r="Q138">
        <f t="shared" si="18"/>
        <v>98.533713924458709</v>
      </c>
      <c r="R138">
        <f t="shared" si="19"/>
        <v>-0.62034424251421916</v>
      </c>
      <c r="S138">
        <f t="shared" si="20"/>
        <v>0.53510483257501296</v>
      </c>
      <c r="T138">
        <f t="shared" si="21"/>
        <v>1.4088885884323287E-4</v>
      </c>
      <c r="U138">
        <f t="shared" si="22"/>
        <v>-1.6783545165498539E-2</v>
      </c>
    </row>
    <row r="139" spans="10:21" x14ac:dyDescent="0.35">
      <c r="J139">
        <f t="shared" si="23"/>
        <v>136</v>
      </c>
      <c r="K139">
        <f>demanda!D137</f>
        <v>1</v>
      </c>
      <c r="L139">
        <f>demanda!I137</f>
        <v>4</v>
      </c>
      <c r="M139">
        <v>11.786175589530247</v>
      </c>
      <c r="N139">
        <f t="shared" si="16"/>
        <v>-7.7861755895302469</v>
      </c>
      <c r="O139">
        <v>5.2058796926701797E-4</v>
      </c>
      <c r="P139">
        <f t="shared" si="17"/>
        <v>-0.7845152482429999</v>
      </c>
      <c r="Q139">
        <f t="shared" si="18"/>
        <v>98.52185903620547</v>
      </c>
      <c r="R139">
        <f t="shared" si="19"/>
        <v>-0.784640946599786</v>
      </c>
      <c r="S139">
        <f t="shared" si="20"/>
        <v>0.43276096337473069</v>
      </c>
      <c r="T139">
        <f t="shared" si="21"/>
        <v>1.6036855085321727E-4</v>
      </c>
      <c r="U139">
        <f t="shared" si="22"/>
        <v>-1.7907341071981879E-2</v>
      </c>
    </row>
    <row r="140" spans="10:21" x14ac:dyDescent="0.35">
      <c r="J140">
        <f t="shared" si="23"/>
        <v>137</v>
      </c>
      <c r="K140">
        <f>demanda!D138</f>
        <v>0</v>
      </c>
      <c r="L140">
        <f>demanda!I138</f>
        <v>26</v>
      </c>
      <c r="M140">
        <v>14.416809279416043</v>
      </c>
      <c r="N140">
        <f t="shared" si="16"/>
        <v>11.583190720583957</v>
      </c>
      <c r="O140">
        <v>7.4087557083441532E-4</v>
      </c>
      <c r="P140">
        <f t="shared" si="17"/>
        <v>1.1670928351300105</v>
      </c>
      <c r="Q140">
        <f t="shared" si="18"/>
        <v>98.483478599645508</v>
      </c>
      <c r="R140">
        <f t="shared" si="19"/>
        <v>1.1676359443906161</v>
      </c>
      <c r="S140">
        <f t="shared" si="20"/>
        <v>0.24309869943124471</v>
      </c>
      <c r="T140">
        <f t="shared" si="21"/>
        <v>5.0532390065243979E-4</v>
      </c>
      <c r="U140">
        <f t="shared" si="22"/>
        <v>3.1793697068520609E-2</v>
      </c>
    </row>
    <row r="141" spans="10:21" x14ac:dyDescent="0.35">
      <c r="J141">
        <f t="shared" si="23"/>
        <v>138</v>
      </c>
      <c r="K141">
        <f>demanda!D139</f>
        <v>0</v>
      </c>
      <c r="L141">
        <f>demanda!I139</f>
        <v>4</v>
      </c>
      <c r="M141">
        <v>14.416809279416043</v>
      </c>
      <c r="N141">
        <f t="shared" si="16"/>
        <v>-10.416809279416043</v>
      </c>
      <c r="O141">
        <v>7.4087557083441532E-4</v>
      </c>
      <c r="P141">
        <f t="shared" si="17"/>
        <v>-1.0495712078121913</v>
      </c>
      <c r="Q141">
        <f t="shared" si="18"/>
        <v>98.49686724248096</v>
      </c>
      <c r="R141">
        <f t="shared" si="19"/>
        <v>-1.049988258586362</v>
      </c>
      <c r="S141">
        <f t="shared" si="20"/>
        <v>0.29385572056513598</v>
      </c>
      <c r="T141">
        <f t="shared" si="21"/>
        <v>4.0867949778204384E-4</v>
      </c>
      <c r="U141">
        <f t="shared" si="22"/>
        <v>-2.8590254333443563E-2</v>
      </c>
    </row>
    <row r="142" spans="10:21" x14ac:dyDescent="0.35">
      <c r="J142">
        <f t="shared" si="23"/>
        <v>139</v>
      </c>
      <c r="K142">
        <f>demanda!D140</f>
        <v>1</v>
      </c>
      <c r="L142">
        <f>demanda!I140</f>
        <v>3</v>
      </c>
      <c r="M142">
        <v>11.786175589530247</v>
      </c>
      <c r="N142">
        <f t="shared" si="16"/>
        <v>-8.7861755895302469</v>
      </c>
      <c r="O142">
        <v>5.2058796926701797E-4</v>
      </c>
      <c r="P142">
        <f t="shared" si="17"/>
        <v>-0.88527270474037267</v>
      </c>
      <c r="Q142">
        <f t="shared" si="18"/>
        <v>98.513214102399758</v>
      </c>
      <c r="R142">
        <f t="shared" si="19"/>
        <v>-0.88545339538896362</v>
      </c>
      <c r="S142">
        <f t="shared" si="20"/>
        <v>0.37602308055069167</v>
      </c>
      <c r="T142">
        <f t="shared" si="21"/>
        <v>2.0420697614382047E-4</v>
      </c>
      <c r="U142">
        <f t="shared" si="22"/>
        <v>-2.0208116875988336E-2</v>
      </c>
    </row>
    <row r="143" spans="10:21" x14ac:dyDescent="0.35">
      <c r="J143">
        <f t="shared" si="23"/>
        <v>140</v>
      </c>
      <c r="K143">
        <f>demanda!D141</f>
        <v>0</v>
      </c>
      <c r="L143">
        <f>demanda!I141</f>
        <v>4</v>
      </c>
      <c r="M143">
        <v>14.416809279416043</v>
      </c>
      <c r="N143">
        <f t="shared" si="16"/>
        <v>-10.416809279416043</v>
      </c>
      <c r="O143">
        <v>7.4087557083441532E-4</v>
      </c>
      <c r="P143">
        <f t="shared" si="17"/>
        <v>-1.0495712078121913</v>
      </c>
      <c r="Q143">
        <f t="shared" si="18"/>
        <v>98.49686724248096</v>
      </c>
      <c r="R143">
        <f t="shared" si="19"/>
        <v>-1.049988258586362</v>
      </c>
      <c r="S143">
        <f t="shared" si="20"/>
        <v>0.29385572056513598</v>
      </c>
      <c r="T143">
        <f t="shared" si="21"/>
        <v>4.0867949778204384E-4</v>
      </c>
      <c r="U143">
        <f t="shared" si="22"/>
        <v>-2.8590254333443563E-2</v>
      </c>
    </row>
    <row r="144" spans="10:21" x14ac:dyDescent="0.35">
      <c r="J144">
        <f t="shared" si="23"/>
        <v>141</v>
      </c>
      <c r="K144">
        <f>demanda!D142</f>
        <v>0</v>
      </c>
      <c r="L144">
        <f>demanda!I142</f>
        <v>11</v>
      </c>
      <c r="M144">
        <v>14.416809279416043</v>
      </c>
      <c r="N144">
        <f t="shared" si="16"/>
        <v>-3.416809279416043</v>
      </c>
      <c r="O144">
        <v>7.4087557083441532E-4</v>
      </c>
      <c r="P144">
        <f t="shared" si="17"/>
        <v>-0.34426901233058166</v>
      </c>
      <c r="Q144">
        <f t="shared" si="18"/>
        <v>98.547392334261005</v>
      </c>
      <c r="R144">
        <f t="shared" si="19"/>
        <v>-0.34431750934619676</v>
      </c>
      <c r="S144">
        <f t="shared" si="20"/>
        <v>0.73064524437297085</v>
      </c>
      <c r="T144">
        <f t="shared" si="21"/>
        <v>4.3969841615361785E-5</v>
      </c>
      <c r="U144">
        <f t="shared" si="22"/>
        <v>-9.3754621379472432E-3</v>
      </c>
    </row>
    <row r="145" spans="10:21" x14ac:dyDescent="0.35">
      <c r="J145">
        <f t="shared" si="23"/>
        <v>142</v>
      </c>
      <c r="K145">
        <f>demanda!D143</f>
        <v>3</v>
      </c>
      <c r="L145">
        <f>demanda!I143</f>
        <v>6</v>
      </c>
      <c r="M145">
        <v>6.5249082097586548</v>
      </c>
      <c r="N145">
        <f t="shared" si="16"/>
        <v>-0.52490820975865482</v>
      </c>
      <c r="O145">
        <v>1.3734589687128761E-3</v>
      </c>
      <c r="P145">
        <f t="shared" si="17"/>
        <v>-5.2888416109871501E-2</v>
      </c>
      <c r="Q145">
        <f t="shared" si="18"/>
        <v>98.553339849330712</v>
      </c>
      <c r="R145">
        <f t="shared" si="19"/>
        <v>-5.2911020743637571E-2</v>
      </c>
      <c r="S145">
        <f t="shared" si="20"/>
        <v>0.95780831059206073</v>
      </c>
      <c r="T145">
        <f t="shared" si="21"/>
        <v>1.9261965799640987E-6</v>
      </c>
      <c r="U145">
        <f t="shared" si="22"/>
        <v>-1.9622413918104777E-3</v>
      </c>
    </row>
    <row r="146" spans="10:21" x14ac:dyDescent="0.35">
      <c r="J146">
        <f t="shared" si="23"/>
        <v>143</v>
      </c>
      <c r="K146">
        <f>demanda!D144</f>
        <v>1</v>
      </c>
      <c r="L146">
        <f>demanda!I144</f>
        <v>17</v>
      </c>
      <c r="M146">
        <v>11.786175589530247</v>
      </c>
      <c r="N146">
        <f t="shared" si="16"/>
        <v>5.2138244104697531</v>
      </c>
      <c r="O146">
        <v>5.2058796926701797E-4</v>
      </c>
      <c r="P146">
        <f t="shared" si="17"/>
        <v>0.52533168622284654</v>
      </c>
      <c r="Q146">
        <f t="shared" si="18"/>
        <v>98.53930324014253</v>
      </c>
      <c r="R146">
        <f t="shared" si="19"/>
        <v>0.52536934840521532</v>
      </c>
      <c r="S146">
        <f t="shared" si="20"/>
        <v>0.59938715228216755</v>
      </c>
      <c r="T146">
        <f t="shared" si="21"/>
        <v>7.1909061372328232E-5</v>
      </c>
      <c r="U146">
        <f t="shared" si="22"/>
        <v>1.1990156964693431E-2</v>
      </c>
    </row>
    <row r="147" spans="10:21" x14ac:dyDescent="0.35">
      <c r="J147">
        <f t="shared" si="23"/>
        <v>144</v>
      </c>
      <c r="K147">
        <f>demanda!D145</f>
        <v>1</v>
      </c>
      <c r="L147">
        <f>demanda!I145</f>
        <v>9</v>
      </c>
      <c r="M147">
        <v>11.786175589530247</v>
      </c>
      <c r="N147">
        <f t="shared" si="16"/>
        <v>-2.7861755895302469</v>
      </c>
      <c r="O147">
        <v>5.2058796926701797E-4</v>
      </c>
      <c r="P147">
        <f t="shared" si="17"/>
        <v>-0.2807279657561359</v>
      </c>
      <c r="Q147">
        <f t="shared" si="18"/>
        <v>98.549434265310296</v>
      </c>
      <c r="R147">
        <f t="shared" si="19"/>
        <v>-0.2807336607336009</v>
      </c>
      <c r="S147">
        <f t="shared" si="20"/>
        <v>0.77894495126310248</v>
      </c>
      <c r="T147">
        <f t="shared" si="21"/>
        <v>2.0534672635962656E-5</v>
      </c>
      <c r="U147">
        <f t="shared" si="22"/>
        <v>-6.4069985576559628E-3</v>
      </c>
    </row>
    <row r="148" spans="10:21" x14ac:dyDescent="0.35">
      <c r="J148">
        <f t="shared" si="23"/>
        <v>145</v>
      </c>
      <c r="K148">
        <f>demanda!D146</f>
        <v>1</v>
      </c>
      <c r="L148">
        <f>demanda!I146</f>
        <v>33</v>
      </c>
      <c r="M148">
        <v>11.786175589530247</v>
      </c>
      <c r="N148">
        <f t="shared" si="16"/>
        <v>21.213824410469755</v>
      </c>
      <c r="O148">
        <v>5.2058796926701797E-4</v>
      </c>
      <c r="P148">
        <f t="shared" si="17"/>
        <v>2.1374509901808114</v>
      </c>
      <c r="Q148">
        <f t="shared" si="18"/>
        <v>98.318728358783545</v>
      </c>
      <c r="R148">
        <f t="shared" si="19"/>
        <v>2.1400007082960935</v>
      </c>
      <c r="S148">
        <f t="shared" si="20"/>
        <v>3.2480477136979533E-2</v>
      </c>
      <c r="T148">
        <f t="shared" si="21"/>
        <v>1.1904434162628057E-3</v>
      </c>
      <c r="U148">
        <f t="shared" si="22"/>
        <v>4.8839819976011688E-2</v>
      </c>
    </row>
    <row r="149" spans="10:21" x14ac:dyDescent="0.35">
      <c r="J149">
        <f t="shared" si="23"/>
        <v>146</v>
      </c>
      <c r="K149">
        <f>demanda!D147</f>
        <v>2</v>
      </c>
      <c r="L149">
        <f>demanda!I147</f>
        <v>6</v>
      </c>
      <c r="M149">
        <v>9.1555418996444509</v>
      </c>
      <c r="N149">
        <f t="shared" si="16"/>
        <v>-3.1555418996444509</v>
      </c>
      <c r="O149">
        <v>7.3144910189317154E-4</v>
      </c>
      <c r="P149">
        <f t="shared" si="17"/>
        <v>-0.31794437567906292</v>
      </c>
      <c r="Q149">
        <f t="shared" si="18"/>
        <v>98.548288323887917</v>
      </c>
      <c r="R149">
        <f t="shared" si="19"/>
        <v>-0.31798621894046453</v>
      </c>
      <c r="S149">
        <f t="shared" si="20"/>
        <v>0.7505299890935464</v>
      </c>
      <c r="T149">
        <f t="shared" si="21"/>
        <v>3.702473597000139E-5</v>
      </c>
      <c r="U149">
        <f t="shared" si="22"/>
        <v>-8.6031846543188698E-3</v>
      </c>
    </row>
    <row r="150" spans="10:21" x14ac:dyDescent="0.35">
      <c r="J150">
        <f t="shared" si="23"/>
        <v>147</v>
      </c>
      <c r="K150">
        <f>demanda!D148</f>
        <v>5</v>
      </c>
      <c r="L150">
        <f>demanda!I148</f>
        <v>3</v>
      </c>
      <c r="M150">
        <v>1.2636408299870627</v>
      </c>
      <c r="N150">
        <f t="shared" si="16"/>
        <v>1.7363591700129373</v>
      </c>
      <c r="O150">
        <v>3.9509249049329382E-3</v>
      </c>
      <c r="P150">
        <f t="shared" si="17"/>
        <v>0.17495113353639288</v>
      </c>
      <c r="Q150">
        <f t="shared" si="18"/>
        <v>98.551905545548507</v>
      </c>
      <c r="R150">
        <f t="shared" si="19"/>
        <v>0.17525349341046803</v>
      </c>
      <c r="S150">
        <f t="shared" si="20"/>
        <v>0.86089894193681449</v>
      </c>
      <c r="T150">
        <f t="shared" si="21"/>
        <v>6.0945385407997739E-5</v>
      </c>
      <c r="U150">
        <f t="shared" si="22"/>
        <v>1.1037626730021724E-2</v>
      </c>
    </row>
    <row r="151" spans="10:21" x14ac:dyDescent="0.35">
      <c r="J151">
        <f t="shared" si="23"/>
        <v>148</v>
      </c>
      <c r="K151">
        <f>demanda!D149</f>
        <v>0</v>
      </c>
      <c r="L151">
        <f>demanda!I149</f>
        <v>11</v>
      </c>
      <c r="M151">
        <v>14.416809279416043</v>
      </c>
      <c r="N151">
        <f t="shared" si="16"/>
        <v>-3.416809279416043</v>
      </c>
      <c r="O151">
        <v>7.4087557083441532E-4</v>
      </c>
      <c r="P151">
        <f t="shared" si="17"/>
        <v>-0.34426901233058166</v>
      </c>
      <c r="Q151">
        <f t="shared" si="18"/>
        <v>98.547392334261005</v>
      </c>
      <c r="R151">
        <f t="shared" si="19"/>
        <v>-0.34431750934619676</v>
      </c>
      <c r="S151">
        <f t="shared" si="20"/>
        <v>0.73064524437297085</v>
      </c>
      <c r="T151">
        <f t="shared" si="21"/>
        <v>4.3969841615361785E-5</v>
      </c>
      <c r="U151">
        <f t="shared" si="22"/>
        <v>-9.3754621379472432E-3</v>
      </c>
    </row>
    <row r="152" spans="10:21" x14ac:dyDescent="0.35">
      <c r="J152">
        <f t="shared" si="23"/>
        <v>149</v>
      </c>
      <c r="K152">
        <f>demanda!D150</f>
        <v>2</v>
      </c>
      <c r="L152">
        <f>demanda!I150</f>
        <v>3</v>
      </c>
      <c r="M152">
        <v>9.1555418996444509</v>
      </c>
      <c r="N152">
        <f t="shared" si="16"/>
        <v>-6.1555418996444509</v>
      </c>
      <c r="O152">
        <v>7.3144910189317154E-4</v>
      </c>
      <c r="P152">
        <f t="shared" si="17"/>
        <v>-0.62021674517118131</v>
      </c>
      <c r="Q152">
        <f t="shared" si="18"/>
        <v>98.533713924458709</v>
      </c>
      <c r="R152">
        <f t="shared" si="19"/>
        <v>-0.62034424251421916</v>
      </c>
      <c r="S152">
        <f t="shared" si="20"/>
        <v>0.53510483257501296</v>
      </c>
      <c r="T152">
        <f t="shared" si="21"/>
        <v>1.4088885884323287E-4</v>
      </c>
      <c r="U152">
        <f t="shared" si="22"/>
        <v>-1.6783545165498539E-2</v>
      </c>
    </row>
    <row r="153" spans="10:21" x14ac:dyDescent="0.35">
      <c r="J153">
        <f t="shared" si="23"/>
        <v>150</v>
      </c>
      <c r="K153">
        <f>demanda!D151</f>
        <v>3</v>
      </c>
      <c r="L153">
        <f>demanda!I151</f>
        <v>3</v>
      </c>
      <c r="M153">
        <v>6.5249082097586548</v>
      </c>
      <c r="N153">
        <f t="shared" si="16"/>
        <v>-3.5249082097586548</v>
      </c>
      <c r="O153">
        <v>1.3734589687128761E-3</v>
      </c>
      <c r="P153">
        <f t="shared" si="17"/>
        <v>-0.35516078560198994</v>
      </c>
      <c r="Q153">
        <f t="shared" si="18"/>
        <v>98.546996700749531</v>
      </c>
      <c r="R153">
        <f t="shared" si="19"/>
        <v>-0.35532401713098288</v>
      </c>
      <c r="S153">
        <f t="shared" si="20"/>
        <v>0.72238591463660118</v>
      </c>
      <c r="T153">
        <f t="shared" si="21"/>
        <v>8.6861935283639592E-5</v>
      </c>
      <c r="U153">
        <f t="shared" si="22"/>
        <v>-1.3177434192717408E-2</v>
      </c>
    </row>
    <row r="154" spans="10:21" x14ac:dyDescent="0.35">
      <c r="J154">
        <f t="shared" si="23"/>
        <v>151</v>
      </c>
      <c r="K154">
        <f>demanda!D152</f>
        <v>1</v>
      </c>
      <c r="L154">
        <f>demanda!I152</f>
        <v>4</v>
      </c>
      <c r="M154">
        <v>11.786175589530247</v>
      </c>
      <c r="N154">
        <f t="shared" si="16"/>
        <v>-7.7861755895302469</v>
      </c>
      <c r="O154">
        <v>5.2058796926701797E-4</v>
      </c>
      <c r="P154">
        <f t="shared" si="17"/>
        <v>-0.7845152482429999</v>
      </c>
      <c r="Q154">
        <f t="shared" si="18"/>
        <v>98.52185903620547</v>
      </c>
      <c r="R154">
        <f t="shared" si="19"/>
        <v>-0.784640946599786</v>
      </c>
      <c r="S154">
        <f t="shared" si="20"/>
        <v>0.43276096337473069</v>
      </c>
      <c r="T154">
        <f t="shared" si="21"/>
        <v>1.6036855085321727E-4</v>
      </c>
      <c r="U154">
        <f t="shared" si="22"/>
        <v>-1.7907341071981879E-2</v>
      </c>
    </row>
    <row r="155" spans="10:21" x14ac:dyDescent="0.35">
      <c r="J155">
        <f t="shared" si="23"/>
        <v>152</v>
      </c>
      <c r="K155">
        <f>demanda!D153</f>
        <v>3</v>
      </c>
      <c r="L155">
        <f>demanda!I153</f>
        <v>3</v>
      </c>
      <c r="M155">
        <v>6.5249082097586548</v>
      </c>
      <c r="N155">
        <f t="shared" si="16"/>
        <v>-3.5249082097586548</v>
      </c>
      <c r="O155">
        <v>1.3734589687128761E-3</v>
      </c>
      <c r="P155">
        <f t="shared" si="17"/>
        <v>-0.35516078560198994</v>
      </c>
      <c r="Q155">
        <f t="shared" si="18"/>
        <v>98.546996700749531</v>
      </c>
      <c r="R155">
        <f t="shared" si="19"/>
        <v>-0.35532401713098288</v>
      </c>
      <c r="S155">
        <f t="shared" si="20"/>
        <v>0.72238591463660118</v>
      </c>
      <c r="T155">
        <f t="shared" si="21"/>
        <v>8.6861935283639592E-5</v>
      </c>
      <c r="U155">
        <f t="shared" si="22"/>
        <v>-1.3177434192717408E-2</v>
      </c>
    </row>
    <row r="156" spans="10:21" x14ac:dyDescent="0.35">
      <c r="J156">
        <f t="shared" si="23"/>
        <v>153</v>
      </c>
      <c r="K156">
        <f>demanda!D154</f>
        <v>1</v>
      </c>
      <c r="L156">
        <f>demanda!I154</f>
        <v>15</v>
      </c>
      <c r="M156">
        <v>11.786175589530247</v>
      </c>
      <c r="N156">
        <f t="shared" si="16"/>
        <v>3.2138244104697531</v>
      </c>
      <c r="O156">
        <v>5.2058796926701797E-4</v>
      </c>
      <c r="P156">
        <f t="shared" si="17"/>
        <v>0.32381677322810093</v>
      </c>
      <c r="Q156">
        <f t="shared" si="18"/>
        <v>98.548095772403954</v>
      </c>
      <c r="R156">
        <f t="shared" si="19"/>
        <v>0.3238255414227269</v>
      </c>
      <c r="S156">
        <f t="shared" si="20"/>
        <v>0.74610540567370975</v>
      </c>
      <c r="T156">
        <f t="shared" si="21"/>
        <v>2.7322164893932259E-5</v>
      </c>
      <c r="U156">
        <f t="shared" si="22"/>
        <v>7.390456033686617E-3</v>
      </c>
    </row>
    <row r="157" spans="10:21" x14ac:dyDescent="0.35">
      <c r="J157">
        <f t="shared" si="23"/>
        <v>154</v>
      </c>
      <c r="K157">
        <f>demanda!D155</f>
        <v>4</v>
      </c>
      <c r="L157">
        <f>demanda!I155</f>
        <v>7</v>
      </c>
      <c r="M157">
        <v>3.8942745198728588</v>
      </c>
      <c r="N157">
        <f t="shared" si="16"/>
        <v>3.1057254801271412</v>
      </c>
      <c r="O157">
        <v>2.4466175697261316E-3</v>
      </c>
      <c r="P157">
        <f t="shared" si="17"/>
        <v>0.31292499995669271</v>
      </c>
      <c r="Q157">
        <f t="shared" si="18"/>
        <v>98.548442414510234</v>
      </c>
      <c r="R157">
        <f t="shared" si="19"/>
        <v>0.31323487533497651</v>
      </c>
      <c r="S157">
        <f t="shared" si="20"/>
        <v>0.75413626378186993</v>
      </c>
      <c r="T157">
        <f t="shared" si="21"/>
        <v>1.203772243383327E-4</v>
      </c>
      <c r="U157">
        <f t="shared" si="22"/>
        <v>1.5512617440902718E-2</v>
      </c>
    </row>
    <row r="158" spans="10:21" x14ac:dyDescent="0.35">
      <c r="J158">
        <f t="shared" si="23"/>
        <v>155</v>
      </c>
      <c r="K158">
        <f>demanda!D156</f>
        <v>0</v>
      </c>
      <c r="L158">
        <f>demanda!I156</f>
        <v>6</v>
      </c>
      <c r="M158">
        <v>14.416809279416043</v>
      </c>
      <c r="N158">
        <f t="shared" si="16"/>
        <v>-8.416809279416043</v>
      </c>
      <c r="O158">
        <v>7.4087557083441532E-4</v>
      </c>
      <c r="P158">
        <f t="shared" si="17"/>
        <v>-0.84805629481744571</v>
      </c>
      <c r="Q158">
        <f t="shared" si="18"/>
        <v>98.51652061294196</v>
      </c>
      <c r="R158">
        <f t="shared" si="19"/>
        <v>-0.8483086443975183</v>
      </c>
      <c r="S158">
        <f t="shared" si="20"/>
        <v>0.39637190285902191</v>
      </c>
      <c r="T158">
        <f t="shared" si="21"/>
        <v>2.6681386764022222E-4</v>
      </c>
      <c r="U158">
        <f t="shared" si="22"/>
        <v>-2.3098696293268058E-2</v>
      </c>
    </row>
    <row r="159" spans="10:21" x14ac:dyDescent="0.35">
      <c r="J159">
        <f t="shared" si="23"/>
        <v>156</v>
      </c>
      <c r="K159">
        <f>demanda!D157</f>
        <v>0</v>
      </c>
      <c r="L159">
        <f>demanda!I157</f>
        <v>15</v>
      </c>
      <c r="M159">
        <v>14.416809279416043</v>
      </c>
      <c r="N159">
        <f t="shared" si="16"/>
        <v>0.58319072058395705</v>
      </c>
      <c r="O159">
        <v>7.4087557083441532E-4</v>
      </c>
      <c r="P159">
        <f t="shared" si="17"/>
        <v>5.8760813658909554E-2</v>
      </c>
      <c r="Q159">
        <f t="shared" si="18"/>
        <v>98.553306243487526</v>
      </c>
      <c r="R159">
        <f t="shared" si="19"/>
        <v>5.8767327956256402E-2</v>
      </c>
      <c r="S159">
        <f t="shared" si="20"/>
        <v>0.95314355069247325</v>
      </c>
      <c r="T159">
        <f t="shared" si="21"/>
        <v>1.2809572488725558E-6</v>
      </c>
      <c r="U159">
        <f t="shared" si="22"/>
        <v>1.6001825154010173E-3</v>
      </c>
    </row>
    <row r="160" spans="10:21" x14ac:dyDescent="0.35">
      <c r="J160">
        <f t="shared" si="23"/>
        <v>157</v>
      </c>
      <c r="K160">
        <f>demanda!D158</f>
        <v>1</v>
      </c>
      <c r="L160">
        <f>demanda!I158</f>
        <v>8</v>
      </c>
      <c r="M160">
        <v>11.786175589530247</v>
      </c>
      <c r="N160">
        <f t="shared" si="16"/>
        <v>-3.7861755895302469</v>
      </c>
      <c r="O160">
        <v>5.2058796926701797E-4</v>
      </c>
      <c r="P160">
        <f t="shared" si="17"/>
        <v>-0.38148542225350868</v>
      </c>
      <c r="Q160">
        <f t="shared" si="18"/>
        <v>98.546005811479162</v>
      </c>
      <c r="R160">
        <f t="shared" si="19"/>
        <v>-0.38149979733331263</v>
      </c>
      <c r="S160">
        <f t="shared" si="20"/>
        <v>0.70287465676174632</v>
      </c>
      <c r="T160">
        <f t="shared" si="21"/>
        <v>3.7920348514645389E-5</v>
      </c>
      <c r="U160">
        <f t="shared" si="22"/>
        <v>-8.7067174092102829E-3</v>
      </c>
    </row>
    <row r="161" spans="10:21" x14ac:dyDescent="0.35">
      <c r="J161">
        <f t="shared" si="23"/>
        <v>158</v>
      </c>
      <c r="K161">
        <f>demanda!D159</f>
        <v>0</v>
      </c>
      <c r="L161">
        <f>demanda!I159</f>
        <v>15</v>
      </c>
      <c r="M161">
        <v>14.416809279416043</v>
      </c>
      <c r="N161">
        <f t="shared" si="16"/>
        <v>0.58319072058395705</v>
      </c>
      <c r="O161">
        <v>7.4087557083441532E-4</v>
      </c>
      <c r="P161">
        <f t="shared" si="17"/>
        <v>5.8760813658909554E-2</v>
      </c>
      <c r="Q161">
        <f t="shared" si="18"/>
        <v>98.553306243487526</v>
      </c>
      <c r="R161">
        <f t="shared" si="19"/>
        <v>5.8767327956256402E-2</v>
      </c>
      <c r="S161">
        <f t="shared" si="20"/>
        <v>0.95314355069247325</v>
      </c>
      <c r="T161">
        <f t="shared" si="21"/>
        <v>1.2809572488725558E-6</v>
      </c>
      <c r="U161">
        <f t="shared" si="22"/>
        <v>1.6001825154010173E-3</v>
      </c>
    </row>
    <row r="162" spans="10:21" x14ac:dyDescent="0.35">
      <c r="J162">
        <f t="shared" si="23"/>
        <v>159</v>
      </c>
      <c r="K162">
        <f>demanda!D160</f>
        <v>0</v>
      </c>
      <c r="L162">
        <f>demanda!I160</f>
        <v>13</v>
      </c>
      <c r="M162">
        <v>14.416809279416043</v>
      </c>
      <c r="N162">
        <f t="shared" si="16"/>
        <v>-1.416809279416043</v>
      </c>
      <c r="O162">
        <v>7.4087557083441532E-4</v>
      </c>
      <c r="P162">
        <f t="shared" si="17"/>
        <v>-0.14275409933583605</v>
      </c>
      <c r="Q162">
        <f t="shared" si="18"/>
        <v>98.552436340855238</v>
      </c>
      <c r="R162">
        <f t="shared" si="19"/>
        <v>-0.14277055533334676</v>
      </c>
      <c r="S162">
        <f t="shared" si="20"/>
        <v>0.88648638054980111</v>
      </c>
      <c r="T162">
        <f t="shared" si="21"/>
        <v>7.5602509372950483E-6</v>
      </c>
      <c r="U162">
        <f t="shared" si="22"/>
        <v>-3.8875163173756836E-3</v>
      </c>
    </row>
    <row r="163" spans="10:21" x14ac:dyDescent="0.35">
      <c r="J163">
        <f t="shared" si="23"/>
        <v>160</v>
      </c>
      <c r="K163">
        <f>demanda!D161</f>
        <v>0</v>
      </c>
      <c r="L163">
        <f>demanda!I161</f>
        <v>15</v>
      </c>
      <c r="M163">
        <v>14.416809279416043</v>
      </c>
      <c r="N163">
        <f t="shared" si="16"/>
        <v>0.58319072058395705</v>
      </c>
      <c r="O163">
        <v>7.4087557083441532E-4</v>
      </c>
      <c r="P163">
        <f t="shared" si="17"/>
        <v>5.8760813658909554E-2</v>
      </c>
      <c r="Q163">
        <f t="shared" si="18"/>
        <v>98.553306243487526</v>
      </c>
      <c r="R163">
        <f t="shared" si="19"/>
        <v>5.8767327956256402E-2</v>
      </c>
      <c r="S163">
        <f t="shared" si="20"/>
        <v>0.95314355069247325</v>
      </c>
      <c r="T163">
        <f t="shared" si="21"/>
        <v>1.2809572488725558E-6</v>
      </c>
      <c r="U163">
        <f t="shared" si="22"/>
        <v>1.6001825154010173E-3</v>
      </c>
    </row>
    <row r="164" spans="10:21" x14ac:dyDescent="0.35">
      <c r="J164">
        <f t="shared" si="23"/>
        <v>161</v>
      </c>
      <c r="K164">
        <f>demanda!D162</f>
        <v>0</v>
      </c>
      <c r="L164">
        <f>demanda!I162</f>
        <v>15</v>
      </c>
      <c r="M164">
        <v>14.416809279416043</v>
      </c>
      <c r="N164">
        <f t="shared" si="16"/>
        <v>0.58319072058395705</v>
      </c>
      <c r="O164">
        <v>7.4087557083441532E-4</v>
      </c>
      <c r="P164">
        <f t="shared" si="17"/>
        <v>5.8760813658909554E-2</v>
      </c>
      <c r="Q164">
        <f t="shared" si="18"/>
        <v>98.553306243487526</v>
      </c>
      <c r="R164">
        <f t="shared" si="19"/>
        <v>5.8767327956256402E-2</v>
      </c>
      <c r="S164">
        <f t="shared" si="20"/>
        <v>0.95314355069247325</v>
      </c>
      <c r="T164">
        <f t="shared" si="21"/>
        <v>1.2809572488725558E-6</v>
      </c>
      <c r="U164">
        <f t="shared" si="22"/>
        <v>1.6001825154010173E-3</v>
      </c>
    </row>
    <row r="165" spans="10:21" x14ac:dyDescent="0.35">
      <c r="J165">
        <f t="shared" si="23"/>
        <v>162</v>
      </c>
      <c r="K165">
        <f>demanda!D163</f>
        <v>0</v>
      </c>
      <c r="L165">
        <f>demanda!I163</f>
        <v>15</v>
      </c>
      <c r="M165">
        <v>14.416809279416043</v>
      </c>
      <c r="N165">
        <f t="shared" si="16"/>
        <v>0.58319072058395705</v>
      </c>
      <c r="O165">
        <v>7.4087557083441532E-4</v>
      </c>
      <c r="P165">
        <f t="shared" si="17"/>
        <v>5.8760813658909554E-2</v>
      </c>
      <c r="Q165">
        <f t="shared" si="18"/>
        <v>98.553306243487526</v>
      </c>
      <c r="R165">
        <f t="shared" si="19"/>
        <v>5.8767327956256402E-2</v>
      </c>
      <c r="S165">
        <f t="shared" si="20"/>
        <v>0.95314355069247325</v>
      </c>
      <c r="T165">
        <f t="shared" si="21"/>
        <v>1.2809572488725558E-6</v>
      </c>
      <c r="U165">
        <f t="shared" si="22"/>
        <v>1.6001825154010173E-3</v>
      </c>
    </row>
    <row r="166" spans="10:21" x14ac:dyDescent="0.35">
      <c r="J166">
        <f t="shared" si="23"/>
        <v>163</v>
      </c>
      <c r="K166">
        <f>demanda!D164</f>
        <v>0</v>
      </c>
      <c r="L166">
        <f>demanda!I164</f>
        <v>15</v>
      </c>
      <c r="M166">
        <v>14.416809279416043</v>
      </c>
      <c r="N166">
        <f t="shared" si="16"/>
        <v>0.58319072058395705</v>
      </c>
      <c r="O166">
        <v>7.4087557083441532E-4</v>
      </c>
      <c r="P166">
        <f t="shared" si="17"/>
        <v>5.8760813658909554E-2</v>
      </c>
      <c r="Q166">
        <f t="shared" si="18"/>
        <v>98.553306243487526</v>
      </c>
      <c r="R166">
        <f t="shared" si="19"/>
        <v>5.8767327956256402E-2</v>
      </c>
      <c r="S166">
        <f t="shared" si="20"/>
        <v>0.95314355069247325</v>
      </c>
      <c r="T166">
        <f t="shared" si="21"/>
        <v>1.2809572488725558E-6</v>
      </c>
      <c r="U166">
        <f t="shared" si="22"/>
        <v>1.6001825154010173E-3</v>
      </c>
    </row>
    <row r="167" spans="10:21" x14ac:dyDescent="0.35">
      <c r="J167">
        <f t="shared" si="23"/>
        <v>164</v>
      </c>
      <c r="K167">
        <f>demanda!D165</f>
        <v>0</v>
      </c>
      <c r="L167">
        <f>demanda!I165</f>
        <v>15</v>
      </c>
      <c r="M167">
        <v>14.416809279416043</v>
      </c>
      <c r="N167">
        <f t="shared" si="16"/>
        <v>0.58319072058395705</v>
      </c>
      <c r="O167">
        <v>7.4087557083441532E-4</v>
      </c>
      <c r="P167">
        <f t="shared" si="17"/>
        <v>5.8760813658909554E-2</v>
      </c>
      <c r="Q167">
        <f t="shared" si="18"/>
        <v>98.553306243487526</v>
      </c>
      <c r="R167">
        <f t="shared" si="19"/>
        <v>5.8767327956256402E-2</v>
      </c>
      <c r="S167">
        <f t="shared" si="20"/>
        <v>0.95314355069247325</v>
      </c>
      <c r="T167">
        <f t="shared" si="21"/>
        <v>1.2809572488725558E-6</v>
      </c>
      <c r="U167">
        <f t="shared" si="22"/>
        <v>1.6001825154010173E-3</v>
      </c>
    </row>
    <row r="168" spans="10:21" x14ac:dyDescent="0.35">
      <c r="J168">
        <f t="shared" si="23"/>
        <v>165</v>
      </c>
      <c r="K168">
        <f>demanda!D166</f>
        <v>0</v>
      </c>
      <c r="L168">
        <f>demanda!I166</f>
        <v>15</v>
      </c>
      <c r="M168">
        <v>14.416809279416043</v>
      </c>
      <c r="N168">
        <f t="shared" si="16"/>
        <v>0.58319072058395705</v>
      </c>
      <c r="O168">
        <v>7.4087557083441532E-4</v>
      </c>
      <c r="P168">
        <f t="shared" si="17"/>
        <v>5.8760813658909554E-2</v>
      </c>
      <c r="Q168">
        <f t="shared" si="18"/>
        <v>98.553306243487526</v>
      </c>
      <c r="R168">
        <f t="shared" si="19"/>
        <v>5.8767327956256402E-2</v>
      </c>
      <c r="S168">
        <f t="shared" si="20"/>
        <v>0.95314355069247325</v>
      </c>
      <c r="T168">
        <f t="shared" si="21"/>
        <v>1.2809572488725558E-6</v>
      </c>
      <c r="U168">
        <f t="shared" si="22"/>
        <v>1.6001825154010173E-3</v>
      </c>
    </row>
    <row r="169" spans="10:21" x14ac:dyDescent="0.35">
      <c r="J169">
        <f t="shared" si="23"/>
        <v>166</v>
      </c>
      <c r="K169">
        <f>demanda!D167</f>
        <v>0</v>
      </c>
      <c r="L169">
        <f>demanda!I167</f>
        <v>15</v>
      </c>
      <c r="M169">
        <v>14.416809279416043</v>
      </c>
      <c r="N169">
        <f t="shared" si="16"/>
        <v>0.58319072058395705</v>
      </c>
      <c r="O169">
        <v>7.4087557083441532E-4</v>
      </c>
      <c r="P169">
        <f t="shared" si="17"/>
        <v>5.8760813658909554E-2</v>
      </c>
      <c r="Q169">
        <f t="shared" si="18"/>
        <v>98.553306243487526</v>
      </c>
      <c r="R169">
        <f t="shared" si="19"/>
        <v>5.8767327956256402E-2</v>
      </c>
      <c r="S169">
        <f t="shared" si="20"/>
        <v>0.95314355069247325</v>
      </c>
      <c r="T169">
        <f t="shared" si="21"/>
        <v>1.2809572488725558E-6</v>
      </c>
      <c r="U169">
        <f t="shared" si="22"/>
        <v>1.6001825154010173E-3</v>
      </c>
    </row>
    <row r="170" spans="10:21" x14ac:dyDescent="0.35">
      <c r="J170">
        <f t="shared" si="23"/>
        <v>167</v>
      </c>
      <c r="K170">
        <f>demanda!D168</f>
        <v>0</v>
      </c>
      <c r="L170">
        <f>demanda!I168</f>
        <v>14</v>
      </c>
      <c r="M170">
        <v>14.416809279416043</v>
      </c>
      <c r="N170">
        <f t="shared" si="16"/>
        <v>-0.41680927941604295</v>
      </c>
      <c r="O170">
        <v>7.4087557083441532E-4</v>
      </c>
      <c r="P170">
        <f t="shared" si="17"/>
        <v>-4.1996642838463258E-2</v>
      </c>
      <c r="Q170">
        <f t="shared" si="18"/>
        <v>98.553393055166637</v>
      </c>
      <c r="R170">
        <f t="shared" si="19"/>
        <v>-4.2001280140228352E-2</v>
      </c>
      <c r="S170">
        <f t="shared" si="20"/>
        <v>0.96650204701357412</v>
      </c>
      <c r="T170">
        <f t="shared" si="21"/>
        <v>6.5431696937827154E-7</v>
      </c>
      <c r="U170">
        <f t="shared" si="22"/>
        <v>-1.1436578187608104E-3</v>
      </c>
    </row>
    <row r="171" spans="10:21" x14ac:dyDescent="0.35">
      <c r="J171">
        <f t="shared" si="23"/>
        <v>168</v>
      </c>
      <c r="K171">
        <f>demanda!D169</f>
        <v>0</v>
      </c>
      <c r="L171">
        <f>demanda!I169</f>
        <v>15</v>
      </c>
      <c r="M171">
        <v>14.416809279416043</v>
      </c>
      <c r="N171">
        <f t="shared" si="16"/>
        <v>0.58319072058395705</v>
      </c>
      <c r="O171">
        <v>7.4087557083441532E-4</v>
      </c>
      <c r="P171">
        <f t="shared" si="17"/>
        <v>5.8760813658909554E-2</v>
      </c>
      <c r="Q171">
        <f t="shared" si="18"/>
        <v>98.553306243487526</v>
      </c>
      <c r="R171">
        <f t="shared" si="19"/>
        <v>5.8767327956256402E-2</v>
      </c>
      <c r="S171">
        <f t="shared" si="20"/>
        <v>0.95314355069247325</v>
      </c>
      <c r="T171">
        <f t="shared" si="21"/>
        <v>1.2809572488725558E-6</v>
      </c>
      <c r="U171">
        <f t="shared" si="22"/>
        <v>1.6001825154010173E-3</v>
      </c>
    </row>
    <row r="172" spans="10:21" x14ac:dyDescent="0.35">
      <c r="J172">
        <f t="shared" si="23"/>
        <v>169</v>
      </c>
      <c r="K172">
        <f>demanda!D170</f>
        <v>0</v>
      </c>
      <c r="L172">
        <f>demanda!I170</f>
        <v>15</v>
      </c>
      <c r="M172">
        <v>14.416809279416043</v>
      </c>
      <c r="N172">
        <f t="shared" si="16"/>
        <v>0.58319072058395705</v>
      </c>
      <c r="O172">
        <v>7.4087557083441532E-4</v>
      </c>
      <c r="P172">
        <f t="shared" si="17"/>
        <v>5.8760813658909554E-2</v>
      </c>
      <c r="Q172">
        <f t="shared" si="18"/>
        <v>98.553306243487526</v>
      </c>
      <c r="R172">
        <f t="shared" si="19"/>
        <v>5.8767327956256402E-2</v>
      </c>
      <c r="S172">
        <f t="shared" si="20"/>
        <v>0.95314355069247325</v>
      </c>
      <c r="T172">
        <f t="shared" si="21"/>
        <v>1.2809572488725558E-6</v>
      </c>
      <c r="U172">
        <f t="shared" si="22"/>
        <v>1.6001825154010173E-3</v>
      </c>
    </row>
    <row r="173" spans="10:21" x14ac:dyDescent="0.35">
      <c r="J173">
        <f t="shared" si="23"/>
        <v>170</v>
      </c>
      <c r="K173">
        <f>demanda!D171</f>
        <v>0</v>
      </c>
      <c r="L173">
        <f>demanda!I171</f>
        <v>15</v>
      </c>
      <c r="M173">
        <v>14.416809279416043</v>
      </c>
      <c r="N173">
        <f t="shared" si="16"/>
        <v>0.58319072058395705</v>
      </c>
      <c r="O173">
        <v>7.4087557083441532E-4</v>
      </c>
      <c r="P173">
        <f t="shared" si="17"/>
        <v>5.8760813658909554E-2</v>
      </c>
      <c r="Q173">
        <f t="shared" si="18"/>
        <v>98.553306243487526</v>
      </c>
      <c r="R173">
        <f t="shared" si="19"/>
        <v>5.8767327956256402E-2</v>
      </c>
      <c r="S173">
        <f t="shared" si="20"/>
        <v>0.95314355069247325</v>
      </c>
      <c r="T173">
        <f t="shared" si="21"/>
        <v>1.2809572488725558E-6</v>
      </c>
      <c r="U173">
        <f t="shared" si="22"/>
        <v>1.6001825154010173E-3</v>
      </c>
    </row>
    <row r="174" spans="10:21" x14ac:dyDescent="0.35">
      <c r="J174">
        <f t="shared" si="23"/>
        <v>171</v>
      </c>
      <c r="K174">
        <f>demanda!D172</f>
        <v>0</v>
      </c>
      <c r="L174">
        <f>demanda!I172</f>
        <v>15</v>
      </c>
      <c r="M174">
        <v>14.416809279416043</v>
      </c>
      <c r="N174">
        <f t="shared" si="16"/>
        <v>0.58319072058395705</v>
      </c>
      <c r="O174">
        <v>7.4087557083441532E-4</v>
      </c>
      <c r="P174">
        <f t="shared" si="17"/>
        <v>5.8760813658909554E-2</v>
      </c>
      <c r="Q174">
        <f t="shared" si="18"/>
        <v>98.553306243487526</v>
      </c>
      <c r="R174">
        <f t="shared" si="19"/>
        <v>5.8767327956256402E-2</v>
      </c>
      <c r="S174">
        <f t="shared" si="20"/>
        <v>0.95314355069247325</v>
      </c>
      <c r="T174">
        <f t="shared" si="21"/>
        <v>1.2809572488725558E-6</v>
      </c>
      <c r="U174">
        <f t="shared" si="22"/>
        <v>1.6001825154010173E-3</v>
      </c>
    </row>
    <row r="175" spans="10:21" x14ac:dyDescent="0.35">
      <c r="J175">
        <f t="shared" si="23"/>
        <v>172</v>
      </c>
      <c r="K175">
        <f>demanda!D173</f>
        <v>0</v>
      </c>
      <c r="L175">
        <f>demanda!I173</f>
        <v>15</v>
      </c>
      <c r="M175">
        <v>14.416809279416043</v>
      </c>
      <c r="N175">
        <f t="shared" si="16"/>
        <v>0.58319072058395705</v>
      </c>
      <c r="O175">
        <v>7.4087557083441532E-4</v>
      </c>
      <c r="P175">
        <f t="shared" si="17"/>
        <v>5.8760813658909554E-2</v>
      </c>
      <c r="Q175">
        <f t="shared" si="18"/>
        <v>98.553306243487526</v>
      </c>
      <c r="R175">
        <f t="shared" si="19"/>
        <v>5.8767327956256402E-2</v>
      </c>
      <c r="S175">
        <f t="shared" si="20"/>
        <v>0.95314355069247325</v>
      </c>
      <c r="T175">
        <f t="shared" si="21"/>
        <v>1.2809572488725558E-6</v>
      </c>
      <c r="U175">
        <f t="shared" si="22"/>
        <v>1.6001825154010173E-3</v>
      </c>
    </row>
    <row r="176" spans="10:21" x14ac:dyDescent="0.35">
      <c r="J176">
        <f t="shared" si="23"/>
        <v>173</v>
      </c>
      <c r="K176">
        <f>demanda!D174</f>
        <v>0</v>
      </c>
      <c r="L176">
        <f>demanda!I174</f>
        <v>15</v>
      </c>
      <c r="M176">
        <v>14.416809279416043</v>
      </c>
      <c r="N176">
        <f t="shared" si="16"/>
        <v>0.58319072058395705</v>
      </c>
      <c r="O176">
        <v>7.4087557083441532E-4</v>
      </c>
      <c r="P176">
        <f t="shared" si="17"/>
        <v>5.8760813658909554E-2</v>
      </c>
      <c r="Q176">
        <f t="shared" si="18"/>
        <v>98.553306243487526</v>
      </c>
      <c r="R176">
        <f t="shared" si="19"/>
        <v>5.8767327956256402E-2</v>
      </c>
      <c r="S176">
        <f t="shared" si="20"/>
        <v>0.95314355069247325</v>
      </c>
      <c r="T176">
        <f t="shared" si="21"/>
        <v>1.2809572488725558E-6</v>
      </c>
      <c r="U176">
        <f t="shared" si="22"/>
        <v>1.6001825154010173E-3</v>
      </c>
    </row>
    <row r="177" spans="10:21" x14ac:dyDescent="0.35">
      <c r="J177">
        <f t="shared" si="23"/>
        <v>174</v>
      </c>
      <c r="K177">
        <f>demanda!D175</f>
        <v>0</v>
      </c>
      <c r="L177">
        <f>demanda!I175</f>
        <v>15</v>
      </c>
      <c r="M177">
        <v>14.416809279416043</v>
      </c>
      <c r="N177">
        <f t="shared" si="16"/>
        <v>0.58319072058395705</v>
      </c>
      <c r="O177">
        <v>7.4087557083441532E-4</v>
      </c>
      <c r="P177">
        <f t="shared" si="17"/>
        <v>5.8760813658909554E-2</v>
      </c>
      <c r="Q177">
        <f t="shared" si="18"/>
        <v>98.553306243487526</v>
      </c>
      <c r="R177">
        <f t="shared" si="19"/>
        <v>5.8767327956256402E-2</v>
      </c>
      <c r="S177">
        <f t="shared" si="20"/>
        <v>0.95314355069247325</v>
      </c>
      <c r="T177">
        <f t="shared" si="21"/>
        <v>1.2809572488725558E-6</v>
      </c>
      <c r="U177">
        <f t="shared" si="22"/>
        <v>1.6001825154010173E-3</v>
      </c>
    </row>
    <row r="178" spans="10:21" x14ac:dyDescent="0.35">
      <c r="J178">
        <f t="shared" si="23"/>
        <v>175</v>
      </c>
      <c r="K178">
        <f>demanda!D176</f>
        <v>0</v>
      </c>
      <c r="L178">
        <f>demanda!I176</f>
        <v>15</v>
      </c>
      <c r="M178">
        <v>14.416809279416043</v>
      </c>
      <c r="N178">
        <f t="shared" si="16"/>
        <v>0.58319072058395705</v>
      </c>
      <c r="O178">
        <v>7.4087557083441532E-4</v>
      </c>
      <c r="P178">
        <f t="shared" si="17"/>
        <v>5.8760813658909554E-2</v>
      </c>
      <c r="Q178">
        <f t="shared" si="18"/>
        <v>98.553306243487526</v>
      </c>
      <c r="R178">
        <f t="shared" si="19"/>
        <v>5.8767327956256402E-2</v>
      </c>
      <c r="S178">
        <f t="shared" si="20"/>
        <v>0.95314355069247325</v>
      </c>
      <c r="T178">
        <f t="shared" si="21"/>
        <v>1.2809572488725558E-6</v>
      </c>
      <c r="U178">
        <f t="shared" si="22"/>
        <v>1.6001825154010173E-3</v>
      </c>
    </row>
    <row r="179" spans="10:21" x14ac:dyDescent="0.35">
      <c r="J179">
        <f t="shared" si="23"/>
        <v>176</v>
      </c>
      <c r="K179">
        <f>demanda!D177</f>
        <v>0</v>
      </c>
      <c r="L179">
        <f>demanda!I177</f>
        <v>15</v>
      </c>
      <c r="M179">
        <v>14.416809279416043</v>
      </c>
      <c r="N179">
        <f t="shared" si="16"/>
        <v>0.58319072058395705</v>
      </c>
      <c r="O179">
        <v>7.4087557083441532E-4</v>
      </c>
      <c r="P179">
        <f t="shared" si="17"/>
        <v>5.8760813658909554E-2</v>
      </c>
      <c r="Q179">
        <f t="shared" si="18"/>
        <v>98.553306243487526</v>
      </c>
      <c r="R179">
        <f t="shared" si="19"/>
        <v>5.8767327956256402E-2</v>
      </c>
      <c r="S179">
        <f t="shared" si="20"/>
        <v>0.95314355069247325</v>
      </c>
      <c r="T179">
        <f t="shared" si="21"/>
        <v>1.2809572488725558E-6</v>
      </c>
      <c r="U179">
        <f t="shared" si="22"/>
        <v>1.6001825154010173E-3</v>
      </c>
    </row>
    <row r="180" spans="10:21" x14ac:dyDescent="0.35">
      <c r="J180">
        <f t="shared" si="23"/>
        <v>177</v>
      </c>
      <c r="K180">
        <f>demanda!D178</f>
        <v>0</v>
      </c>
      <c r="L180">
        <f>demanda!I178</f>
        <v>15</v>
      </c>
      <c r="M180">
        <v>14.416809279416043</v>
      </c>
      <c r="N180">
        <f t="shared" si="16"/>
        <v>0.58319072058395705</v>
      </c>
      <c r="O180">
        <v>7.4087557083441532E-4</v>
      </c>
      <c r="P180">
        <f t="shared" si="17"/>
        <v>5.8760813658909554E-2</v>
      </c>
      <c r="Q180">
        <f t="shared" si="18"/>
        <v>98.553306243487526</v>
      </c>
      <c r="R180">
        <f t="shared" si="19"/>
        <v>5.8767327956256402E-2</v>
      </c>
      <c r="S180">
        <f t="shared" si="20"/>
        <v>0.95314355069247325</v>
      </c>
      <c r="T180">
        <f t="shared" si="21"/>
        <v>1.2809572488725558E-6</v>
      </c>
      <c r="U180">
        <f t="shared" si="22"/>
        <v>1.6001825154010173E-3</v>
      </c>
    </row>
    <row r="181" spans="10:21" x14ac:dyDescent="0.35">
      <c r="J181">
        <f t="shared" si="23"/>
        <v>178</v>
      </c>
      <c r="K181">
        <f>demanda!D179</f>
        <v>0</v>
      </c>
      <c r="L181">
        <f>demanda!I179</f>
        <v>15</v>
      </c>
      <c r="M181">
        <v>14.416809279416043</v>
      </c>
      <c r="N181">
        <f t="shared" si="16"/>
        <v>0.58319072058395705</v>
      </c>
      <c r="O181">
        <v>7.4087557083441532E-4</v>
      </c>
      <c r="P181">
        <f t="shared" si="17"/>
        <v>5.8760813658909554E-2</v>
      </c>
      <c r="Q181">
        <f t="shared" si="18"/>
        <v>98.553306243487526</v>
      </c>
      <c r="R181">
        <f t="shared" si="19"/>
        <v>5.8767327956256402E-2</v>
      </c>
      <c r="S181">
        <f t="shared" si="20"/>
        <v>0.95314355069247325</v>
      </c>
      <c r="T181">
        <f t="shared" si="21"/>
        <v>1.2809572488725558E-6</v>
      </c>
      <c r="U181">
        <f t="shared" si="22"/>
        <v>1.6001825154010173E-3</v>
      </c>
    </row>
    <row r="182" spans="10:21" x14ac:dyDescent="0.35">
      <c r="J182">
        <f t="shared" si="23"/>
        <v>179</v>
      </c>
      <c r="K182">
        <f>demanda!D180</f>
        <v>0</v>
      </c>
      <c r="L182">
        <f>demanda!I180</f>
        <v>15</v>
      </c>
      <c r="M182">
        <v>14.416809279416043</v>
      </c>
      <c r="N182">
        <f t="shared" si="16"/>
        <v>0.58319072058395705</v>
      </c>
      <c r="O182">
        <v>7.4087557083441532E-4</v>
      </c>
      <c r="P182">
        <f t="shared" si="17"/>
        <v>5.8760813658909554E-2</v>
      </c>
      <c r="Q182">
        <f t="shared" si="18"/>
        <v>98.553306243487526</v>
      </c>
      <c r="R182">
        <f t="shared" si="19"/>
        <v>5.8767327956256402E-2</v>
      </c>
      <c r="S182">
        <f t="shared" si="20"/>
        <v>0.95314355069247325</v>
      </c>
      <c r="T182">
        <f t="shared" si="21"/>
        <v>1.2809572488725558E-6</v>
      </c>
      <c r="U182">
        <f t="shared" si="22"/>
        <v>1.6001825154010173E-3</v>
      </c>
    </row>
    <row r="183" spans="10:21" x14ac:dyDescent="0.35">
      <c r="J183">
        <f t="shared" si="23"/>
        <v>180</v>
      </c>
      <c r="K183">
        <f>demanda!D181</f>
        <v>0</v>
      </c>
      <c r="L183">
        <f>demanda!I181</f>
        <v>14</v>
      </c>
      <c r="M183">
        <v>14.416809279416043</v>
      </c>
      <c r="N183">
        <f t="shared" si="16"/>
        <v>-0.41680927941604295</v>
      </c>
      <c r="O183">
        <v>7.4087557083441532E-4</v>
      </c>
      <c r="P183">
        <f t="shared" si="17"/>
        <v>-4.1996642838463258E-2</v>
      </c>
      <c r="Q183">
        <f t="shared" si="18"/>
        <v>98.553393055166637</v>
      </c>
      <c r="R183">
        <f t="shared" si="19"/>
        <v>-4.2001280140228352E-2</v>
      </c>
      <c r="S183">
        <f t="shared" si="20"/>
        <v>0.96650204701357412</v>
      </c>
      <c r="T183">
        <f t="shared" si="21"/>
        <v>6.5431696937827154E-7</v>
      </c>
      <c r="U183">
        <f t="shared" si="22"/>
        <v>-1.1436578187608104E-3</v>
      </c>
    </row>
    <row r="184" spans="10:21" x14ac:dyDescent="0.35">
      <c r="J184">
        <f t="shared" si="23"/>
        <v>181</v>
      </c>
      <c r="K184">
        <f>demanda!D182</f>
        <v>0</v>
      </c>
      <c r="L184">
        <f>demanda!I182</f>
        <v>5</v>
      </c>
      <c r="M184">
        <v>14.416809279416043</v>
      </c>
      <c r="N184">
        <f t="shared" si="16"/>
        <v>-9.416809279416043</v>
      </c>
      <c r="O184">
        <v>7.4087557083441532E-4</v>
      </c>
      <c r="P184">
        <f t="shared" si="17"/>
        <v>-0.94881375131481849</v>
      </c>
      <c r="Q184">
        <f t="shared" si="18"/>
        <v>98.507215690706701</v>
      </c>
      <c r="R184">
        <f t="shared" si="19"/>
        <v>-0.94914090693055775</v>
      </c>
      <c r="S184">
        <f t="shared" si="20"/>
        <v>0.34266846368408377</v>
      </c>
      <c r="T184">
        <f t="shared" si="21"/>
        <v>3.339803955874275E-4</v>
      </c>
      <c r="U184">
        <f t="shared" si="22"/>
        <v>-2.5844269881602652E-2</v>
      </c>
    </row>
    <row r="185" spans="10:21" x14ac:dyDescent="0.35">
      <c r="J185">
        <f t="shared" si="23"/>
        <v>182</v>
      </c>
      <c r="K185">
        <f>demanda!D183</f>
        <v>4</v>
      </c>
      <c r="L185">
        <f>demanda!I183</f>
        <v>3</v>
      </c>
      <c r="M185">
        <v>3.8942745198728588</v>
      </c>
      <c r="N185">
        <f t="shared" si="16"/>
        <v>-0.89427451987285878</v>
      </c>
      <c r="O185">
        <v>2.4466175697261316E-3</v>
      </c>
      <c r="P185">
        <f t="shared" si="17"/>
        <v>-9.0104826032798527E-2</v>
      </c>
      <c r="Q185">
        <f t="shared" si="18"/>
        <v>98.553065719630368</v>
      </c>
      <c r="R185">
        <f t="shared" si="19"/>
        <v>-9.0191937130002245E-2</v>
      </c>
      <c r="S185">
        <f t="shared" si="20"/>
        <v>0.92814410376796586</v>
      </c>
      <c r="T185">
        <f t="shared" si="21"/>
        <v>9.9806748742546123E-6</v>
      </c>
      <c r="U185">
        <f t="shared" si="22"/>
        <v>-4.4666578568412878E-3</v>
      </c>
    </row>
    <row r="186" spans="10:21" x14ac:dyDescent="0.35">
      <c r="J186">
        <f t="shared" si="23"/>
        <v>183</v>
      </c>
      <c r="K186">
        <f>demanda!D184</f>
        <v>0</v>
      </c>
      <c r="L186">
        <f>demanda!I184</f>
        <v>10</v>
      </c>
      <c r="M186">
        <v>14.416809279416043</v>
      </c>
      <c r="N186">
        <f t="shared" si="16"/>
        <v>-4.416809279416043</v>
      </c>
      <c r="O186">
        <v>7.4087557083441532E-4</v>
      </c>
      <c r="P186">
        <f t="shared" si="17"/>
        <v>-0.44502646882795449</v>
      </c>
      <c r="Q186">
        <f t="shared" si="18"/>
        <v>98.543305041978172</v>
      </c>
      <c r="R186">
        <f t="shared" si="19"/>
        <v>-0.44509838991165818</v>
      </c>
      <c r="S186">
        <f t="shared" si="20"/>
        <v>0.65629885256814913</v>
      </c>
      <c r="T186">
        <f t="shared" si="21"/>
        <v>7.3473498325511761E-5</v>
      </c>
      <c r="U186">
        <f t="shared" si="22"/>
        <v>-1.2119636640616644E-2</v>
      </c>
    </row>
    <row r="187" spans="10:21" x14ac:dyDescent="0.35">
      <c r="J187">
        <f t="shared" si="23"/>
        <v>184</v>
      </c>
      <c r="K187">
        <f>demanda!D185</f>
        <v>2</v>
      </c>
      <c r="L187">
        <f>demanda!I185</f>
        <v>5</v>
      </c>
      <c r="M187">
        <v>9.1555418996444509</v>
      </c>
      <c r="N187">
        <f t="shared" si="16"/>
        <v>-4.1555418996444509</v>
      </c>
      <c r="O187">
        <v>7.3144910189317154E-4</v>
      </c>
      <c r="P187">
        <f t="shared" si="17"/>
        <v>-0.4187018321764357</v>
      </c>
      <c r="Q187">
        <f t="shared" si="18"/>
        <v>98.544473706891381</v>
      </c>
      <c r="R187">
        <f t="shared" si="19"/>
        <v>-0.41876504056165376</v>
      </c>
      <c r="S187">
        <f t="shared" si="20"/>
        <v>0.67543472022045181</v>
      </c>
      <c r="T187">
        <f t="shared" si="21"/>
        <v>6.420951640425571E-5</v>
      </c>
      <c r="U187">
        <f t="shared" si="22"/>
        <v>-1.1329777066218591E-2</v>
      </c>
    </row>
    <row r="188" spans="10:21" x14ac:dyDescent="0.35">
      <c r="J188">
        <f t="shared" si="23"/>
        <v>185</v>
      </c>
      <c r="K188">
        <f>demanda!D186</f>
        <v>1</v>
      </c>
      <c r="L188">
        <f>demanda!I186</f>
        <v>3</v>
      </c>
      <c r="M188">
        <v>11.786175589530247</v>
      </c>
      <c r="N188">
        <f t="shared" si="16"/>
        <v>-8.7861755895302469</v>
      </c>
      <c r="O188">
        <v>5.2058796926701797E-4</v>
      </c>
      <c r="P188">
        <f t="shared" si="17"/>
        <v>-0.88527270474037267</v>
      </c>
      <c r="Q188">
        <f t="shared" si="18"/>
        <v>98.513214102399758</v>
      </c>
      <c r="R188">
        <f t="shared" si="19"/>
        <v>-0.88545339538896362</v>
      </c>
      <c r="S188">
        <f t="shared" si="20"/>
        <v>0.37602308055069167</v>
      </c>
      <c r="T188">
        <f t="shared" si="21"/>
        <v>2.0420697614382047E-4</v>
      </c>
      <c r="U188">
        <f t="shared" si="22"/>
        <v>-2.0208116875988336E-2</v>
      </c>
    </row>
    <row r="189" spans="10:21" x14ac:dyDescent="0.35">
      <c r="J189">
        <f t="shared" si="23"/>
        <v>186</v>
      </c>
      <c r="K189">
        <f>demanda!D187</f>
        <v>1</v>
      </c>
      <c r="L189">
        <f>demanda!I187</f>
        <v>3</v>
      </c>
      <c r="M189">
        <v>11.786175589530247</v>
      </c>
      <c r="N189">
        <f t="shared" si="16"/>
        <v>-8.7861755895302469</v>
      </c>
      <c r="O189">
        <v>5.2058796926701797E-4</v>
      </c>
      <c r="P189">
        <f t="shared" si="17"/>
        <v>-0.88527270474037267</v>
      </c>
      <c r="Q189">
        <f t="shared" si="18"/>
        <v>98.513214102399758</v>
      </c>
      <c r="R189">
        <f t="shared" si="19"/>
        <v>-0.88545339538896362</v>
      </c>
      <c r="S189">
        <f t="shared" si="20"/>
        <v>0.37602308055069167</v>
      </c>
      <c r="T189">
        <f t="shared" si="21"/>
        <v>2.0420697614382047E-4</v>
      </c>
      <c r="U189">
        <f t="shared" si="22"/>
        <v>-2.0208116875988336E-2</v>
      </c>
    </row>
    <row r="190" spans="10:21" x14ac:dyDescent="0.35">
      <c r="J190">
        <f t="shared" si="23"/>
        <v>187</v>
      </c>
      <c r="K190">
        <f>demanda!D188</f>
        <v>1</v>
      </c>
      <c r="L190">
        <f>demanda!I188</f>
        <v>12</v>
      </c>
      <c r="M190">
        <v>11.786175589530247</v>
      </c>
      <c r="N190">
        <f t="shared" si="16"/>
        <v>0.21382441046975309</v>
      </c>
      <c r="O190">
        <v>5.2058796926701797E-4</v>
      </c>
      <c r="P190">
        <f t="shared" si="17"/>
        <v>2.1544403735982532E-2</v>
      </c>
      <c r="Q190">
        <f t="shared" si="18"/>
        <v>98.55345985083423</v>
      </c>
      <c r="R190">
        <f t="shared" si="19"/>
        <v>2.1544400773202785E-2</v>
      </c>
      <c r="S190">
        <f t="shared" si="20"/>
        <v>0.98281362479024093</v>
      </c>
      <c r="T190">
        <f t="shared" si="21"/>
        <v>1.2094429421903031E-7</v>
      </c>
      <c r="U190">
        <f t="shared" si="22"/>
        <v>4.9169360139701592E-4</v>
      </c>
    </row>
    <row r="191" spans="10:21" x14ac:dyDescent="0.35">
      <c r="J191">
        <f t="shared" si="23"/>
        <v>188</v>
      </c>
      <c r="K191">
        <f>demanda!D189</f>
        <v>3</v>
      </c>
      <c r="L191">
        <f>demanda!I189</f>
        <v>4</v>
      </c>
      <c r="M191">
        <v>6.5249082097586548</v>
      </c>
      <c r="N191">
        <f t="shared" si="16"/>
        <v>-2.5249082097586548</v>
      </c>
      <c r="O191">
        <v>1.3734589687128761E-3</v>
      </c>
      <c r="P191">
        <f t="shared" si="17"/>
        <v>-0.2544033291046171</v>
      </c>
      <c r="Q191">
        <f t="shared" si="18"/>
        <v>98.550155270625524</v>
      </c>
      <c r="R191">
        <f t="shared" si="19"/>
        <v>-0.25451617384299874</v>
      </c>
      <c r="S191">
        <f t="shared" si="20"/>
        <v>0.79912408038987892</v>
      </c>
      <c r="T191">
        <f t="shared" si="21"/>
        <v>4.4568197050885148E-5</v>
      </c>
      <c r="U191">
        <f t="shared" si="22"/>
        <v>-9.4389063786870474E-3</v>
      </c>
    </row>
    <row r="192" spans="10:21" x14ac:dyDescent="0.35">
      <c r="J192">
        <f t="shared" si="23"/>
        <v>189</v>
      </c>
      <c r="K192">
        <f>demanda!D190</f>
        <v>5</v>
      </c>
      <c r="L192">
        <f>demanda!I190</f>
        <v>6</v>
      </c>
      <c r="M192">
        <v>1.2636408299870627</v>
      </c>
      <c r="N192">
        <f t="shared" si="16"/>
        <v>4.7363591700129373</v>
      </c>
      <c r="O192">
        <v>3.9509249049329382E-3</v>
      </c>
      <c r="P192">
        <f t="shared" si="17"/>
        <v>0.4772235030285113</v>
      </c>
      <c r="Q192">
        <f t="shared" si="18"/>
        <v>98.541741218641121</v>
      </c>
      <c r="R192">
        <f t="shared" si="19"/>
        <v>0.47807292021122316</v>
      </c>
      <c r="S192">
        <f t="shared" si="20"/>
        <v>0.63265275916277641</v>
      </c>
      <c r="T192">
        <f t="shared" si="21"/>
        <v>4.534724998329784E-4</v>
      </c>
      <c r="U192">
        <f t="shared" si="22"/>
        <v>3.0109473656333704E-2</v>
      </c>
    </row>
    <row r="193" spans="10:21" x14ac:dyDescent="0.35">
      <c r="J193">
        <f t="shared" si="23"/>
        <v>190</v>
      </c>
      <c r="K193">
        <f>demanda!D191</f>
        <v>0</v>
      </c>
      <c r="L193">
        <f>demanda!I191</f>
        <v>22</v>
      </c>
      <c r="M193">
        <v>14.416809279416043</v>
      </c>
      <c r="N193">
        <f t="shared" si="16"/>
        <v>7.583190720583957</v>
      </c>
      <c r="O193">
        <v>7.4087557083441532E-4</v>
      </c>
      <c r="P193">
        <f t="shared" si="17"/>
        <v>0.76406300914051917</v>
      </c>
      <c r="Q193">
        <f t="shared" si="18"/>
        <v>98.523479834000298</v>
      </c>
      <c r="R193">
        <f t="shared" si="19"/>
        <v>0.76426337212539786</v>
      </c>
      <c r="S193">
        <f t="shared" si="20"/>
        <v>0.44480426948631324</v>
      </c>
      <c r="T193">
        <f t="shared" si="21"/>
        <v>2.1657951813284224E-4</v>
      </c>
      <c r="U193">
        <f t="shared" si="22"/>
        <v>2.081021764587964E-2</v>
      </c>
    </row>
    <row r="194" spans="10:21" x14ac:dyDescent="0.35">
      <c r="J194">
        <f t="shared" si="23"/>
        <v>191</v>
      </c>
      <c r="K194">
        <f>demanda!D192</f>
        <v>0</v>
      </c>
      <c r="L194">
        <f>demanda!I192</f>
        <v>12</v>
      </c>
      <c r="M194">
        <v>14.416809279416043</v>
      </c>
      <c r="N194">
        <f t="shared" si="16"/>
        <v>-2.416809279416043</v>
      </c>
      <c r="O194">
        <v>7.4087557083441532E-4</v>
      </c>
      <c r="P194">
        <f t="shared" si="17"/>
        <v>-0.24351155583320885</v>
      </c>
      <c r="Q194">
        <f t="shared" si="18"/>
        <v>98.55043610055337</v>
      </c>
      <c r="R194">
        <f t="shared" si="19"/>
        <v>-0.24354209816225414</v>
      </c>
      <c r="S194">
        <f t="shared" si="20"/>
        <v>0.80761150818210881</v>
      </c>
      <c r="T194">
        <f t="shared" si="21"/>
        <v>2.199875915262289E-5</v>
      </c>
      <c r="U194">
        <f t="shared" si="22"/>
        <v>-6.6314365617133417E-3</v>
      </c>
    </row>
    <row r="195" spans="10:21" x14ac:dyDescent="0.35">
      <c r="J195">
        <f t="shared" si="23"/>
        <v>192</v>
      </c>
      <c r="K195">
        <f>demanda!D193</f>
        <v>0</v>
      </c>
      <c r="L195">
        <f>demanda!I193</f>
        <v>11</v>
      </c>
      <c r="M195">
        <v>14.416809279416043</v>
      </c>
      <c r="N195">
        <f t="shared" si="16"/>
        <v>-3.416809279416043</v>
      </c>
      <c r="O195">
        <v>7.4087557083441532E-4</v>
      </c>
      <c r="P195">
        <f t="shared" si="17"/>
        <v>-0.34426901233058166</v>
      </c>
      <c r="Q195">
        <f t="shared" si="18"/>
        <v>98.547392334261005</v>
      </c>
      <c r="R195">
        <f t="shared" si="19"/>
        <v>-0.34431750934619676</v>
      </c>
      <c r="S195">
        <f t="shared" si="20"/>
        <v>0.73064524437297085</v>
      </c>
      <c r="T195">
        <f t="shared" si="21"/>
        <v>4.3969841615361785E-5</v>
      </c>
      <c r="U195">
        <f t="shared" si="22"/>
        <v>-9.3754621379472432E-3</v>
      </c>
    </row>
    <row r="196" spans="10:21" x14ac:dyDescent="0.35">
      <c r="J196">
        <f t="shared" si="23"/>
        <v>193</v>
      </c>
      <c r="K196">
        <f>demanda!D194</f>
        <v>4</v>
      </c>
      <c r="L196">
        <f>demanda!I194</f>
        <v>3</v>
      </c>
      <c r="M196">
        <v>3.8942745198728588</v>
      </c>
      <c r="N196">
        <f t="shared" si="16"/>
        <v>-0.89427451987285878</v>
      </c>
      <c r="O196">
        <v>2.4466175697261316E-3</v>
      </c>
      <c r="P196">
        <f t="shared" si="17"/>
        <v>-9.0104826032798527E-2</v>
      </c>
      <c r="Q196">
        <f t="shared" si="18"/>
        <v>98.553065719630368</v>
      </c>
      <c r="R196">
        <f t="shared" si="19"/>
        <v>-9.0191937130002245E-2</v>
      </c>
      <c r="S196">
        <f t="shared" si="20"/>
        <v>0.92814410376796586</v>
      </c>
      <c r="T196">
        <f t="shared" si="21"/>
        <v>9.9806748742546123E-6</v>
      </c>
      <c r="U196">
        <f t="shared" si="22"/>
        <v>-4.4666578568412878E-3</v>
      </c>
    </row>
    <row r="197" spans="10:21" x14ac:dyDescent="0.35">
      <c r="J197">
        <f t="shared" si="23"/>
        <v>194</v>
      </c>
      <c r="K197">
        <f>demanda!D195</f>
        <v>3</v>
      </c>
      <c r="L197">
        <f>demanda!I195</f>
        <v>4</v>
      </c>
      <c r="M197">
        <v>6.5249082097586548</v>
      </c>
      <c r="N197">
        <f t="shared" ref="N197:N260" si="24">L197-M197</f>
        <v>-2.5249082097586548</v>
      </c>
      <c r="O197">
        <v>1.3734589687128761E-3</v>
      </c>
      <c r="P197">
        <f t="shared" ref="P197:P260" si="25">N197/SQRT($X$6)</f>
        <v>-0.2544033291046171</v>
      </c>
      <c r="Q197">
        <f t="shared" ref="Q197:Q260" si="26">($X$6-N197^2/((1-O197)*$X$5))*$X$5/($X$5-1)</f>
        <v>98.550155270625524</v>
      </c>
      <c r="R197">
        <f t="shared" ref="R197:R260" si="27">N197/SQRT(Q197*(1-O197))</f>
        <v>-0.25451617384299874</v>
      </c>
      <c r="S197">
        <f t="shared" ref="S197:S260" si="28">_xlfn.T.DIST.2T(ABS(R197),$X$5)</f>
        <v>0.79912408038987892</v>
      </c>
      <c r="T197">
        <f t="shared" ref="T197:T260" si="29">(N197^2/$X$6)*(O197/(1-O197)^2)/($X$7+1)</f>
        <v>4.4568197050885148E-5</v>
      </c>
      <c r="U197">
        <f t="shared" ref="U197:U260" si="30">R197*SQRT(O197/(1-O197))</f>
        <v>-9.4389063786870474E-3</v>
      </c>
    </row>
    <row r="198" spans="10:21" x14ac:dyDescent="0.35">
      <c r="J198">
        <f t="shared" ref="J198:J261" si="31">J197+1</f>
        <v>195</v>
      </c>
      <c r="K198">
        <f>demanda!D196</f>
        <v>0</v>
      </c>
      <c r="L198">
        <f>demanda!I196</f>
        <v>23</v>
      </c>
      <c r="M198">
        <v>14.416809279416043</v>
      </c>
      <c r="N198">
        <f t="shared" si="24"/>
        <v>8.583190720583957</v>
      </c>
      <c r="O198">
        <v>7.4087557083441532E-4</v>
      </c>
      <c r="P198">
        <f t="shared" si="25"/>
        <v>0.86482046563789194</v>
      </c>
      <c r="Q198">
        <f t="shared" si="26"/>
        <v>98.515044814397314</v>
      </c>
      <c r="R198">
        <f t="shared" si="27"/>
        <v>0.86508428320119957</v>
      </c>
      <c r="S198">
        <f t="shared" si="28"/>
        <v>0.38710065879826105</v>
      </c>
      <c r="T198">
        <f t="shared" si="29"/>
        <v>2.7746675239162511E-4</v>
      </c>
      <c r="U198">
        <f t="shared" si="30"/>
        <v>2.3555482144044106E-2</v>
      </c>
    </row>
    <row r="199" spans="10:21" x14ac:dyDescent="0.35">
      <c r="J199">
        <f t="shared" si="31"/>
        <v>196</v>
      </c>
      <c r="K199">
        <f>demanda!D197</f>
        <v>0</v>
      </c>
      <c r="L199">
        <f>demanda!I197</f>
        <v>4</v>
      </c>
      <c r="M199">
        <v>14.416809279416043</v>
      </c>
      <c r="N199">
        <f t="shared" si="24"/>
        <v>-10.416809279416043</v>
      </c>
      <c r="O199">
        <v>7.4087557083441532E-4</v>
      </c>
      <c r="P199">
        <f t="shared" si="25"/>
        <v>-1.0495712078121913</v>
      </c>
      <c r="Q199">
        <f t="shared" si="26"/>
        <v>98.49686724248096</v>
      </c>
      <c r="R199">
        <f t="shared" si="27"/>
        <v>-1.049988258586362</v>
      </c>
      <c r="S199">
        <f t="shared" si="28"/>
        <v>0.29385572056513598</v>
      </c>
      <c r="T199">
        <f t="shared" si="29"/>
        <v>4.0867949778204384E-4</v>
      </c>
      <c r="U199">
        <f t="shared" si="30"/>
        <v>-2.8590254333443563E-2</v>
      </c>
    </row>
    <row r="200" spans="10:21" x14ac:dyDescent="0.35">
      <c r="J200">
        <f t="shared" si="31"/>
        <v>197</v>
      </c>
      <c r="K200">
        <f>demanda!D198</f>
        <v>1</v>
      </c>
      <c r="L200">
        <f>demanda!I198</f>
        <v>3</v>
      </c>
      <c r="M200">
        <v>11.786175589530247</v>
      </c>
      <c r="N200">
        <f t="shared" si="24"/>
        <v>-8.7861755895302469</v>
      </c>
      <c r="O200">
        <v>5.2058796926701797E-4</v>
      </c>
      <c r="P200">
        <f t="shared" si="25"/>
        <v>-0.88527270474037267</v>
      </c>
      <c r="Q200">
        <f t="shared" si="26"/>
        <v>98.513214102399758</v>
      </c>
      <c r="R200">
        <f t="shared" si="27"/>
        <v>-0.88545339538896362</v>
      </c>
      <c r="S200">
        <f t="shared" si="28"/>
        <v>0.37602308055069167</v>
      </c>
      <c r="T200">
        <f t="shared" si="29"/>
        <v>2.0420697614382047E-4</v>
      </c>
      <c r="U200">
        <f t="shared" si="30"/>
        <v>-2.0208116875988336E-2</v>
      </c>
    </row>
    <row r="201" spans="10:21" x14ac:dyDescent="0.35">
      <c r="J201">
        <f t="shared" si="31"/>
        <v>198</v>
      </c>
      <c r="K201">
        <f>demanda!D199</f>
        <v>4</v>
      </c>
      <c r="L201">
        <f>demanda!I199</f>
        <v>3</v>
      </c>
      <c r="M201">
        <v>3.8942745198728588</v>
      </c>
      <c r="N201">
        <f t="shared" si="24"/>
        <v>-0.89427451987285878</v>
      </c>
      <c r="O201">
        <v>2.4466175697261316E-3</v>
      </c>
      <c r="P201">
        <f t="shared" si="25"/>
        <v>-9.0104826032798527E-2</v>
      </c>
      <c r="Q201">
        <f t="shared" si="26"/>
        <v>98.553065719630368</v>
      </c>
      <c r="R201">
        <f t="shared" si="27"/>
        <v>-9.0191937130002245E-2</v>
      </c>
      <c r="S201">
        <f t="shared" si="28"/>
        <v>0.92814410376796586</v>
      </c>
      <c r="T201">
        <f t="shared" si="29"/>
        <v>9.9806748742546123E-6</v>
      </c>
      <c r="U201">
        <f t="shared" si="30"/>
        <v>-4.4666578568412878E-3</v>
      </c>
    </row>
    <row r="202" spans="10:21" x14ac:dyDescent="0.35">
      <c r="J202">
        <f t="shared" si="31"/>
        <v>199</v>
      </c>
      <c r="K202">
        <f>demanda!D200</f>
        <v>1</v>
      </c>
      <c r="L202">
        <f>demanda!I200</f>
        <v>9</v>
      </c>
      <c r="M202">
        <v>11.786175589530247</v>
      </c>
      <c r="N202">
        <f t="shared" si="24"/>
        <v>-2.7861755895302469</v>
      </c>
      <c r="O202">
        <v>5.2058796926701797E-4</v>
      </c>
      <c r="P202">
        <f t="shared" si="25"/>
        <v>-0.2807279657561359</v>
      </c>
      <c r="Q202">
        <f t="shared" si="26"/>
        <v>98.549434265310296</v>
      </c>
      <c r="R202">
        <f t="shared" si="27"/>
        <v>-0.2807336607336009</v>
      </c>
      <c r="S202">
        <f t="shared" si="28"/>
        <v>0.77894495126310248</v>
      </c>
      <c r="T202">
        <f t="shared" si="29"/>
        <v>2.0534672635962656E-5</v>
      </c>
      <c r="U202">
        <f t="shared" si="30"/>
        <v>-6.4069985576559628E-3</v>
      </c>
    </row>
    <row r="203" spans="10:21" x14ac:dyDescent="0.35">
      <c r="J203">
        <f t="shared" si="31"/>
        <v>200</v>
      </c>
      <c r="K203">
        <f>demanda!D201</f>
        <v>2</v>
      </c>
      <c r="L203">
        <f>demanda!I201</f>
        <v>3</v>
      </c>
      <c r="M203">
        <v>9.1555418996444509</v>
      </c>
      <c r="N203">
        <f t="shared" si="24"/>
        <v>-6.1555418996444509</v>
      </c>
      <c r="O203">
        <v>7.3144910189317154E-4</v>
      </c>
      <c r="P203">
        <f t="shared" si="25"/>
        <v>-0.62021674517118131</v>
      </c>
      <c r="Q203">
        <f t="shared" si="26"/>
        <v>98.533713924458709</v>
      </c>
      <c r="R203">
        <f t="shared" si="27"/>
        <v>-0.62034424251421916</v>
      </c>
      <c r="S203">
        <f t="shared" si="28"/>
        <v>0.53510483257501296</v>
      </c>
      <c r="T203">
        <f t="shared" si="29"/>
        <v>1.4088885884323287E-4</v>
      </c>
      <c r="U203">
        <f t="shared" si="30"/>
        <v>-1.6783545165498539E-2</v>
      </c>
    </row>
    <row r="204" spans="10:21" x14ac:dyDescent="0.35">
      <c r="J204">
        <f t="shared" si="31"/>
        <v>201</v>
      </c>
      <c r="K204">
        <f>demanda!D202</f>
        <v>3</v>
      </c>
      <c r="L204">
        <f>demanda!I202</f>
        <v>8</v>
      </c>
      <c r="M204">
        <v>6.5249082097586548</v>
      </c>
      <c r="N204">
        <f t="shared" si="24"/>
        <v>1.4750917902413452</v>
      </c>
      <c r="O204">
        <v>1.3734589687128761E-3</v>
      </c>
      <c r="P204">
        <f t="shared" si="25"/>
        <v>0.14862649688487412</v>
      </c>
      <c r="Q204">
        <f t="shared" si="26"/>
        <v>98.55234767997355</v>
      </c>
      <c r="R204">
        <f t="shared" si="27"/>
        <v>0.14869076866180669</v>
      </c>
      <c r="S204">
        <f t="shared" si="28"/>
        <v>0.88181326852130626</v>
      </c>
      <c r="T204">
        <f t="shared" si="29"/>
        <v>1.5211497435160166E-5</v>
      </c>
      <c r="U204">
        <f t="shared" si="30"/>
        <v>5.514298850176646E-3</v>
      </c>
    </row>
    <row r="205" spans="10:21" x14ac:dyDescent="0.35">
      <c r="J205">
        <f t="shared" si="31"/>
        <v>202</v>
      </c>
      <c r="K205">
        <f>demanda!D203</f>
        <v>1</v>
      </c>
      <c r="L205">
        <f>demanda!I203</f>
        <v>8</v>
      </c>
      <c r="M205">
        <v>11.786175589530247</v>
      </c>
      <c r="N205">
        <f t="shared" si="24"/>
        <v>-3.7861755895302469</v>
      </c>
      <c r="O205">
        <v>5.2058796926701797E-4</v>
      </c>
      <c r="P205">
        <f t="shared" si="25"/>
        <v>-0.38148542225350868</v>
      </c>
      <c r="Q205">
        <f t="shared" si="26"/>
        <v>98.546005811479162</v>
      </c>
      <c r="R205">
        <f t="shared" si="27"/>
        <v>-0.38149979733331263</v>
      </c>
      <c r="S205">
        <f t="shared" si="28"/>
        <v>0.70287465676174632</v>
      </c>
      <c r="T205">
        <f t="shared" si="29"/>
        <v>3.7920348514645389E-5</v>
      </c>
      <c r="U205">
        <f t="shared" si="30"/>
        <v>-8.7067174092102829E-3</v>
      </c>
    </row>
    <row r="206" spans="10:21" x14ac:dyDescent="0.35">
      <c r="J206">
        <f t="shared" si="31"/>
        <v>203</v>
      </c>
      <c r="K206">
        <f>demanda!D204</f>
        <v>0</v>
      </c>
      <c r="L206">
        <f>demanda!I204</f>
        <v>24</v>
      </c>
      <c r="M206">
        <v>14.416809279416043</v>
      </c>
      <c r="N206">
        <f t="shared" si="24"/>
        <v>9.583190720583957</v>
      </c>
      <c r="O206">
        <v>7.4087557083441532E-4</v>
      </c>
      <c r="P206">
        <f t="shared" si="25"/>
        <v>0.96557792213526483</v>
      </c>
      <c r="Q206">
        <f t="shared" si="26"/>
        <v>98.505566268803875</v>
      </c>
      <c r="R206">
        <f t="shared" si="27"/>
        <v>0.9659189449099983</v>
      </c>
      <c r="S206">
        <f t="shared" si="28"/>
        <v>0.33420645107335933</v>
      </c>
      <c r="T206">
        <f t="shared" si="29"/>
        <v>3.4588656089781892E-4</v>
      </c>
      <c r="U206">
        <f t="shared" si="30"/>
        <v>2.6301121059818876E-2</v>
      </c>
    </row>
    <row r="207" spans="10:21" x14ac:dyDescent="0.35">
      <c r="J207">
        <f t="shared" si="31"/>
        <v>204</v>
      </c>
      <c r="K207">
        <f>demanda!D205</f>
        <v>1</v>
      </c>
      <c r="L207">
        <f>demanda!I205</f>
        <v>9</v>
      </c>
      <c r="M207">
        <v>11.786175589530247</v>
      </c>
      <c r="N207">
        <f t="shared" si="24"/>
        <v>-2.7861755895302469</v>
      </c>
      <c r="O207">
        <v>5.2058796926701797E-4</v>
      </c>
      <c r="P207">
        <f t="shared" si="25"/>
        <v>-0.2807279657561359</v>
      </c>
      <c r="Q207">
        <f t="shared" si="26"/>
        <v>98.549434265310296</v>
      </c>
      <c r="R207">
        <f t="shared" si="27"/>
        <v>-0.2807336607336009</v>
      </c>
      <c r="S207">
        <f t="shared" si="28"/>
        <v>0.77894495126310248</v>
      </c>
      <c r="T207">
        <f t="shared" si="29"/>
        <v>2.0534672635962656E-5</v>
      </c>
      <c r="U207">
        <f t="shared" si="30"/>
        <v>-6.4069985576559628E-3</v>
      </c>
    </row>
    <row r="208" spans="10:21" x14ac:dyDescent="0.35">
      <c r="J208">
        <f t="shared" si="31"/>
        <v>205</v>
      </c>
      <c r="K208">
        <f>demanda!D206</f>
        <v>1</v>
      </c>
      <c r="L208">
        <f>demanda!I206</f>
        <v>7</v>
      </c>
      <c r="M208">
        <v>11.786175589530247</v>
      </c>
      <c r="N208">
        <f t="shared" si="24"/>
        <v>-4.7861755895302469</v>
      </c>
      <c r="O208">
        <v>5.2058796926701797E-4</v>
      </c>
      <c r="P208">
        <f t="shared" si="25"/>
        <v>-0.48224287875088151</v>
      </c>
      <c r="Q208">
        <f t="shared" si="26"/>
        <v>98.54153406165311</v>
      </c>
      <c r="R208">
        <f t="shared" si="27"/>
        <v>-0.48227199277900268</v>
      </c>
      <c r="S208">
        <f t="shared" si="28"/>
        <v>0.62966774184084362</v>
      </c>
      <c r="T208">
        <f t="shared" si="29"/>
        <v>6.0596574275712224E-5</v>
      </c>
      <c r="U208">
        <f t="shared" si="30"/>
        <v>-1.10065745377968E-2</v>
      </c>
    </row>
    <row r="209" spans="10:21" x14ac:dyDescent="0.35">
      <c r="J209">
        <f t="shared" si="31"/>
        <v>206</v>
      </c>
      <c r="K209">
        <f>demanda!D207</f>
        <v>2</v>
      </c>
      <c r="L209">
        <f>demanda!I207</f>
        <v>5</v>
      </c>
      <c r="M209">
        <v>9.1555418996444509</v>
      </c>
      <c r="N209">
        <f t="shared" si="24"/>
        <v>-4.1555418996444509</v>
      </c>
      <c r="O209">
        <v>7.3144910189317154E-4</v>
      </c>
      <c r="P209">
        <f t="shared" si="25"/>
        <v>-0.4187018321764357</v>
      </c>
      <c r="Q209">
        <f t="shared" si="26"/>
        <v>98.544473706891381</v>
      </c>
      <c r="R209">
        <f t="shared" si="27"/>
        <v>-0.41876504056165376</v>
      </c>
      <c r="S209">
        <f t="shared" si="28"/>
        <v>0.67543472022045181</v>
      </c>
      <c r="T209">
        <f t="shared" si="29"/>
        <v>6.420951640425571E-5</v>
      </c>
      <c r="U209">
        <f t="shared" si="30"/>
        <v>-1.1329777066218591E-2</v>
      </c>
    </row>
    <row r="210" spans="10:21" x14ac:dyDescent="0.35">
      <c r="J210">
        <f t="shared" si="31"/>
        <v>207</v>
      </c>
      <c r="K210">
        <f>demanda!D208</f>
        <v>5</v>
      </c>
      <c r="L210">
        <f>demanda!I208</f>
        <v>1</v>
      </c>
      <c r="M210">
        <v>1.2636408299870627</v>
      </c>
      <c r="N210">
        <f t="shared" si="24"/>
        <v>-0.26364082998706273</v>
      </c>
      <c r="O210">
        <v>3.9509249049329382E-3</v>
      </c>
      <c r="P210">
        <f t="shared" si="25"/>
        <v>-2.6563779458352733E-2</v>
      </c>
      <c r="Q210">
        <f t="shared" si="26"/>
        <v>98.553447318248843</v>
      </c>
      <c r="R210">
        <f t="shared" si="27"/>
        <v>-2.6609480255749079E-2</v>
      </c>
      <c r="S210">
        <f t="shared" si="28"/>
        <v>0.97877397851771408</v>
      </c>
      <c r="T210">
        <f t="shared" si="29"/>
        <v>1.4050346616585871E-6</v>
      </c>
      <c r="U210">
        <f t="shared" si="30"/>
        <v>-1.6758896203851537E-3</v>
      </c>
    </row>
    <row r="211" spans="10:21" x14ac:dyDescent="0.35">
      <c r="J211">
        <f t="shared" si="31"/>
        <v>208</v>
      </c>
      <c r="K211">
        <f>demanda!D209</f>
        <v>1</v>
      </c>
      <c r="L211">
        <f>demanda!I209</f>
        <v>20</v>
      </c>
      <c r="M211">
        <v>11.786175589530247</v>
      </c>
      <c r="N211">
        <f t="shared" si="24"/>
        <v>8.2138244104697531</v>
      </c>
      <c r="O211">
        <v>5.2058796926701797E-4</v>
      </c>
      <c r="P211">
        <f t="shared" si="25"/>
        <v>0.82760405571496498</v>
      </c>
      <c r="Q211">
        <f t="shared" si="26"/>
        <v>98.518289721788548</v>
      </c>
      <c r="R211">
        <f t="shared" si="27"/>
        <v>0.82775165224325964</v>
      </c>
      <c r="S211">
        <f t="shared" si="28"/>
        <v>0.40791408457502731</v>
      </c>
      <c r="T211">
        <f t="shared" si="29"/>
        <v>1.7846853020780289E-4</v>
      </c>
      <c r="U211">
        <f t="shared" si="30"/>
        <v>1.8891228177487809E-2</v>
      </c>
    </row>
    <row r="212" spans="10:21" x14ac:dyDescent="0.35">
      <c r="J212">
        <f t="shared" si="31"/>
        <v>209</v>
      </c>
      <c r="K212">
        <f>demanda!D210</f>
        <v>0</v>
      </c>
      <c r="L212">
        <f>demanda!I210</f>
        <v>4</v>
      </c>
      <c r="M212">
        <v>14.416809279416043</v>
      </c>
      <c r="N212">
        <f t="shared" si="24"/>
        <v>-10.416809279416043</v>
      </c>
      <c r="O212">
        <v>7.4087557083441532E-4</v>
      </c>
      <c r="P212">
        <f t="shared" si="25"/>
        <v>-1.0495712078121913</v>
      </c>
      <c r="Q212">
        <f t="shared" si="26"/>
        <v>98.49686724248096</v>
      </c>
      <c r="R212">
        <f t="shared" si="27"/>
        <v>-1.049988258586362</v>
      </c>
      <c r="S212">
        <f t="shared" si="28"/>
        <v>0.29385572056513598</v>
      </c>
      <c r="T212">
        <f t="shared" si="29"/>
        <v>4.0867949778204384E-4</v>
      </c>
      <c r="U212">
        <f t="shared" si="30"/>
        <v>-2.8590254333443563E-2</v>
      </c>
    </row>
    <row r="213" spans="10:21" x14ac:dyDescent="0.35">
      <c r="J213">
        <f t="shared" si="31"/>
        <v>210</v>
      </c>
      <c r="K213">
        <f>demanda!D211</f>
        <v>2</v>
      </c>
      <c r="L213">
        <f>demanda!I211</f>
        <v>4</v>
      </c>
      <c r="M213">
        <v>9.1555418996444509</v>
      </c>
      <c r="N213">
        <f t="shared" si="24"/>
        <v>-5.1555418996444509</v>
      </c>
      <c r="O213">
        <v>7.3144910189317154E-4</v>
      </c>
      <c r="P213">
        <f t="shared" si="25"/>
        <v>-0.51945928867380853</v>
      </c>
      <c r="Q213">
        <f t="shared" si="26"/>
        <v>98.539615573748293</v>
      </c>
      <c r="R213">
        <f t="shared" si="27"/>
        <v>-0.51955051447259837</v>
      </c>
      <c r="S213">
        <f t="shared" si="28"/>
        <v>0.60343681513546954</v>
      </c>
      <c r="T213">
        <f t="shared" si="29"/>
        <v>9.8830890695332879E-5</v>
      </c>
      <c r="U213">
        <f t="shared" si="30"/>
        <v>-1.4056549457229766E-2</v>
      </c>
    </row>
    <row r="214" spans="10:21" x14ac:dyDescent="0.35">
      <c r="J214">
        <f t="shared" si="31"/>
        <v>211</v>
      </c>
      <c r="K214">
        <f>demanda!D212</f>
        <v>0</v>
      </c>
      <c r="L214">
        <f>demanda!I212</f>
        <v>12</v>
      </c>
      <c r="M214">
        <v>14.416809279416043</v>
      </c>
      <c r="N214">
        <f t="shared" si="24"/>
        <v>-2.416809279416043</v>
      </c>
      <c r="O214">
        <v>7.4087557083441532E-4</v>
      </c>
      <c r="P214">
        <f t="shared" si="25"/>
        <v>-0.24351155583320885</v>
      </c>
      <c r="Q214">
        <f t="shared" si="26"/>
        <v>98.55043610055337</v>
      </c>
      <c r="R214">
        <f t="shared" si="27"/>
        <v>-0.24354209816225414</v>
      </c>
      <c r="S214">
        <f t="shared" si="28"/>
        <v>0.80761150818210881</v>
      </c>
      <c r="T214">
        <f t="shared" si="29"/>
        <v>2.199875915262289E-5</v>
      </c>
      <c r="U214">
        <f t="shared" si="30"/>
        <v>-6.6314365617133417E-3</v>
      </c>
    </row>
    <row r="215" spans="10:21" x14ac:dyDescent="0.35">
      <c r="J215">
        <f t="shared" si="31"/>
        <v>212</v>
      </c>
      <c r="K215">
        <f>demanda!D213</f>
        <v>4</v>
      </c>
      <c r="L215">
        <f>demanda!I213</f>
        <v>4</v>
      </c>
      <c r="M215">
        <v>3.8942745198728588</v>
      </c>
      <c r="N215">
        <f t="shared" si="24"/>
        <v>0.10572548012714122</v>
      </c>
      <c r="O215">
        <v>2.4466175697261316E-3</v>
      </c>
      <c r="P215">
        <f t="shared" si="25"/>
        <v>1.0652630464574285E-2</v>
      </c>
      <c r="Q215">
        <f t="shared" si="26"/>
        <v>98.553477858863673</v>
      </c>
      <c r="R215">
        <f t="shared" si="27"/>
        <v>1.0662906866275572E-2</v>
      </c>
      <c r="S215">
        <f t="shared" si="28"/>
        <v>0.99149350080457299</v>
      </c>
      <c r="T215">
        <f t="shared" si="29"/>
        <v>1.3950106623021426E-7</v>
      </c>
      <c r="U215">
        <f t="shared" si="30"/>
        <v>5.2806889669490694E-4</v>
      </c>
    </row>
    <row r="216" spans="10:21" x14ac:dyDescent="0.35">
      <c r="J216">
        <f t="shared" si="31"/>
        <v>213</v>
      </c>
      <c r="K216">
        <f>demanda!D214</f>
        <v>7</v>
      </c>
      <c r="L216">
        <f>demanda!I214</f>
        <v>3</v>
      </c>
      <c r="M216">
        <v>-3.9976265497845276</v>
      </c>
      <c r="N216">
        <f t="shared" si="24"/>
        <v>6.9976265497845276</v>
      </c>
      <c r="O216">
        <v>8.2529857779272044E-3</v>
      </c>
      <c r="P216">
        <f t="shared" si="25"/>
        <v>0.70506305267477554</v>
      </c>
      <c r="Q216">
        <f t="shared" si="26"/>
        <v>98.527741124179855</v>
      </c>
      <c r="R216">
        <f t="shared" si="27"/>
        <v>0.70789859014569123</v>
      </c>
      <c r="S216">
        <f t="shared" si="28"/>
        <v>0.47909420225731192</v>
      </c>
      <c r="T216">
        <f t="shared" si="29"/>
        <v>2.0856201387854977E-3</v>
      </c>
      <c r="U216">
        <f t="shared" si="30"/>
        <v>6.4576744160864535E-2</v>
      </c>
    </row>
    <row r="217" spans="10:21" x14ac:dyDescent="0.35">
      <c r="J217">
        <f t="shared" si="31"/>
        <v>214</v>
      </c>
      <c r="K217">
        <f>demanda!D215</f>
        <v>2</v>
      </c>
      <c r="L217">
        <f>demanda!I215</f>
        <v>10</v>
      </c>
      <c r="M217">
        <v>9.1555418996444509</v>
      </c>
      <c r="N217">
        <f t="shared" si="24"/>
        <v>0.84445810035554913</v>
      </c>
      <c r="O217">
        <v>7.3144910189317154E-4</v>
      </c>
      <c r="P217">
        <f t="shared" si="25"/>
        <v>8.5085450310428315E-2</v>
      </c>
      <c r="Q217">
        <f t="shared" si="26"/>
        <v>98.553111630408949</v>
      </c>
      <c r="R217">
        <f t="shared" si="27"/>
        <v>8.5094565641383624E-2</v>
      </c>
      <c r="S217">
        <f t="shared" si="28"/>
        <v>0.9321950870824135</v>
      </c>
      <c r="T217">
        <f t="shared" si="29"/>
        <v>2.6515528012122139E-6</v>
      </c>
      <c r="U217">
        <f t="shared" si="30"/>
        <v>2.3022515369728867E-3</v>
      </c>
    </row>
    <row r="218" spans="10:21" x14ac:dyDescent="0.35">
      <c r="J218">
        <f t="shared" si="31"/>
        <v>215</v>
      </c>
      <c r="K218">
        <f>demanda!D216</f>
        <v>2</v>
      </c>
      <c r="L218">
        <f>demanda!I216</f>
        <v>16</v>
      </c>
      <c r="M218">
        <v>9.1555418996444509</v>
      </c>
      <c r="N218">
        <f t="shared" si="24"/>
        <v>6.8444581003555491</v>
      </c>
      <c r="O218">
        <v>7.3144910189317154E-4</v>
      </c>
      <c r="P218">
        <f t="shared" si="25"/>
        <v>0.68963018929466513</v>
      </c>
      <c r="Q218">
        <f t="shared" si="26"/>
        <v>98.529041105794946</v>
      </c>
      <c r="R218">
        <f t="shared" si="27"/>
        <v>0.68978831219049463</v>
      </c>
      <c r="S218">
        <f t="shared" si="28"/>
        <v>0.49041072397177898</v>
      </c>
      <c r="T218">
        <f t="shared" si="29"/>
        <v>1.7418959375271301E-4</v>
      </c>
      <c r="U218">
        <f t="shared" si="30"/>
        <v>1.8662369211908676E-2</v>
      </c>
    </row>
    <row r="219" spans="10:21" x14ac:dyDescent="0.35">
      <c r="J219">
        <f t="shared" si="31"/>
        <v>216</v>
      </c>
      <c r="K219">
        <f>demanda!D217</f>
        <v>0</v>
      </c>
      <c r="L219">
        <f>demanda!I217</f>
        <v>12</v>
      </c>
      <c r="M219">
        <v>14.416809279416043</v>
      </c>
      <c r="N219">
        <f t="shared" si="24"/>
        <v>-2.416809279416043</v>
      </c>
      <c r="O219">
        <v>7.4087557083441532E-4</v>
      </c>
      <c r="P219">
        <f t="shared" si="25"/>
        <v>-0.24351155583320885</v>
      </c>
      <c r="Q219">
        <f t="shared" si="26"/>
        <v>98.55043610055337</v>
      </c>
      <c r="R219">
        <f t="shared" si="27"/>
        <v>-0.24354209816225414</v>
      </c>
      <c r="S219">
        <f t="shared" si="28"/>
        <v>0.80761150818210881</v>
      </c>
      <c r="T219">
        <f t="shared" si="29"/>
        <v>2.199875915262289E-5</v>
      </c>
      <c r="U219">
        <f t="shared" si="30"/>
        <v>-6.6314365617133417E-3</v>
      </c>
    </row>
    <row r="220" spans="10:21" x14ac:dyDescent="0.35">
      <c r="J220">
        <f t="shared" si="31"/>
        <v>217</v>
      </c>
      <c r="K220">
        <f>demanda!D218</f>
        <v>0</v>
      </c>
      <c r="L220">
        <f>demanda!I218</f>
        <v>24</v>
      </c>
      <c r="M220">
        <v>14.416809279416043</v>
      </c>
      <c r="N220">
        <f t="shared" si="24"/>
        <v>9.583190720583957</v>
      </c>
      <c r="O220">
        <v>7.4087557083441532E-4</v>
      </c>
      <c r="P220">
        <f t="shared" si="25"/>
        <v>0.96557792213526483</v>
      </c>
      <c r="Q220">
        <f t="shared" si="26"/>
        <v>98.505566268803875</v>
      </c>
      <c r="R220">
        <f t="shared" si="27"/>
        <v>0.9659189449099983</v>
      </c>
      <c r="S220">
        <f t="shared" si="28"/>
        <v>0.33420645107335933</v>
      </c>
      <c r="T220">
        <f t="shared" si="29"/>
        <v>3.4588656089781892E-4</v>
      </c>
      <c r="U220">
        <f t="shared" si="30"/>
        <v>2.6301121059818876E-2</v>
      </c>
    </row>
    <row r="221" spans="10:21" x14ac:dyDescent="0.35">
      <c r="J221">
        <f t="shared" si="31"/>
        <v>218</v>
      </c>
      <c r="K221">
        <f>demanda!D219</f>
        <v>0</v>
      </c>
      <c r="L221">
        <f>demanda!I219</f>
        <v>27</v>
      </c>
      <c r="M221">
        <v>14.416809279416043</v>
      </c>
      <c r="N221">
        <f t="shared" si="24"/>
        <v>12.583190720583957</v>
      </c>
      <c r="O221">
        <v>7.4087557083441532E-4</v>
      </c>
      <c r="P221">
        <f t="shared" si="25"/>
        <v>1.2678502916273833</v>
      </c>
      <c r="Q221">
        <f t="shared" si="26"/>
        <v>98.470869476080594</v>
      </c>
      <c r="R221">
        <f t="shared" si="27"/>
        <v>1.2685214974265175</v>
      </c>
      <c r="S221">
        <f t="shared" si="28"/>
        <v>0.20476563644072704</v>
      </c>
      <c r="T221">
        <f t="shared" si="29"/>
        <v>5.9634143190086687E-4</v>
      </c>
      <c r="U221">
        <f t="shared" si="30"/>
        <v>3.454072171025311E-2</v>
      </c>
    </row>
    <row r="222" spans="10:21" x14ac:dyDescent="0.35">
      <c r="J222">
        <f t="shared" si="31"/>
        <v>219</v>
      </c>
      <c r="K222">
        <f>demanda!D220</f>
        <v>0</v>
      </c>
      <c r="L222">
        <f>demanda!I220</f>
        <v>75</v>
      </c>
      <c r="M222">
        <v>14.416809279416043</v>
      </c>
      <c r="N222">
        <f t="shared" si="24"/>
        <v>60.583190720583957</v>
      </c>
      <c r="O222">
        <v>7.4087557083441532E-4</v>
      </c>
      <c r="P222">
        <f t="shared" si="25"/>
        <v>6.1042082035012779</v>
      </c>
      <c r="Q222">
        <f t="shared" si="26"/>
        <v>96.638444980155541</v>
      </c>
      <c r="R222">
        <f t="shared" si="27"/>
        <v>6.1650714565106481</v>
      </c>
      <c r="S222">
        <f t="shared" si="28"/>
        <v>8.5658733197453413E-10</v>
      </c>
      <c r="T222">
        <f t="shared" si="29"/>
        <v>1.3823490246780772E-2</v>
      </c>
      <c r="U222">
        <f t="shared" si="30"/>
        <v>0.16786945900023625</v>
      </c>
    </row>
    <row r="223" spans="10:21" x14ac:dyDescent="0.35">
      <c r="J223">
        <f t="shared" si="31"/>
        <v>220</v>
      </c>
      <c r="K223">
        <f>demanda!D221</f>
        <v>0</v>
      </c>
      <c r="L223">
        <f>demanda!I221</f>
        <v>25</v>
      </c>
      <c r="M223">
        <v>14.416809279416043</v>
      </c>
      <c r="N223">
        <f t="shared" si="24"/>
        <v>10.583190720583957</v>
      </c>
      <c r="O223">
        <v>7.4087557083441532E-4</v>
      </c>
      <c r="P223">
        <f t="shared" si="25"/>
        <v>1.0663353786326375</v>
      </c>
      <c r="Q223">
        <f t="shared" si="26"/>
        <v>98.49504419721994</v>
      </c>
      <c r="R223">
        <f t="shared" si="27"/>
        <v>1.0667689629874253</v>
      </c>
      <c r="S223">
        <f t="shared" si="28"/>
        <v>0.28621036416391138</v>
      </c>
      <c r="T223">
        <f t="shared" si="29"/>
        <v>4.2183894365142377E-4</v>
      </c>
      <c r="U223">
        <f t="shared" si="30"/>
        <v>2.9047178115969151E-2</v>
      </c>
    </row>
    <row r="224" spans="10:21" x14ac:dyDescent="0.35">
      <c r="J224">
        <f t="shared" si="31"/>
        <v>221</v>
      </c>
      <c r="K224">
        <f>demanda!D222</f>
        <v>0</v>
      </c>
      <c r="L224">
        <f>demanda!I222</f>
        <v>23</v>
      </c>
      <c r="M224">
        <v>14.416809279416043</v>
      </c>
      <c r="N224">
        <f t="shared" si="24"/>
        <v>8.583190720583957</v>
      </c>
      <c r="O224">
        <v>7.4087557083441532E-4</v>
      </c>
      <c r="P224">
        <f t="shared" si="25"/>
        <v>0.86482046563789194</v>
      </c>
      <c r="Q224">
        <f t="shared" si="26"/>
        <v>98.515044814397314</v>
      </c>
      <c r="R224">
        <f t="shared" si="27"/>
        <v>0.86508428320119957</v>
      </c>
      <c r="S224">
        <f t="shared" si="28"/>
        <v>0.38710065879826105</v>
      </c>
      <c r="T224">
        <f t="shared" si="29"/>
        <v>2.7746675239162511E-4</v>
      </c>
      <c r="U224">
        <f t="shared" si="30"/>
        <v>2.3555482144044106E-2</v>
      </c>
    </row>
    <row r="225" spans="10:21" x14ac:dyDescent="0.35">
      <c r="J225">
        <f t="shared" si="31"/>
        <v>222</v>
      </c>
      <c r="K225">
        <f>demanda!D223</f>
        <v>0</v>
      </c>
      <c r="L225">
        <f>demanda!I223</f>
        <v>14</v>
      </c>
      <c r="M225">
        <v>14.416809279416043</v>
      </c>
      <c r="N225">
        <f t="shared" si="24"/>
        <v>-0.41680927941604295</v>
      </c>
      <c r="O225">
        <v>7.4087557083441532E-4</v>
      </c>
      <c r="P225">
        <f t="shared" si="25"/>
        <v>-4.1996642838463258E-2</v>
      </c>
      <c r="Q225">
        <f t="shared" si="26"/>
        <v>98.553393055166637</v>
      </c>
      <c r="R225">
        <f t="shared" si="27"/>
        <v>-4.2001280140228352E-2</v>
      </c>
      <c r="S225">
        <f t="shared" si="28"/>
        <v>0.96650204701357412</v>
      </c>
      <c r="T225">
        <f t="shared" si="29"/>
        <v>6.5431696937827154E-7</v>
      </c>
      <c r="U225">
        <f t="shared" si="30"/>
        <v>-1.1436578187608104E-3</v>
      </c>
    </row>
    <row r="226" spans="10:21" x14ac:dyDescent="0.35">
      <c r="J226">
        <f t="shared" si="31"/>
        <v>223</v>
      </c>
      <c r="K226">
        <f>demanda!D224</f>
        <v>0</v>
      </c>
      <c r="L226">
        <f>demanda!I224</f>
        <v>63</v>
      </c>
      <c r="M226">
        <v>14.416809279416043</v>
      </c>
      <c r="N226">
        <f t="shared" si="24"/>
        <v>48.583190720583957</v>
      </c>
      <c r="O226">
        <v>7.4087557083441532E-4</v>
      </c>
      <c r="P226">
        <f t="shared" si="25"/>
        <v>4.8951187255328046</v>
      </c>
      <c r="Q226">
        <f t="shared" si="26"/>
        <v>97.32195271808142</v>
      </c>
      <c r="R226">
        <f t="shared" si="27"/>
        <v>4.926534919709729</v>
      </c>
      <c r="S226">
        <f t="shared" si="28"/>
        <v>9.0879469420199841E-7</v>
      </c>
      <c r="T226">
        <f t="shared" si="29"/>
        <v>8.8896670056200066E-3</v>
      </c>
      <c r="U226">
        <f t="shared" si="30"/>
        <v>0.13414520132513183</v>
      </c>
    </row>
    <row r="227" spans="10:21" x14ac:dyDescent="0.35">
      <c r="J227">
        <f t="shared" si="31"/>
        <v>224</v>
      </c>
      <c r="K227">
        <f>demanda!D225</f>
        <v>5</v>
      </c>
      <c r="L227">
        <f>demanda!I225</f>
        <v>2</v>
      </c>
      <c r="M227">
        <v>1.2636408299870627</v>
      </c>
      <c r="N227">
        <f t="shared" si="24"/>
        <v>0.73635917001293727</v>
      </c>
      <c r="O227">
        <v>3.9509249049329382E-3</v>
      </c>
      <c r="P227">
        <f t="shared" si="25"/>
        <v>7.4193677039020078E-2</v>
      </c>
      <c r="Q227">
        <f t="shared" si="26"/>
        <v>98.553199876422468</v>
      </c>
      <c r="R227">
        <f t="shared" si="27"/>
        <v>7.4321414457959423E-2</v>
      </c>
      <c r="S227">
        <f t="shared" si="28"/>
        <v>0.94076238398569867</v>
      </c>
      <c r="T227">
        <f t="shared" si="29"/>
        <v>1.0960770814463366E-5</v>
      </c>
      <c r="U227">
        <f t="shared" si="30"/>
        <v>4.680831262592092E-3</v>
      </c>
    </row>
    <row r="228" spans="10:21" x14ac:dyDescent="0.35">
      <c r="J228">
        <f t="shared" si="31"/>
        <v>225</v>
      </c>
      <c r="K228">
        <f>demanda!D226</f>
        <v>0</v>
      </c>
      <c r="L228">
        <f>demanda!I226</f>
        <v>4</v>
      </c>
      <c r="M228">
        <v>14.416809279416043</v>
      </c>
      <c r="N228">
        <f t="shared" si="24"/>
        <v>-10.416809279416043</v>
      </c>
      <c r="O228">
        <v>7.4087557083441532E-4</v>
      </c>
      <c r="P228">
        <f t="shared" si="25"/>
        <v>-1.0495712078121913</v>
      </c>
      <c r="Q228">
        <f t="shared" si="26"/>
        <v>98.49686724248096</v>
      </c>
      <c r="R228">
        <f t="shared" si="27"/>
        <v>-1.049988258586362</v>
      </c>
      <c r="S228">
        <f t="shared" si="28"/>
        <v>0.29385572056513598</v>
      </c>
      <c r="T228">
        <f t="shared" si="29"/>
        <v>4.0867949778204384E-4</v>
      </c>
      <c r="U228">
        <f t="shared" si="30"/>
        <v>-2.8590254333443563E-2</v>
      </c>
    </row>
    <row r="229" spans="10:21" x14ac:dyDescent="0.35">
      <c r="J229">
        <f t="shared" si="31"/>
        <v>226</v>
      </c>
      <c r="K229">
        <f>demanda!D227</f>
        <v>2</v>
      </c>
      <c r="L229">
        <f>demanda!I227</f>
        <v>4</v>
      </c>
      <c r="M229">
        <v>9.1555418996444509</v>
      </c>
      <c r="N229">
        <f t="shared" si="24"/>
        <v>-5.1555418996444509</v>
      </c>
      <c r="O229">
        <v>7.3144910189317154E-4</v>
      </c>
      <c r="P229">
        <f t="shared" si="25"/>
        <v>-0.51945928867380853</v>
      </c>
      <c r="Q229">
        <f t="shared" si="26"/>
        <v>98.539615573748293</v>
      </c>
      <c r="R229">
        <f t="shared" si="27"/>
        <v>-0.51955051447259837</v>
      </c>
      <c r="S229">
        <f t="shared" si="28"/>
        <v>0.60343681513546954</v>
      </c>
      <c r="T229">
        <f t="shared" si="29"/>
        <v>9.8830890695332879E-5</v>
      </c>
      <c r="U229">
        <f t="shared" si="30"/>
        <v>-1.4056549457229766E-2</v>
      </c>
    </row>
    <row r="230" spans="10:21" x14ac:dyDescent="0.35">
      <c r="J230">
        <f t="shared" si="31"/>
        <v>227</v>
      </c>
      <c r="K230">
        <f>demanda!D228</f>
        <v>3</v>
      </c>
      <c r="L230">
        <f>demanda!I228</f>
        <v>4</v>
      </c>
      <c r="M230">
        <v>6.5249082097586548</v>
      </c>
      <c r="N230">
        <f t="shared" si="24"/>
        <v>-2.5249082097586548</v>
      </c>
      <c r="O230">
        <v>1.3734589687128761E-3</v>
      </c>
      <c r="P230">
        <f t="shared" si="25"/>
        <v>-0.2544033291046171</v>
      </c>
      <c r="Q230">
        <f t="shared" si="26"/>
        <v>98.550155270625524</v>
      </c>
      <c r="R230">
        <f t="shared" si="27"/>
        <v>-0.25451617384299874</v>
      </c>
      <c r="S230">
        <f t="shared" si="28"/>
        <v>0.79912408038987892</v>
      </c>
      <c r="T230">
        <f t="shared" si="29"/>
        <v>4.4568197050885148E-5</v>
      </c>
      <c r="U230">
        <f t="shared" si="30"/>
        <v>-9.4389063786870474E-3</v>
      </c>
    </row>
    <row r="231" spans="10:21" x14ac:dyDescent="0.35">
      <c r="J231">
        <f t="shared" si="31"/>
        <v>228</v>
      </c>
      <c r="K231">
        <f>demanda!D229</f>
        <v>1</v>
      </c>
      <c r="L231">
        <f>demanda!I229</f>
        <v>18</v>
      </c>
      <c r="M231">
        <v>11.786175589530247</v>
      </c>
      <c r="N231">
        <f t="shared" si="24"/>
        <v>6.2138244104697531</v>
      </c>
      <c r="O231">
        <v>5.2058796926701797E-4</v>
      </c>
      <c r="P231">
        <f t="shared" si="25"/>
        <v>0.62608914272021932</v>
      </c>
      <c r="Q231">
        <f t="shared" si="26"/>
        <v>98.53334203001944</v>
      </c>
      <c r="R231">
        <f t="shared" si="27"/>
        <v>0.62615296851250979</v>
      </c>
      <c r="S231">
        <f t="shared" si="28"/>
        <v>0.53128908033538147</v>
      </c>
      <c r="T231">
        <f t="shared" si="29"/>
        <v>1.0213833443510235E-4</v>
      </c>
      <c r="U231">
        <f t="shared" si="30"/>
        <v>1.4290274830771242E-2</v>
      </c>
    </row>
    <row r="232" spans="10:21" x14ac:dyDescent="0.35">
      <c r="J232">
        <f t="shared" si="31"/>
        <v>229</v>
      </c>
      <c r="K232">
        <f>demanda!D230</f>
        <v>4</v>
      </c>
      <c r="L232">
        <f>demanda!I230</f>
        <v>6</v>
      </c>
      <c r="M232">
        <v>3.8942745198728588</v>
      </c>
      <c r="N232">
        <f t="shared" si="24"/>
        <v>2.1057254801271412</v>
      </c>
      <c r="O232">
        <v>2.4466175697261316E-3</v>
      </c>
      <c r="P232">
        <f t="shared" si="25"/>
        <v>0.2121675434593199</v>
      </c>
      <c r="Q232">
        <f t="shared" si="26"/>
        <v>98.551166206303606</v>
      </c>
      <c r="R232">
        <f t="shared" si="27"/>
        <v>0.21237470841218797</v>
      </c>
      <c r="S232">
        <f t="shared" si="28"/>
        <v>0.8318372705485767</v>
      </c>
      <c r="T232">
        <f t="shared" si="29"/>
        <v>5.5337775798269256E-5</v>
      </c>
      <c r="U232">
        <f t="shared" si="30"/>
        <v>1.0517627075204759E-2</v>
      </c>
    </row>
    <row r="233" spans="10:21" x14ac:dyDescent="0.35">
      <c r="J233">
        <f t="shared" si="31"/>
        <v>230</v>
      </c>
      <c r="K233">
        <f>demanda!D231</f>
        <v>1</v>
      </c>
      <c r="L233">
        <f>demanda!I231</f>
        <v>9</v>
      </c>
      <c r="M233">
        <v>11.786175589530247</v>
      </c>
      <c r="N233">
        <f t="shared" si="24"/>
        <v>-2.7861755895302469</v>
      </c>
      <c r="O233">
        <v>5.2058796926701797E-4</v>
      </c>
      <c r="P233">
        <f t="shared" si="25"/>
        <v>-0.2807279657561359</v>
      </c>
      <c r="Q233">
        <f t="shared" si="26"/>
        <v>98.549434265310296</v>
      </c>
      <c r="R233">
        <f t="shared" si="27"/>
        <v>-0.2807336607336009</v>
      </c>
      <c r="S233">
        <f t="shared" si="28"/>
        <v>0.77894495126310248</v>
      </c>
      <c r="T233">
        <f t="shared" si="29"/>
        <v>2.0534672635962656E-5</v>
      </c>
      <c r="U233">
        <f t="shared" si="30"/>
        <v>-6.4069985576559628E-3</v>
      </c>
    </row>
    <row r="234" spans="10:21" x14ac:dyDescent="0.35">
      <c r="J234">
        <f t="shared" si="31"/>
        <v>231</v>
      </c>
      <c r="K234">
        <f>demanda!D232</f>
        <v>0</v>
      </c>
      <c r="L234">
        <f>demanda!I232</f>
        <v>7</v>
      </c>
      <c r="M234">
        <v>14.416809279416043</v>
      </c>
      <c r="N234">
        <f t="shared" si="24"/>
        <v>-7.416809279416043</v>
      </c>
      <c r="O234">
        <v>7.4087557083441532E-4</v>
      </c>
      <c r="P234">
        <f t="shared" si="25"/>
        <v>-0.74729883832007293</v>
      </c>
      <c r="Q234">
        <f t="shared" si="26"/>
        <v>98.524782009186751</v>
      </c>
      <c r="R234">
        <f t="shared" si="27"/>
        <v>-0.74748986544241569</v>
      </c>
      <c r="S234">
        <f t="shared" si="28"/>
        <v>0.45485950007005715</v>
      </c>
      <c r="T234">
        <f t="shared" si="29"/>
        <v>2.0717991394042799E-4</v>
      </c>
      <c r="U234">
        <f t="shared" si="30"/>
        <v>-2.0353489850869988E-2</v>
      </c>
    </row>
    <row r="235" spans="10:21" x14ac:dyDescent="0.35">
      <c r="J235">
        <f t="shared" si="31"/>
        <v>232</v>
      </c>
      <c r="K235">
        <f>demanda!D233</f>
        <v>0</v>
      </c>
      <c r="L235">
        <f>demanda!I233</f>
        <v>24</v>
      </c>
      <c r="M235">
        <v>14.416809279416043</v>
      </c>
      <c r="N235">
        <f t="shared" si="24"/>
        <v>9.583190720583957</v>
      </c>
      <c r="O235">
        <v>7.4087557083441532E-4</v>
      </c>
      <c r="P235">
        <f t="shared" si="25"/>
        <v>0.96557792213526483</v>
      </c>
      <c r="Q235">
        <f t="shared" si="26"/>
        <v>98.505566268803875</v>
      </c>
      <c r="R235">
        <f t="shared" si="27"/>
        <v>0.9659189449099983</v>
      </c>
      <c r="S235">
        <f t="shared" si="28"/>
        <v>0.33420645107335933</v>
      </c>
      <c r="T235">
        <f t="shared" si="29"/>
        <v>3.4588656089781892E-4</v>
      </c>
      <c r="U235">
        <f t="shared" si="30"/>
        <v>2.6301121059818876E-2</v>
      </c>
    </row>
    <row r="236" spans="10:21" x14ac:dyDescent="0.35">
      <c r="J236">
        <f t="shared" si="31"/>
        <v>233</v>
      </c>
      <c r="K236">
        <f>demanda!D234</f>
        <v>0</v>
      </c>
      <c r="L236">
        <f>demanda!I234</f>
        <v>12</v>
      </c>
      <c r="M236">
        <v>14.416809279416043</v>
      </c>
      <c r="N236">
        <f t="shared" si="24"/>
        <v>-2.416809279416043</v>
      </c>
      <c r="O236">
        <v>7.4087557083441532E-4</v>
      </c>
      <c r="P236">
        <f t="shared" si="25"/>
        <v>-0.24351155583320885</v>
      </c>
      <c r="Q236">
        <f t="shared" si="26"/>
        <v>98.55043610055337</v>
      </c>
      <c r="R236">
        <f t="shared" si="27"/>
        <v>-0.24354209816225414</v>
      </c>
      <c r="S236">
        <f t="shared" si="28"/>
        <v>0.80761150818210881</v>
      </c>
      <c r="T236">
        <f t="shared" si="29"/>
        <v>2.199875915262289E-5</v>
      </c>
      <c r="U236">
        <f t="shared" si="30"/>
        <v>-6.6314365617133417E-3</v>
      </c>
    </row>
    <row r="237" spans="10:21" x14ac:dyDescent="0.35">
      <c r="J237">
        <f t="shared" si="31"/>
        <v>234</v>
      </c>
      <c r="K237">
        <f>demanda!D235</f>
        <v>0</v>
      </c>
      <c r="L237">
        <f>demanda!I235</f>
        <v>4</v>
      </c>
      <c r="M237">
        <v>14.416809279416043</v>
      </c>
      <c r="N237">
        <f t="shared" si="24"/>
        <v>-10.416809279416043</v>
      </c>
      <c r="O237">
        <v>7.4087557083441532E-4</v>
      </c>
      <c r="P237">
        <f t="shared" si="25"/>
        <v>-1.0495712078121913</v>
      </c>
      <c r="Q237">
        <f t="shared" si="26"/>
        <v>98.49686724248096</v>
      </c>
      <c r="R237">
        <f t="shared" si="27"/>
        <v>-1.049988258586362</v>
      </c>
      <c r="S237">
        <f t="shared" si="28"/>
        <v>0.29385572056513598</v>
      </c>
      <c r="T237">
        <f t="shared" si="29"/>
        <v>4.0867949778204384E-4</v>
      </c>
      <c r="U237">
        <f t="shared" si="30"/>
        <v>-2.8590254333443563E-2</v>
      </c>
    </row>
    <row r="238" spans="10:21" x14ac:dyDescent="0.35">
      <c r="J238">
        <f t="shared" si="31"/>
        <v>235</v>
      </c>
      <c r="K238">
        <f>demanda!D236</f>
        <v>0</v>
      </c>
      <c r="L238">
        <f>demanda!I236</f>
        <v>15</v>
      </c>
      <c r="M238">
        <v>14.416809279416043</v>
      </c>
      <c r="N238">
        <f t="shared" si="24"/>
        <v>0.58319072058395705</v>
      </c>
      <c r="O238">
        <v>7.4087557083441532E-4</v>
      </c>
      <c r="P238">
        <f t="shared" si="25"/>
        <v>5.8760813658909554E-2</v>
      </c>
      <c r="Q238">
        <f t="shared" si="26"/>
        <v>98.553306243487526</v>
      </c>
      <c r="R238">
        <f t="shared" si="27"/>
        <v>5.8767327956256402E-2</v>
      </c>
      <c r="S238">
        <f t="shared" si="28"/>
        <v>0.95314355069247325</v>
      </c>
      <c r="T238">
        <f t="shared" si="29"/>
        <v>1.2809572488725558E-6</v>
      </c>
      <c r="U238">
        <f t="shared" si="30"/>
        <v>1.6001825154010173E-3</v>
      </c>
    </row>
    <row r="239" spans="10:21" x14ac:dyDescent="0.35">
      <c r="J239">
        <f t="shared" si="31"/>
        <v>236</v>
      </c>
      <c r="K239">
        <f>demanda!D237</f>
        <v>0</v>
      </c>
      <c r="L239">
        <f>demanda!I237</f>
        <v>3</v>
      </c>
      <c r="M239">
        <v>14.416809279416043</v>
      </c>
      <c r="N239">
        <f t="shared" si="24"/>
        <v>-11.416809279416043</v>
      </c>
      <c r="O239">
        <v>7.4087557083441532E-4</v>
      </c>
      <c r="P239">
        <f t="shared" si="25"/>
        <v>-1.150328664309564</v>
      </c>
      <c r="Q239">
        <f t="shared" si="26"/>
        <v>98.485475268264722</v>
      </c>
      <c r="R239">
        <f t="shared" si="27"/>
        <v>-1.1508523061099405</v>
      </c>
      <c r="S239">
        <f t="shared" si="28"/>
        <v>0.24993638008158123</v>
      </c>
      <c r="T239">
        <f t="shared" si="29"/>
        <v>4.9091117422407117E-4</v>
      </c>
      <c r="U239">
        <f t="shared" si="30"/>
        <v>-3.1336693399040466E-2</v>
      </c>
    </row>
    <row r="240" spans="10:21" x14ac:dyDescent="0.35">
      <c r="J240">
        <f t="shared" si="31"/>
        <v>237</v>
      </c>
      <c r="K240">
        <f>demanda!D238</f>
        <v>4</v>
      </c>
      <c r="L240">
        <f>demanda!I238</f>
        <v>3</v>
      </c>
      <c r="M240">
        <v>3.8942745198728588</v>
      </c>
      <c r="N240">
        <f t="shared" si="24"/>
        <v>-0.89427451987285878</v>
      </c>
      <c r="O240">
        <v>2.4466175697261316E-3</v>
      </c>
      <c r="P240">
        <f t="shared" si="25"/>
        <v>-9.0104826032798527E-2</v>
      </c>
      <c r="Q240">
        <f t="shared" si="26"/>
        <v>98.553065719630368</v>
      </c>
      <c r="R240">
        <f t="shared" si="27"/>
        <v>-9.0191937130002245E-2</v>
      </c>
      <c r="S240">
        <f t="shared" si="28"/>
        <v>0.92814410376796586</v>
      </c>
      <c r="T240">
        <f t="shared" si="29"/>
        <v>9.9806748742546123E-6</v>
      </c>
      <c r="U240">
        <f t="shared" si="30"/>
        <v>-4.4666578568412878E-3</v>
      </c>
    </row>
    <row r="241" spans="10:21" x14ac:dyDescent="0.35">
      <c r="J241">
        <f t="shared" si="31"/>
        <v>238</v>
      </c>
      <c r="K241">
        <f>demanda!D239</f>
        <v>4</v>
      </c>
      <c r="L241">
        <f>demanda!I239</f>
        <v>3</v>
      </c>
      <c r="M241">
        <v>3.8942745198728588</v>
      </c>
      <c r="N241">
        <f t="shared" si="24"/>
        <v>-0.89427451987285878</v>
      </c>
      <c r="O241">
        <v>2.4466175697261316E-3</v>
      </c>
      <c r="P241">
        <f t="shared" si="25"/>
        <v>-9.0104826032798527E-2</v>
      </c>
      <c r="Q241">
        <f t="shared" si="26"/>
        <v>98.553065719630368</v>
      </c>
      <c r="R241">
        <f t="shared" si="27"/>
        <v>-9.0191937130002245E-2</v>
      </c>
      <c r="S241">
        <f t="shared" si="28"/>
        <v>0.92814410376796586</v>
      </c>
      <c r="T241">
        <f t="shared" si="29"/>
        <v>9.9806748742546123E-6</v>
      </c>
      <c r="U241">
        <f t="shared" si="30"/>
        <v>-4.4666578568412878E-3</v>
      </c>
    </row>
    <row r="242" spans="10:21" x14ac:dyDescent="0.35">
      <c r="J242">
        <f t="shared" si="31"/>
        <v>239</v>
      </c>
      <c r="K242">
        <f>demanda!D240</f>
        <v>0</v>
      </c>
      <c r="L242">
        <f>demanda!I240</f>
        <v>9</v>
      </c>
      <c r="M242">
        <v>14.416809279416043</v>
      </c>
      <c r="N242">
        <f t="shared" si="24"/>
        <v>-5.416809279416043</v>
      </c>
      <c r="O242">
        <v>7.4087557083441532E-4</v>
      </c>
      <c r="P242">
        <f t="shared" si="25"/>
        <v>-0.54578392532532727</v>
      </c>
      <c r="Q242">
        <f t="shared" si="26"/>
        <v>98.538174223704843</v>
      </c>
      <c r="R242">
        <f t="shared" si="27"/>
        <v>-0.54588634131956315</v>
      </c>
      <c r="S242">
        <f t="shared" si="28"/>
        <v>0.58520751823074413</v>
      </c>
      <c r="T242">
        <f t="shared" si="29"/>
        <v>1.1050972928307278E-4</v>
      </c>
      <c r="U242">
        <f t="shared" si="30"/>
        <v>-1.4864003676090257E-2</v>
      </c>
    </row>
    <row r="243" spans="10:21" x14ac:dyDescent="0.35">
      <c r="J243">
        <f t="shared" si="31"/>
        <v>240</v>
      </c>
      <c r="K243">
        <f>demanda!D241</f>
        <v>0</v>
      </c>
      <c r="L243">
        <f>demanda!I241</f>
        <v>3</v>
      </c>
      <c r="M243">
        <v>14.416809279416043</v>
      </c>
      <c r="N243">
        <f t="shared" si="24"/>
        <v>-11.416809279416043</v>
      </c>
      <c r="O243">
        <v>7.4087557083441532E-4</v>
      </c>
      <c r="P243">
        <f t="shared" si="25"/>
        <v>-1.150328664309564</v>
      </c>
      <c r="Q243">
        <f t="shared" si="26"/>
        <v>98.485475268264722</v>
      </c>
      <c r="R243">
        <f t="shared" si="27"/>
        <v>-1.1508523061099405</v>
      </c>
      <c r="S243">
        <f t="shared" si="28"/>
        <v>0.24993638008158123</v>
      </c>
      <c r="T243">
        <f t="shared" si="29"/>
        <v>4.9091117422407117E-4</v>
      </c>
      <c r="U243">
        <f t="shared" si="30"/>
        <v>-3.1336693399040466E-2</v>
      </c>
    </row>
    <row r="244" spans="10:21" x14ac:dyDescent="0.35">
      <c r="J244">
        <f t="shared" si="31"/>
        <v>241</v>
      </c>
      <c r="K244">
        <f>demanda!D242</f>
        <v>2</v>
      </c>
      <c r="L244">
        <f>demanda!I242</f>
        <v>4</v>
      </c>
      <c r="M244">
        <v>9.1555418996444509</v>
      </c>
      <c r="N244">
        <f t="shared" si="24"/>
        <v>-5.1555418996444509</v>
      </c>
      <c r="O244">
        <v>7.3144910189317154E-4</v>
      </c>
      <c r="P244">
        <f t="shared" si="25"/>
        <v>-0.51945928867380853</v>
      </c>
      <c r="Q244">
        <f t="shared" si="26"/>
        <v>98.539615573748293</v>
      </c>
      <c r="R244">
        <f t="shared" si="27"/>
        <v>-0.51955051447259837</v>
      </c>
      <c r="S244">
        <f t="shared" si="28"/>
        <v>0.60343681513546954</v>
      </c>
      <c r="T244">
        <f t="shared" si="29"/>
        <v>9.8830890695332879E-5</v>
      </c>
      <c r="U244">
        <f t="shared" si="30"/>
        <v>-1.4056549457229766E-2</v>
      </c>
    </row>
    <row r="245" spans="10:21" x14ac:dyDescent="0.35">
      <c r="J245">
        <f t="shared" si="31"/>
        <v>242</v>
      </c>
      <c r="K245">
        <f>demanda!D243</f>
        <v>2</v>
      </c>
      <c r="L245">
        <f>demanda!I243</f>
        <v>6</v>
      </c>
      <c r="M245">
        <v>9.1555418996444509</v>
      </c>
      <c r="N245">
        <f t="shared" si="24"/>
        <v>-3.1555418996444509</v>
      </c>
      <c r="O245">
        <v>7.3144910189317154E-4</v>
      </c>
      <c r="P245">
        <f t="shared" si="25"/>
        <v>-0.31794437567906292</v>
      </c>
      <c r="Q245">
        <f t="shared" si="26"/>
        <v>98.548288323887917</v>
      </c>
      <c r="R245">
        <f t="shared" si="27"/>
        <v>-0.31798621894046453</v>
      </c>
      <c r="S245">
        <f t="shared" si="28"/>
        <v>0.7505299890935464</v>
      </c>
      <c r="T245">
        <f t="shared" si="29"/>
        <v>3.702473597000139E-5</v>
      </c>
      <c r="U245">
        <f t="shared" si="30"/>
        <v>-8.6031846543188698E-3</v>
      </c>
    </row>
    <row r="246" spans="10:21" x14ac:dyDescent="0.35">
      <c r="J246">
        <f t="shared" si="31"/>
        <v>243</v>
      </c>
      <c r="K246">
        <f>demanda!D244</f>
        <v>1</v>
      </c>
      <c r="L246">
        <f>demanda!I244</f>
        <v>15</v>
      </c>
      <c r="M246">
        <v>11.786175589530247</v>
      </c>
      <c r="N246">
        <f t="shared" si="24"/>
        <v>3.2138244104697531</v>
      </c>
      <c r="O246">
        <v>5.2058796926701797E-4</v>
      </c>
      <c r="P246">
        <f t="shared" si="25"/>
        <v>0.32381677322810093</v>
      </c>
      <c r="Q246">
        <f t="shared" si="26"/>
        <v>98.548095772403954</v>
      </c>
      <c r="R246">
        <f t="shared" si="27"/>
        <v>0.3238255414227269</v>
      </c>
      <c r="S246">
        <f t="shared" si="28"/>
        <v>0.74610540567370975</v>
      </c>
      <c r="T246">
        <f t="shared" si="29"/>
        <v>2.7322164893932259E-5</v>
      </c>
      <c r="U246">
        <f t="shared" si="30"/>
        <v>7.390456033686617E-3</v>
      </c>
    </row>
    <row r="247" spans="10:21" x14ac:dyDescent="0.35">
      <c r="J247">
        <f t="shared" si="31"/>
        <v>244</v>
      </c>
      <c r="K247">
        <f>demanda!D245</f>
        <v>0</v>
      </c>
      <c r="L247">
        <f>demanda!I245</f>
        <v>15</v>
      </c>
      <c r="M247">
        <v>14.416809279416043</v>
      </c>
      <c r="N247">
        <f t="shared" si="24"/>
        <v>0.58319072058395705</v>
      </c>
      <c r="O247">
        <v>7.4087557083441532E-4</v>
      </c>
      <c r="P247">
        <f t="shared" si="25"/>
        <v>5.8760813658909554E-2</v>
      </c>
      <c r="Q247">
        <f t="shared" si="26"/>
        <v>98.553306243487526</v>
      </c>
      <c r="R247">
        <f t="shared" si="27"/>
        <v>5.8767327956256402E-2</v>
      </c>
      <c r="S247">
        <f t="shared" si="28"/>
        <v>0.95314355069247325</v>
      </c>
      <c r="T247">
        <f t="shared" si="29"/>
        <v>1.2809572488725558E-6</v>
      </c>
      <c r="U247">
        <f t="shared" si="30"/>
        <v>1.6001825154010173E-3</v>
      </c>
    </row>
    <row r="248" spans="10:21" x14ac:dyDescent="0.35">
      <c r="J248">
        <f t="shared" si="31"/>
        <v>245</v>
      </c>
      <c r="K248">
        <f>demanda!D246</f>
        <v>0</v>
      </c>
      <c r="L248">
        <f>demanda!I246</f>
        <v>15</v>
      </c>
      <c r="M248">
        <v>14.416809279416043</v>
      </c>
      <c r="N248">
        <f t="shared" si="24"/>
        <v>0.58319072058395705</v>
      </c>
      <c r="O248">
        <v>7.4087557083441532E-4</v>
      </c>
      <c r="P248">
        <f t="shared" si="25"/>
        <v>5.8760813658909554E-2</v>
      </c>
      <c r="Q248">
        <f t="shared" si="26"/>
        <v>98.553306243487526</v>
      </c>
      <c r="R248">
        <f t="shared" si="27"/>
        <v>5.8767327956256402E-2</v>
      </c>
      <c r="S248">
        <f t="shared" si="28"/>
        <v>0.95314355069247325</v>
      </c>
      <c r="T248">
        <f t="shared" si="29"/>
        <v>1.2809572488725558E-6</v>
      </c>
      <c r="U248">
        <f t="shared" si="30"/>
        <v>1.6001825154010173E-3</v>
      </c>
    </row>
    <row r="249" spans="10:21" x14ac:dyDescent="0.35">
      <c r="J249">
        <f t="shared" si="31"/>
        <v>246</v>
      </c>
      <c r="K249">
        <f>demanda!D247</f>
        <v>2</v>
      </c>
      <c r="L249">
        <f>demanda!I247</f>
        <v>11</v>
      </c>
      <c r="M249">
        <v>9.1555418996444509</v>
      </c>
      <c r="N249">
        <f t="shared" si="24"/>
        <v>1.8444581003555491</v>
      </c>
      <c r="O249">
        <v>7.3144910189317154E-4</v>
      </c>
      <c r="P249">
        <f t="shared" si="25"/>
        <v>0.18584290680780113</v>
      </c>
      <c r="Q249">
        <f t="shared" si="26"/>
        <v>98.551708666672923</v>
      </c>
      <c r="R249">
        <f t="shared" si="27"/>
        <v>0.18586413938454407</v>
      </c>
      <c r="S249">
        <f t="shared" si="28"/>
        <v>0.85257094830757985</v>
      </c>
      <c r="T249">
        <f t="shared" si="29"/>
        <v>1.2649741651071969E-5</v>
      </c>
      <c r="U249">
        <f t="shared" si="30"/>
        <v>5.0285937455694357E-3</v>
      </c>
    </row>
    <row r="250" spans="10:21" x14ac:dyDescent="0.35">
      <c r="J250">
        <f t="shared" si="31"/>
        <v>247</v>
      </c>
      <c r="K250">
        <f>demanda!D248</f>
        <v>0</v>
      </c>
      <c r="L250">
        <f>demanda!I248</f>
        <v>15</v>
      </c>
      <c r="M250">
        <v>14.416809279416043</v>
      </c>
      <c r="N250">
        <f t="shared" si="24"/>
        <v>0.58319072058395705</v>
      </c>
      <c r="O250">
        <v>7.4087557083441532E-4</v>
      </c>
      <c r="P250">
        <f t="shared" si="25"/>
        <v>5.8760813658909554E-2</v>
      </c>
      <c r="Q250">
        <f t="shared" si="26"/>
        <v>98.553306243487526</v>
      </c>
      <c r="R250">
        <f t="shared" si="27"/>
        <v>5.8767327956256402E-2</v>
      </c>
      <c r="S250">
        <f t="shared" si="28"/>
        <v>0.95314355069247325</v>
      </c>
      <c r="T250">
        <f t="shared" si="29"/>
        <v>1.2809572488725558E-6</v>
      </c>
      <c r="U250">
        <f t="shared" si="30"/>
        <v>1.6001825154010173E-3</v>
      </c>
    </row>
    <row r="251" spans="10:21" x14ac:dyDescent="0.35">
      <c r="J251">
        <f t="shared" si="31"/>
        <v>248</v>
      </c>
      <c r="K251">
        <f>demanda!D249</f>
        <v>1</v>
      </c>
      <c r="L251">
        <f>demanda!I249</f>
        <v>15</v>
      </c>
      <c r="M251">
        <v>11.786175589530247</v>
      </c>
      <c r="N251">
        <f t="shared" si="24"/>
        <v>3.2138244104697531</v>
      </c>
      <c r="O251">
        <v>5.2058796926701797E-4</v>
      </c>
      <c r="P251">
        <f t="shared" si="25"/>
        <v>0.32381677322810093</v>
      </c>
      <c r="Q251">
        <f t="shared" si="26"/>
        <v>98.548095772403954</v>
      </c>
      <c r="R251">
        <f t="shared" si="27"/>
        <v>0.3238255414227269</v>
      </c>
      <c r="S251">
        <f t="shared" si="28"/>
        <v>0.74610540567370975</v>
      </c>
      <c r="T251">
        <f t="shared" si="29"/>
        <v>2.7322164893932259E-5</v>
      </c>
      <c r="U251">
        <f t="shared" si="30"/>
        <v>7.390456033686617E-3</v>
      </c>
    </row>
    <row r="252" spans="10:21" x14ac:dyDescent="0.35">
      <c r="J252">
        <f t="shared" si="31"/>
        <v>249</v>
      </c>
      <c r="K252">
        <f>demanda!D250</f>
        <v>0</v>
      </c>
      <c r="L252">
        <f>demanda!I250</f>
        <v>15</v>
      </c>
      <c r="M252">
        <v>14.416809279416043</v>
      </c>
      <c r="N252">
        <f t="shared" si="24"/>
        <v>0.58319072058395705</v>
      </c>
      <c r="O252">
        <v>7.4087557083441532E-4</v>
      </c>
      <c r="P252">
        <f t="shared" si="25"/>
        <v>5.8760813658909554E-2</v>
      </c>
      <c r="Q252">
        <f t="shared" si="26"/>
        <v>98.553306243487526</v>
      </c>
      <c r="R252">
        <f t="shared" si="27"/>
        <v>5.8767327956256402E-2</v>
      </c>
      <c r="S252">
        <f t="shared" si="28"/>
        <v>0.95314355069247325</v>
      </c>
      <c r="T252">
        <f t="shared" si="29"/>
        <v>1.2809572488725558E-6</v>
      </c>
      <c r="U252">
        <f t="shared" si="30"/>
        <v>1.6001825154010173E-3</v>
      </c>
    </row>
    <row r="253" spans="10:21" x14ac:dyDescent="0.35">
      <c r="J253">
        <f t="shared" si="31"/>
        <v>250</v>
      </c>
      <c r="K253">
        <f>demanda!D251</f>
        <v>0</v>
      </c>
      <c r="L253">
        <f>demanda!I251</f>
        <v>15</v>
      </c>
      <c r="M253">
        <v>14.416809279416043</v>
      </c>
      <c r="N253">
        <f t="shared" si="24"/>
        <v>0.58319072058395705</v>
      </c>
      <c r="O253">
        <v>7.4087557083441532E-4</v>
      </c>
      <c r="P253">
        <f t="shared" si="25"/>
        <v>5.8760813658909554E-2</v>
      </c>
      <c r="Q253">
        <f t="shared" si="26"/>
        <v>98.553306243487526</v>
      </c>
      <c r="R253">
        <f t="shared" si="27"/>
        <v>5.8767327956256402E-2</v>
      </c>
      <c r="S253">
        <f t="shared" si="28"/>
        <v>0.95314355069247325</v>
      </c>
      <c r="T253">
        <f t="shared" si="29"/>
        <v>1.2809572488725558E-6</v>
      </c>
      <c r="U253">
        <f t="shared" si="30"/>
        <v>1.6001825154010173E-3</v>
      </c>
    </row>
    <row r="254" spans="10:21" x14ac:dyDescent="0.35">
      <c r="J254">
        <f t="shared" si="31"/>
        <v>251</v>
      </c>
      <c r="K254">
        <f>demanda!D252</f>
        <v>0</v>
      </c>
      <c r="L254">
        <f>demanda!I252</f>
        <v>15</v>
      </c>
      <c r="M254">
        <v>14.416809279416043</v>
      </c>
      <c r="N254">
        <f t="shared" si="24"/>
        <v>0.58319072058395705</v>
      </c>
      <c r="O254">
        <v>7.4087557083441532E-4</v>
      </c>
      <c r="P254">
        <f t="shared" si="25"/>
        <v>5.8760813658909554E-2</v>
      </c>
      <c r="Q254">
        <f t="shared" si="26"/>
        <v>98.553306243487526</v>
      </c>
      <c r="R254">
        <f t="shared" si="27"/>
        <v>5.8767327956256402E-2</v>
      </c>
      <c r="S254">
        <f t="shared" si="28"/>
        <v>0.95314355069247325</v>
      </c>
      <c r="T254">
        <f t="shared" si="29"/>
        <v>1.2809572488725558E-6</v>
      </c>
      <c r="U254">
        <f t="shared" si="30"/>
        <v>1.6001825154010173E-3</v>
      </c>
    </row>
    <row r="255" spans="10:21" x14ac:dyDescent="0.35">
      <c r="J255">
        <f t="shared" si="31"/>
        <v>252</v>
      </c>
      <c r="K255">
        <f>demanda!D253</f>
        <v>0</v>
      </c>
      <c r="L255">
        <f>demanda!I253</f>
        <v>15</v>
      </c>
      <c r="M255">
        <v>14.416809279416043</v>
      </c>
      <c r="N255">
        <f t="shared" si="24"/>
        <v>0.58319072058395705</v>
      </c>
      <c r="O255">
        <v>7.4087557083441532E-4</v>
      </c>
      <c r="P255">
        <f t="shared" si="25"/>
        <v>5.8760813658909554E-2</v>
      </c>
      <c r="Q255">
        <f t="shared" si="26"/>
        <v>98.553306243487526</v>
      </c>
      <c r="R255">
        <f t="shared" si="27"/>
        <v>5.8767327956256402E-2</v>
      </c>
      <c r="S255">
        <f t="shared" si="28"/>
        <v>0.95314355069247325</v>
      </c>
      <c r="T255">
        <f t="shared" si="29"/>
        <v>1.2809572488725558E-6</v>
      </c>
      <c r="U255">
        <f t="shared" si="30"/>
        <v>1.6001825154010173E-3</v>
      </c>
    </row>
    <row r="256" spans="10:21" x14ac:dyDescent="0.35">
      <c r="J256">
        <f t="shared" si="31"/>
        <v>253</v>
      </c>
      <c r="K256">
        <f>demanda!D254</f>
        <v>0</v>
      </c>
      <c r="L256">
        <f>demanda!I254</f>
        <v>15</v>
      </c>
      <c r="M256">
        <v>14.416809279416043</v>
      </c>
      <c r="N256">
        <f t="shared" si="24"/>
        <v>0.58319072058395705</v>
      </c>
      <c r="O256">
        <v>7.4087557083441532E-4</v>
      </c>
      <c r="P256">
        <f t="shared" si="25"/>
        <v>5.8760813658909554E-2</v>
      </c>
      <c r="Q256">
        <f t="shared" si="26"/>
        <v>98.553306243487526</v>
      </c>
      <c r="R256">
        <f t="shared" si="27"/>
        <v>5.8767327956256402E-2</v>
      </c>
      <c r="S256">
        <f t="shared" si="28"/>
        <v>0.95314355069247325</v>
      </c>
      <c r="T256">
        <f t="shared" si="29"/>
        <v>1.2809572488725558E-6</v>
      </c>
      <c r="U256">
        <f t="shared" si="30"/>
        <v>1.6001825154010173E-3</v>
      </c>
    </row>
    <row r="257" spans="10:21" x14ac:dyDescent="0.35">
      <c r="J257">
        <f t="shared" si="31"/>
        <v>254</v>
      </c>
      <c r="K257">
        <f>demanda!D255</f>
        <v>0</v>
      </c>
      <c r="L257">
        <f>demanda!I255</f>
        <v>15</v>
      </c>
      <c r="M257">
        <v>14.416809279416043</v>
      </c>
      <c r="N257">
        <f t="shared" si="24"/>
        <v>0.58319072058395705</v>
      </c>
      <c r="O257">
        <v>7.4087557083441532E-4</v>
      </c>
      <c r="P257">
        <f t="shared" si="25"/>
        <v>5.8760813658909554E-2</v>
      </c>
      <c r="Q257">
        <f t="shared" si="26"/>
        <v>98.553306243487526</v>
      </c>
      <c r="R257">
        <f t="shared" si="27"/>
        <v>5.8767327956256402E-2</v>
      </c>
      <c r="S257">
        <f t="shared" si="28"/>
        <v>0.95314355069247325</v>
      </c>
      <c r="T257">
        <f t="shared" si="29"/>
        <v>1.2809572488725558E-6</v>
      </c>
      <c r="U257">
        <f t="shared" si="30"/>
        <v>1.6001825154010173E-3</v>
      </c>
    </row>
    <row r="258" spans="10:21" x14ac:dyDescent="0.35">
      <c r="J258">
        <f t="shared" si="31"/>
        <v>255</v>
      </c>
      <c r="K258">
        <f>demanda!D256</f>
        <v>0</v>
      </c>
      <c r="L258">
        <f>demanda!I256</f>
        <v>15</v>
      </c>
      <c r="M258">
        <v>14.416809279416043</v>
      </c>
      <c r="N258">
        <f t="shared" si="24"/>
        <v>0.58319072058395705</v>
      </c>
      <c r="O258">
        <v>7.4087557083441532E-4</v>
      </c>
      <c r="P258">
        <f t="shared" si="25"/>
        <v>5.8760813658909554E-2</v>
      </c>
      <c r="Q258">
        <f t="shared" si="26"/>
        <v>98.553306243487526</v>
      </c>
      <c r="R258">
        <f t="shared" si="27"/>
        <v>5.8767327956256402E-2</v>
      </c>
      <c r="S258">
        <f t="shared" si="28"/>
        <v>0.95314355069247325</v>
      </c>
      <c r="T258">
        <f t="shared" si="29"/>
        <v>1.2809572488725558E-6</v>
      </c>
      <c r="U258">
        <f t="shared" si="30"/>
        <v>1.6001825154010173E-3</v>
      </c>
    </row>
    <row r="259" spans="10:21" x14ac:dyDescent="0.35">
      <c r="J259">
        <f t="shared" si="31"/>
        <v>256</v>
      </c>
      <c r="K259">
        <f>demanda!D257</f>
        <v>0</v>
      </c>
      <c r="L259">
        <f>demanda!I257</f>
        <v>12</v>
      </c>
      <c r="M259">
        <v>14.416809279416043</v>
      </c>
      <c r="N259">
        <f t="shared" si="24"/>
        <v>-2.416809279416043</v>
      </c>
      <c r="O259">
        <v>7.4087557083441532E-4</v>
      </c>
      <c r="P259">
        <f t="shared" si="25"/>
        <v>-0.24351155583320885</v>
      </c>
      <c r="Q259">
        <f t="shared" si="26"/>
        <v>98.55043610055337</v>
      </c>
      <c r="R259">
        <f t="shared" si="27"/>
        <v>-0.24354209816225414</v>
      </c>
      <c r="S259">
        <f t="shared" si="28"/>
        <v>0.80761150818210881</v>
      </c>
      <c r="T259">
        <f t="shared" si="29"/>
        <v>2.199875915262289E-5</v>
      </c>
      <c r="U259">
        <f t="shared" si="30"/>
        <v>-6.6314365617133417E-3</v>
      </c>
    </row>
    <row r="260" spans="10:21" x14ac:dyDescent="0.35">
      <c r="J260">
        <f t="shared" si="31"/>
        <v>257</v>
      </c>
      <c r="K260">
        <f>demanda!D258</f>
        <v>1</v>
      </c>
      <c r="L260">
        <f>demanda!I258</f>
        <v>14</v>
      </c>
      <c r="M260">
        <v>11.786175589530247</v>
      </c>
      <c r="N260">
        <f t="shared" si="24"/>
        <v>2.2138244104697531</v>
      </c>
      <c r="O260">
        <v>5.2058796926701797E-4</v>
      </c>
      <c r="P260">
        <f t="shared" si="25"/>
        <v>0.22305931673072815</v>
      </c>
      <c r="Q260">
        <f t="shared" si="26"/>
        <v>98.550927094542288</v>
      </c>
      <c r="R260">
        <f t="shared" si="27"/>
        <v>0.2230621523462217</v>
      </c>
      <c r="S260">
        <f t="shared" si="28"/>
        <v>0.82351087455410243</v>
      </c>
      <c r="T260">
        <f t="shared" si="29"/>
        <v>1.2964541478310422E-5</v>
      </c>
      <c r="U260">
        <f t="shared" si="30"/>
        <v>5.0907998870362093E-3</v>
      </c>
    </row>
    <row r="261" spans="10:21" x14ac:dyDescent="0.35">
      <c r="J261">
        <f t="shared" si="31"/>
        <v>258</v>
      </c>
      <c r="K261">
        <f>demanda!D259</f>
        <v>0</v>
      </c>
      <c r="L261">
        <f>demanda!I259</f>
        <v>15</v>
      </c>
      <c r="M261">
        <v>14.416809279416043</v>
      </c>
      <c r="N261">
        <f t="shared" ref="N261:N324" si="32">L261-M261</f>
        <v>0.58319072058395705</v>
      </c>
      <c r="O261">
        <v>7.4087557083441532E-4</v>
      </c>
      <c r="P261">
        <f t="shared" ref="P261:P324" si="33">N261/SQRT($X$6)</f>
        <v>5.8760813658909554E-2</v>
      </c>
      <c r="Q261">
        <f t="shared" ref="Q261:Q324" si="34">($X$6-N261^2/((1-O261)*$X$5))*$X$5/($X$5-1)</f>
        <v>98.553306243487526</v>
      </c>
      <c r="R261">
        <f t="shared" ref="R261:R324" si="35">N261/SQRT(Q261*(1-O261))</f>
        <v>5.8767327956256402E-2</v>
      </c>
      <c r="S261">
        <f t="shared" ref="S261:S324" si="36">_xlfn.T.DIST.2T(ABS(R261),$X$5)</f>
        <v>0.95314355069247325</v>
      </c>
      <c r="T261">
        <f t="shared" ref="T261:T324" si="37">(N261^2/$X$6)*(O261/(1-O261)^2)/($X$7+1)</f>
        <v>1.2809572488725558E-6</v>
      </c>
      <c r="U261">
        <f t="shared" ref="U261:U324" si="38">R261*SQRT(O261/(1-O261))</f>
        <v>1.6001825154010173E-3</v>
      </c>
    </row>
    <row r="262" spans="10:21" x14ac:dyDescent="0.35">
      <c r="J262">
        <f t="shared" ref="J262:J325" si="39">J261+1</f>
        <v>259</v>
      </c>
      <c r="K262">
        <f>demanda!D260</f>
        <v>0</v>
      </c>
      <c r="L262">
        <f>demanda!I260</f>
        <v>15</v>
      </c>
      <c r="M262">
        <v>14.416809279416043</v>
      </c>
      <c r="N262">
        <f t="shared" si="32"/>
        <v>0.58319072058395705</v>
      </c>
      <c r="O262">
        <v>7.4087557083441532E-4</v>
      </c>
      <c r="P262">
        <f t="shared" si="33"/>
        <v>5.8760813658909554E-2</v>
      </c>
      <c r="Q262">
        <f t="shared" si="34"/>
        <v>98.553306243487526</v>
      </c>
      <c r="R262">
        <f t="shared" si="35"/>
        <v>5.8767327956256402E-2</v>
      </c>
      <c r="S262">
        <f t="shared" si="36"/>
        <v>0.95314355069247325</v>
      </c>
      <c r="T262">
        <f t="shared" si="37"/>
        <v>1.2809572488725558E-6</v>
      </c>
      <c r="U262">
        <f t="shared" si="38"/>
        <v>1.6001825154010173E-3</v>
      </c>
    </row>
    <row r="263" spans="10:21" x14ac:dyDescent="0.35">
      <c r="J263">
        <f t="shared" si="39"/>
        <v>260</v>
      </c>
      <c r="K263">
        <f>demanda!D261</f>
        <v>0</v>
      </c>
      <c r="L263">
        <f>demanda!I261</f>
        <v>15</v>
      </c>
      <c r="M263">
        <v>14.416809279416043</v>
      </c>
      <c r="N263">
        <f t="shared" si="32"/>
        <v>0.58319072058395705</v>
      </c>
      <c r="O263">
        <v>7.4087557083441532E-4</v>
      </c>
      <c r="P263">
        <f t="shared" si="33"/>
        <v>5.8760813658909554E-2</v>
      </c>
      <c r="Q263">
        <f t="shared" si="34"/>
        <v>98.553306243487526</v>
      </c>
      <c r="R263">
        <f t="shared" si="35"/>
        <v>5.8767327956256402E-2</v>
      </c>
      <c r="S263">
        <f t="shared" si="36"/>
        <v>0.95314355069247325</v>
      </c>
      <c r="T263">
        <f t="shared" si="37"/>
        <v>1.2809572488725558E-6</v>
      </c>
      <c r="U263">
        <f t="shared" si="38"/>
        <v>1.6001825154010173E-3</v>
      </c>
    </row>
    <row r="264" spans="10:21" x14ac:dyDescent="0.35">
      <c r="J264">
        <f t="shared" si="39"/>
        <v>261</v>
      </c>
      <c r="K264">
        <f>demanda!D262</f>
        <v>0</v>
      </c>
      <c r="L264">
        <f>demanda!I262</f>
        <v>15</v>
      </c>
      <c r="M264">
        <v>14.416809279416043</v>
      </c>
      <c r="N264">
        <f t="shared" si="32"/>
        <v>0.58319072058395705</v>
      </c>
      <c r="O264">
        <v>7.4087557083441532E-4</v>
      </c>
      <c r="P264">
        <f t="shared" si="33"/>
        <v>5.8760813658909554E-2</v>
      </c>
      <c r="Q264">
        <f t="shared" si="34"/>
        <v>98.553306243487526</v>
      </c>
      <c r="R264">
        <f t="shared" si="35"/>
        <v>5.8767327956256402E-2</v>
      </c>
      <c r="S264">
        <f t="shared" si="36"/>
        <v>0.95314355069247325</v>
      </c>
      <c r="T264">
        <f t="shared" si="37"/>
        <v>1.2809572488725558E-6</v>
      </c>
      <c r="U264">
        <f t="shared" si="38"/>
        <v>1.6001825154010173E-3</v>
      </c>
    </row>
    <row r="265" spans="10:21" x14ac:dyDescent="0.35">
      <c r="J265">
        <f t="shared" si="39"/>
        <v>262</v>
      </c>
      <c r="K265">
        <f>demanda!D263</f>
        <v>0</v>
      </c>
      <c r="L265">
        <f>demanda!I263</f>
        <v>15</v>
      </c>
      <c r="M265">
        <v>14.416809279416043</v>
      </c>
      <c r="N265">
        <f t="shared" si="32"/>
        <v>0.58319072058395705</v>
      </c>
      <c r="O265">
        <v>7.4087557083441532E-4</v>
      </c>
      <c r="P265">
        <f t="shared" si="33"/>
        <v>5.8760813658909554E-2</v>
      </c>
      <c r="Q265">
        <f t="shared" si="34"/>
        <v>98.553306243487526</v>
      </c>
      <c r="R265">
        <f t="shared" si="35"/>
        <v>5.8767327956256402E-2</v>
      </c>
      <c r="S265">
        <f t="shared" si="36"/>
        <v>0.95314355069247325</v>
      </c>
      <c r="T265">
        <f t="shared" si="37"/>
        <v>1.2809572488725558E-6</v>
      </c>
      <c r="U265">
        <f t="shared" si="38"/>
        <v>1.6001825154010173E-3</v>
      </c>
    </row>
    <row r="266" spans="10:21" x14ac:dyDescent="0.35">
      <c r="J266">
        <f t="shared" si="39"/>
        <v>263</v>
      </c>
      <c r="K266">
        <f>demanda!D264</f>
        <v>0</v>
      </c>
      <c r="L266">
        <f>demanda!I264</f>
        <v>15</v>
      </c>
      <c r="M266">
        <v>14.416809279416043</v>
      </c>
      <c r="N266">
        <f t="shared" si="32"/>
        <v>0.58319072058395705</v>
      </c>
      <c r="O266">
        <v>7.4087557083441532E-4</v>
      </c>
      <c r="P266">
        <f t="shared" si="33"/>
        <v>5.8760813658909554E-2</v>
      </c>
      <c r="Q266">
        <f t="shared" si="34"/>
        <v>98.553306243487526</v>
      </c>
      <c r="R266">
        <f t="shared" si="35"/>
        <v>5.8767327956256402E-2</v>
      </c>
      <c r="S266">
        <f t="shared" si="36"/>
        <v>0.95314355069247325</v>
      </c>
      <c r="T266">
        <f t="shared" si="37"/>
        <v>1.2809572488725558E-6</v>
      </c>
      <c r="U266">
        <f t="shared" si="38"/>
        <v>1.6001825154010173E-3</v>
      </c>
    </row>
    <row r="267" spans="10:21" x14ac:dyDescent="0.35">
      <c r="J267">
        <f t="shared" si="39"/>
        <v>264</v>
      </c>
      <c r="K267">
        <f>demanda!D265</f>
        <v>0</v>
      </c>
      <c r="L267">
        <f>demanda!I265</f>
        <v>15</v>
      </c>
      <c r="M267">
        <v>14.416809279416043</v>
      </c>
      <c r="N267">
        <f t="shared" si="32"/>
        <v>0.58319072058395705</v>
      </c>
      <c r="O267">
        <v>7.4087557083441532E-4</v>
      </c>
      <c r="P267">
        <f t="shared" si="33"/>
        <v>5.8760813658909554E-2</v>
      </c>
      <c r="Q267">
        <f t="shared" si="34"/>
        <v>98.553306243487526</v>
      </c>
      <c r="R267">
        <f t="shared" si="35"/>
        <v>5.8767327956256402E-2</v>
      </c>
      <c r="S267">
        <f t="shared" si="36"/>
        <v>0.95314355069247325</v>
      </c>
      <c r="T267">
        <f t="shared" si="37"/>
        <v>1.2809572488725558E-6</v>
      </c>
      <c r="U267">
        <f t="shared" si="38"/>
        <v>1.6001825154010173E-3</v>
      </c>
    </row>
    <row r="268" spans="10:21" x14ac:dyDescent="0.35">
      <c r="J268">
        <f t="shared" si="39"/>
        <v>265</v>
      </c>
      <c r="K268">
        <f>demanda!D266</f>
        <v>0</v>
      </c>
      <c r="L268">
        <f>demanda!I266</f>
        <v>15</v>
      </c>
      <c r="M268">
        <v>14.416809279416043</v>
      </c>
      <c r="N268">
        <f t="shared" si="32"/>
        <v>0.58319072058395705</v>
      </c>
      <c r="O268">
        <v>7.4087557083441532E-4</v>
      </c>
      <c r="P268">
        <f t="shared" si="33"/>
        <v>5.8760813658909554E-2</v>
      </c>
      <c r="Q268">
        <f t="shared" si="34"/>
        <v>98.553306243487526</v>
      </c>
      <c r="R268">
        <f t="shared" si="35"/>
        <v>5.8767327956256402E-2</v>
      </c>
      <c r="S268">
        <f t="shared" si="36"/>
        <v>0.95314355069247325</v>
      </c>
      <c r="T268">
        <f t="shared" si="37"/>
        <v>1.2809572488725558E-6</v>
      </c>
      <c r="U268">
        <f t="shared" si="38"/>
        <v>1.6001825154010173E-3</v>
      </c>
    </row>
    <row r="269" spans="10:21" x14ac:dyDescent="0.35">
      <c r="J269">
        <f t="shared" si="39"/>
        <v>266</v>
      </c>
      <c r="K269">
        <f>demanda!D267</f>
        <v>0</v>
      </c>
      <c r="L269">
        <f>demanda!I267</f>
        <v>15</v>
      </c>
      <c r="M269">
        <v>14.416809279416043</v>
      </c>
      <c r="N269">
        <f t="shared" si="32"/>
        <v>0.58319072058395705</v>
      </c>
      <c r="O269">
        <v>7.4087557083441532E-4</v>
      </c>
      <c r="P269">
        <f t="shared" si="33"/>
        <v>5.8760813658909554E-2</v>
      </c>
      <c r="Q269">
        <f t="shared" si="34"/>
        <v>98.553306243487526</v>
      </c>
      <c r="R269">
        <f t="shared" si="35"/>
        <v>5.8767327956256402E-2</v>
      </c>
      <c r="S269">
        <f t="shared" si="36"/>
        <v>0.95314355069247325</v>
      </c>
      <c r="T269">
        <f t="shared" si="37"/>
        <v>1.2809572488725558E-6</v>
      </c>
      <c r="U269">
        <f t="shared" si="38"/>
        <v>1.6001825154010173E-3</v>
      </c>
    </row>
    <row r="270" spans="10:21" x14ac:dyDescent="0.35">
      <c r="J270">
        <f t="shared" si="39"/>
        <v>267</v>
      </c>
      <c r="K270">
        <f>demanda!D268</f>
        <v>0</v>
      </c>
      <c r="L270">
        <f>demanda!I268</f>
        <v>15</v>
      </c>
      <c r="M270">
        <v>14.416809279416043</v>
      </c>
      <c r="N270">
        <f t="shared" si="32"/>
        <v>0.58319072058395705</v>
      </c>
      <c r="O270">
        <v>7.4087557083441532E-4</v>
      </c>
      <c r="P270">
        <f t="shared" si="33"/>
        <v>5.8760813658909554E-2</v>
      </c>
      <c r="Q270">
        <f t="shared" si="34"/>
        <v>98.553306243487526</v>
      </c>
      <c r="R270">
        <f t="shared" si="35"/>
        <v>5.8767327956256402E-2</v>
      </c>
      <c r="S270">
        <f t="shared" si="36"/>
        <v>0.95314355069247325</v>
      </c>
      <c r="T270">
        <f t="shared" si="37"/>
        <v>1.2809572488725558E-6</v>
      </c>
      <c r="U270">
        <f t="shared" si="38"/>
        <v>1.6001825154010173E-3</v>
      </c>
    </row>
    <row r="271" spans="10:21" x14ac:dyDescent="0.35">
      <c r="J271">
        <f t="shared" si="39"/>
        <v>268</v>
      </c>
      <c r="K271">
        <f>demanda!D269</f>
        <v>0</v>
      </c>
      <c r="L271">
        <f>demanda!I269</f>
        <v>15</v>
      </c>
      <c r="M271">
        <v>14.416809279416043</v>
      </c>
      <c r="N271">
        <f t="shared" si="32"/>
        <v>0.58319072058395705</v>
      </c>
      <c r="O271">
        <v>7.4087557083441532E-4</v>
      </c>
      <c r="P271">
        <f t="shared" si="33"/>
        <v>5.8760813658909554E-2</v>
      </c>
      <c r="Q271">
        <f t="shared" si="34"/>
        <v>98.553306243487526</v>
      </c>
      <c r="R271">
        <f t="shared" si="35"/>
        <v>5.8767327956256402E-2</v>
      </c>
      <c r="S271">
        <f t="shared" si="36"/>
        <v>0.95314355069247325</v>
      </c>
      <c r="T271">
        <f t="shared" si="37"/>
        <v>1.2809572488725558E-6</v>
      </c>
      <c r="U271">
        <f t="shared" si="38"/>
        <v>1.6001825154010173E-3</v>
      </c>
    </row>
    <row r="272" spans="10:21" x14ac:dyDescent="0.35">
      <c r="J272">
        <f t="shared" si="39"/>
        <v>269</v>
      </c>
      <c r="K272">
        <f>demanda!D270</f>
        <v>0</v>
      </c>
      <c r="L272">
        <f>demanda!I270</f>
        <v>15</v>
      </c>
      <c r="M272">
        <v>14.416809279416043</v>
      </c>
      <c r="N272">
        <f t="shared" si="32"/>
        <v>0.58319072058395705</v>
      </c>
      <c r="O272">
        <v>7.4087557083441532E-4</v>
      </c>
      <c r="P272">
        <f t="shared" si="33"/>
        <v>5.8760813658909554E-2</v>
      </c>
      <c r="Q272">
        <f t="shared" si="34"/>
        <v>98.553306243487526</v>
      </c>
      <c r="R272">
        <f t="shared" si="35"/>
        <v>5.8767327956256402E-2</v>
      </c>
      <c r="S272">
        <f t="shared" si="36"/>
        <v>0.95314355069247325</v>
      </c>
      <c r="T272">
        <f t="shared" si="37"/>
        <v>1.2809572488725558E-6</v>
      </c>
      <c r="U272">
        <f t="shared" si="38"/>
        <v>1.6001825154010173E-3</v>
      </c>
    </row>
    <row r="273" spans="10:21" x14ac:dyDescent="0.35">
      <c r="J273">
        <f t="shared" si="39"/>
        <v>270</v>
      </c>
      <c r="K273">
        <f>demanda!D271</f>
        <v>0</v>
      </c>
      <c r="L273">
        <f>demanda!I271</f>
        <v>15</v>
      </c>
      <c r="M273">
        <v>14.416809279416043</v>
      </c>
      <c r="N273">
        <f t="shared" si="32"/>
        <v>0.58319072058395705</v>
      </c>
      <c r="O273">
        <v>7.4087557083441532E-4</v>
      </c>
      <c r="P273">
        <f t="shared" si="33"/>
        <v>5.8760813658909554E-2</v>
      </c>
      <c r="Q273">
        <f t="shared" si="34"/>
        <v>98.553306243487526</v>
      </c>
      <c r="R273">
        <f t="shared" si="35"/>
        <v>5.8767327956256402E-2</v>
      </c>
      <c r="S273">
        <f t="shared" si="36"/>
        <v>0.95314355069247325</v>
      </c>
      <c r="T273">
        <f t="shared" si="37"/>
        <v>1.2809572488725558E-6</v>
      </c>
      <c r="U273">
        <f t="shared" si="38"/>
        <v>1.6001825154010173E-3</v>
      </c>
    </row>
    <row r="274" spans="10:21" x14ac:dyDescent="0.35">
      <c r="J274">
        <f t="shared" si="39"/>
        <v>271</v>
      </c>
      <c r="K274">
        <f>demanda!D272</f>
        <v>0</v>
      </c>
      <c r="L274">
        <f>demanda!I272</f>
        <v>4</v>
      </c>
      <c r="M274">
        <v>14.416809279416043</v>
      </c>
      <c r="N274">
        <f t="shared" si="32"/>
        <v>-10.416809279416043</v>
      </c>
      <c r="O274">
        <v>7.4087557083441532E-4</v>
      </c>
      <c r="P274">
        <f t="shared" si="33"/>
        <v>-1.0495712078121913</v>
      </c>
      <c r="Q274">
        <f t="shared" si="34"/>
        <v>98.49686724248096</v>
      </c>
      <c r="R274">
        <f t="shared" si="35"/>
        <v>-1.049988258586362</v>
      </c>
      <c r="S274">
        <f t="shared" si="36"/>
        <v>0.29385572056513598</v>
      </c>
      <c r="T274">
        <f t="shared" si="37"/>
        <v>4.0867949778204384E-4</v>
      </c>
      <c r="U274">
        <f t="shared" si="38"/>
        <v>-2.8590254333443563E-2</v>
      </c>
    </row>
    <row r="275" spans="10:21" x14ac:dyDescent="0.35">
      <c r="J275">
        <f t="shared" si="39"/>
        <v>272</v>
      </c>
      <c r="K275">
        <f>demanda!D273</f>
        <v>4</v>
      </c>
      <c r="L275">
        <f>demanda!I273</f>
        <v>4</v>
      </c>
      <c r="M275">
        <v>3.8942745198728588</v>
      </c>
      <c r="N275">
        <f t="shared" si="32"/>
        <v>0.10572548012714122</v>
      </c>
      <c r="O275">
        <v>2.4466175697261316E-3</v>
      </c>
      <c r="P275">
        <f t="shared" si="33"/>
        <v>1.0652630464574285E-2</v>
      </c>
      <c r="Q275">
        <f t="shared" si="34"/>
        <v>98.553477858863673</v>
      </c>
      <c r="R275">
        <f t="shared" si="35"/>
        <v>1.0662906866275572E-2</v>
      </c>
      <c r="S275">
        <f t="shared" si="36"/>
        <v>0.99149350080457299</v>
      </c>
      <c r="T275">
        <f t="shared" si="37"/>
        <v>1.3950106623021426E-7</v>
      </c>
      <c r="U275">
        <f t="shared" si="38"/>
        <v>5.2806889669490694E-4</v>
      </c>
    </row>
    <row r="276" spans="10:21" x14ac:dyDescent="0.35">
      <c r="J276">
        <f t="shared" si="39"/>
        <v>273</v>
      </c>
      <c r="K276">
        <f>demanda!D274</f>
        <v>2</v>
      </c>
      <c r="L276">
        <f>demanda!I274</f>
        <v>4</v>
      </c>
      <c r="M276">
        <v>9.1555418996444509</v>
      </c>
      <c r="N276">
        <f t="shared" si="32"/>
        <v>-5.1555418996444509</v>
      </c>
      <c r="O276">
        <v>7.3144910189317154E-4</v>
      </c>
      <c r="P276">
        <f t="shared" si="33"/>
        <v>-0.51945928867380853</v>
      </c>
      <c r="Q276">
        <f t="shared" si="34"/>
        <v>98.539615573748293</v>
      </c>
      <c r="R276">
        <f t="shared" si="35"/>
        <v>-0.51955051447259837</v>
      </c>
      <c r="S276">
        <f t="shared" si="36"/>
        <v>0.60343681513546954</v>
      </c>
      <c r="T276">
        <f t="shared" si="37"/>
        <v>9.8830890695332879E-5</v>
      </c>
      <c r="U276">
        <f t="shared" si="38"/>
        <v>-1.4056549457229766E-2</v>
      </c>
    </row>
    <row r="277" spans="10:21" x14ac:dyDescent="0.35">
      <c r="J277">
        <f t="shared" si="39"/>
        <v>274</v>
      </c>
      <c r="K277">
        <f>demanda!D275</f>
        <v>0</v>
      </c>
      <c r="L277">
        <f>demanda!I275</f>
        <v>16</v>
      </c>
      <c r="M277">
        <v>14.416809279416043</v>
      </c>
      <c r="N277">
        <f t="shared" si="32"/>
        <v>1.583190720583957</v>
      </c>
      <c r="O277">
        <v>7.4087557083441532E-4</v>
      </c>
      <c r="P277">
        <f t="shared" si="33"/>
        <v>0.15951827015628237</v>
      </c>
      <c r="Q277">
        <f t="shared" si="34"/>
        <v>98.552175905817947</v>
      </c>
      <c r="R277">
        <f t="shared" si="35"/>
        <v>0.1595368694422851</v>
      </c>
      <c r="S277">
        <f t="shared" si="36"/>
        <v>0.87326270170878273</v>
      </c>
      <c r="T277">
        <f t="shared" si="37"/>
        <v>9.440171775777902E-6</v>
      </c>
      <c r="U277">
        <f t="shared" si="38"/>
        <v>4.3440482649370034E-3</v>
      </c>
    </row>
    <row r="278" spans="10:21" x14ac:dyDescent="0.35">
      <c r="J278">
        <f t="shared" si="39"/>
        <v>275</v>
      </c>
      <c r="K278">
        <f>demanda!D276</f>
        <v>5</v>
      </c>
      <c r="L278">
        <f>demanda!I276</f>
        <v>4</v>
      </c>
      <c r="M278">
        <v>1.2636408299870627</v>
      </c>
      <c r="N278">
        <f t="shared" si="32"/>
        <v>2.7363591700129373</v>
      </c>
      <c r="O278">
        <v>3.9509249049329382E-3</v>
      </c>
      <c r="P278">
        <f t="shared" si="33"/>
        <v>0.27570859003376569</v>
      </c>
      <c r="Q278">
        <f t="shared" si="34"/>
        <v>98.549564325626974</v>
      </c>
      <c r="R278">
        <f t="shared" si="35"/>
        <v>0.27618836492875143</v>
      </c>
      <c r="S278">
        <f t="shared" si="36"/>
        <v>0.78243313331472275</v>
      </c>
      <c r="T278">
        <f t="shared" si="37"/>
        <v>1.513588784422617E-4</v>
      </c>
      <c r="U278">
        <f t="shared" si="38"/>
        <v>1.7394598075820691E-2</v>
      </c>
    </row>
    <row r="279" spans="10:21" x14ac:dyDescent="0.35">
      <c r="J279">
        <f t="shared" si="39"/>
        <v>276</v>
      </c>
      <c r="K279">
        <f>demanda!D277</f>
        <v>1</v>
      </c>
      <c r="L279">
        <f>demanda!I277</f>
        <v>3</v>
      </c>
      <c r="M279">
        <v>11.786175589530247</v>
      </c>
      <c r="N279">
        <f t="shared" si="32"/>
        <v>-8.7861755895302469</v>
      </c>
      <c r="O279">
        <v>5.2058796926701797E-4</v>
      </c>
      <c r="P279">
        <f t="shared" si="33"/>
        <v>-0.88527270474037267</v>
      </c>
      <c r="Q279">
        <f t="shared" si="34"/>
        <v>98.513214102399758</v>
      </c>
      <c r="R279">
        <f t="shared" si="35"/>
        <v>-0.88545339538896362</v>
      </c>
      <c r="S279">
        <f t="shared" si="36"/>
        <v>0.37602308055069167</v>
      </c>
      <c r="T279">
        <f t="shared" si="37"/>
        <v>2.0420697614382047E-4</v>
      </c>
      <c r="U279">
        <f t="shared" si="38"/>
        <v>-2.0208116875988336E-2</v>
      </c>
    </row>
    <row r="280" spans="10:21" x14ac:dyDescent="0.35">
      <c r="J280">
        <f t="shared" si="39"/>
        <v>277</v>
      </c>
      <c r="K280">
        <f>demanda!D278</f>
        <v>5</v>
      </c>
      <c r="L280">
        <f>demanda!I278</f>
        <v>2</v>
      </c>
      <c r="M280">
        <v>1.2636408299870627</v>
      </c>
      <c r="N280">
        <f t="shared" si="32"/>
        <v>0.73635917001293727</v>
      </c>
      <c r="O280">
        <v>3.9509249049329382E-3</v>
      </c>
      <c r="P280">
        <f t="shared" si="33"/>
        <v>7.4193677039020078E-2</v>
      </c>
      <c r="Q280">
        <f t="shared" si="34"/>
        <v>98.553199876422468</v>
      </c>
      <c r="R280">
        <f t="shared" si="35"/>
        <v>7.4321414457959423E-2</v>
      </c>
      <c r="S280">
        <f t="shared" si="36"/>
        <v>0.94076238398569867</v>
      </c>
      <c r="T280">
        <f t="shared" si="37"/>
        <v>1.0960770814463366E-5</v>
      </c>
      <c r="U280">
        <f t="shared" si="38"/>
        <v>4.680831262592092E-3</v>
      </c>
    </row>
    <row r="281" spans="10:21" x14ac:dyDescent="0.35">
      <c r="J281">
        <f t="shared" si="39"/>
        <v>278</v>
      </c>
      <c r="K281">
        <f>demanda!D279</f>
        <v>2</v>
      </c>
      <c r="L281">
        <f>demanda!I279</f>
        <v>2</v>
      </c>
      <c r="M281">
        <v>9.1555418996444509</v>
      </c>
      <c r="N281">
        <f t="shared" si="32"/>
        <v>-7.1555418996444509</v>
      </c>
      <c r="O281">
        <v>7.3144910189317154E-4</v>
      </c>
      <c r="P281">
        <f t="shared" si="33"/>
        <v>-0.72097420166855408</v>
      </c>
      <c r="Q281">
        <f t="shared" si="34"/>
        <v>98.526768759022602</v>
      </c>
      <c r="R281">
        <f t="shared" si="35"/>
        <v>-0.72114782718324122</v>
      </c>
      <c r="S281">
        <f t="shared" si="36"/>
        <v>0.47090641241117204</v>
      </c>
      <c r="T281">
        <f t="shared" si="37"/>
        <v>1.9038342084795563E-4</v>
      </c>
      <c r="U281">
        <f t="shared" si="38"/>
        <v>-1.9510807546913981E-2</v>
      </c>
    </row>
    <row r="282" spans="10:21" x14ac:dyDescent="0.35">
      <c r="J282">
        <f t="shared" si="39"/>
        <v>279</v>
      </c>
      <c r="K282">
        <f>demanda!D280</f>
        <v>2</v>
      </c>
      <c r="L282">
        <f>demanda!I280</f>
        <v>17</v>
      </c>
      <c r="M282">
        <v>9.1555418996444509</v>
      </c>
      <c r="N282">
        <f t="shared" si="32"/>
        <v>7.8444581003555491</v>
      </c>
      <c r="O282">
        <v>7.3144910189317154E-4</v>
      </c>
      <c r="P282">
        <f t="shared" si="33"/>
        <v>0.79038764579203791</v>
      </c>
      <c r="Q282">
        <f t="shared" si="34"/>
        <v>98.521377045179804</v>
      </c>
      <c r="R282">
        <f t="shared" si="35"/>
        <v>0.79059961992295735</v>
      </c>
      <c r="S282">
        <f t="shared" si="36"/>
        <v>0.42927535941602513</v>
      </c>
      <c r="T282">
        <f t="shared" si="37"/>
        <v>2.2880734574350968E-4</v>
      </c>
      <c r="U282">
        <f t="shared" si="38"/>
        <v>2.1389840542444929E-2</v>
      </c>
    </row>
    <row r="283" spans="10:21" x14ac:dyDescent="0.35">
      <c r="J283">
        <f t="shared" si="39"/>
        <v>280</v>
      </c>
      <c r="K283">
        <f>demanda!D281</f>
        <v>1</v>
      </c>
      <c r="L283">
        <f>demanda!I281</f>
        <v>8</v>
      </c>
      <c r="M283">
        <v>11.786175589530247</v>
      </c>
      <c r="N283">
        <f t="shared" si="32"/>
        <v>-3.7861755895302469</v>
      </c>
      <c r="O283">
        <v>5.2058796926701797E-4</v>
      </c>
      <c r="P283">
        <f t="shared" si="33"/>
        <v>-0.38148542225350868</v>
      </c>
      <c r="Q283">
        <f t="shared" si="34"/>
        <v>98.546005811479162</v>
      </c>
      <c r="R283">
        <f t="shared" si="35"/>
        <v>-0.38149979733331263</v>
      </c>
      <c r="S283">
        <f t="shared" si="36"/>
        <v>0.70287465676174632</v>
      </c>
      <c r="T283">
        <f t="shared" si="37"/>
        <v>3.7920348514645389E-5</v>
      </c>
      <c r="U283">
        <f t="shared" si="38"/>
        <v>-8.7067174092102829E-3</v>
      </c>
    </row>
    <row r="284" spans="10:21" x14ac:dyDescent="0.35">
      <c r="J284">
        <f t="shared" si="39"/>
        <v>281</v>
      </c>
      <c r="K284">
        <f>demanda!D282</f>
        <v>0</v>
      </c>
      <c r="L284">
        <f>demanda!I282</f>
        <v>13</v>
      </c>
      <c r="M284">
        <v>14.416809279416043</v>
      </c>
      <c r="N284">
        <f t="shared" si="32"/>
        <v>-1.416809279416043</v>
      </c>
      <c r="O284">
        <v>7.4087557083441532E-4</v>
      </c>
      <c r="P284">
        <f t="shared" si="33"/>
        <v>-0.14275409933583605</v>
      </c>
      <c r="Q284">
        <f t="shared" si="34"/>
        <v>98.552436340855238</v>
      </c>
      <c r="R284">
        <f t="shared" si="35"/>
        <v>-0.14277055533334676</v>
      </c>
      <c r="S284">
        <f t="shared" si="36"/>
        <v>0.88648638054980111</v>
      </c>
      <c r="T284">
        <f t="shared" si="37"/>
        <v>7.5602509372950483E-6</v>
      </c>
      <c r="U284">
        <f t="shared" si="38"/>
        <v>-3.8875163173756836E-3</v>
      </c>
    </row>
    <row r="285" spans="10:21" x14ac:dyDescent="0.35">
      <c r="J285">
        <f t="shared" si="39"/>
        <v>282</v>
      </c>
      <c r="K285">
        <f>demanda!D283</f>
        <v>0</v>
      </c>
      <c r="L285">
        <f>demanda!I283</f>
        <v>8</v>
      </c>
      <c r="M285">
        <v>14.416809279416043</v>
      </c>
      <c r="N285">
        <f t="shared" si="32"/>
        <v>-6.416809279416043</v>
      </c>
      <c r="O285">
        <v>7.4087557083441532E-4</v>
      </c>
      <c r="P285">
        <f t="shared" si="33"/>
        <v>-0.64654138182270005</v>
      </c>
      <c r="Q285">
        <f t="shared" si="34"/>
        <v>98.531999879441045</v>
      </c>
      <c r="R285">
        <f t="shared" si="35"/>
        <v>-0.64668296559256133</v>
      </c>
      <c r="S285">
        <f t="shared" si="36"/>
        <v>0.51791448613837154</v>
      </c>
      <c r="T285">
        <f t="shared" si="37"/>
        <v>1.5507853448804487E-4</v>
      </c>
      <c r="U285">
        <f t="shared" si="38"/>
        <v>-1.7608606866032061E-2</v>
      </c>
    </row>
    <row r="286" spans="10:21" x14ac:dyDescent="0.35">
      <c r="J286">
        <f t="shared" si="39"/>
        <v>283</v>
      </c>
      <c r="K286">
        <f>demanda!D284</f>
        <v>7</v>
      </c>
      <c r="L286">
        <f>demanda!I284</f>
        <v>1</v>
      </c>
      <c r="M286">
        <v>-3.9976265497845276</v>
      </c>
      <c r="N286">
        <f t="shared" si="32"/>
        <v>4.9976265497845276</v>
      </c>
      <c r="O286">
        <v>8.2529857779272044E-3</v>
      </c>
      <c r="P286">
        <f t="shared" si="33"/>
        <v>0.50354813968002987</v>
      </c>
      <c r="Q286">
        <f t="shared" si="34"/>
        <v>98.540353296828158</v>
      </c>
      <c r="R286">
        <f t="shared" si="35"/>
        <v>0.50554089362351151</v>
      </c>
      <c r="S286">
        <f t="shared" si="36"/>
        <v>0.61323704299937098</v>
      </c>
      <c r="T286">
        <f t="shared" si="37"/>
        <v>1.063803192754387E-3</v>
      </c>
      <c r="U286">
        <f t="shared" si="38"/>
        <v>4.6117036260322951E-2</v>
      </c>
    </row>
    <row r="287" spans="10:21" x14ac:dyDescent="0.35">
      <c r="J287">
        <f t="shared" si="39"/>
        <v>284</v>
      </c>
      <c r="K287">
        <f>demanda!D285</f>
        <v>1</v>
      </c>
      <c r="L287">
        <f>demanda!I285</f>
        <v>2</v>
      </c>
      <c r="M287">
        <v>11.786175589530247</v>
      </c>
      <c r="N287">
        <f t="shared" si="32"/>
        <v>-9.7861755895302469</v>
      </c>
      <c r="O287">
        <v>5.2058796926701797E-4</v>
      </c>
      <c r="P287">
        <f t="shared" si="33"/>
        <v>-0.98603016123774556</v>
      </c>
      <c r="Q287">
        <f t="shared" si="34"/>
        <v>98.503525872599127</v>
      </c>
      <c r="R287">
        <f t="shared" si="35"/>
        <v>-0.98627991600190701</v>
      </c>
      <c r="S287">
        <f t="shared" si="36"/>
        <v>0.32412010689798754</v>
      </c>
      <c r="T287">
        <f t="shared" si="37"/>
        <v>2.5333595131680776E-4</v>
      </c>
      <c r="U287">
        <f t="shared" si="38"/>
        <v>-2.2509213831916283E-2</v>
      </c>
    </row>
    <row r="288" spans="10:21" x14ac:dyDescent="0.35">
      <c r="J288">
        <f t="shared" si="39"/>
        <v>285</v>
      </c>
      <c r="K288">
        <f>demanda!D286</f>
        <v>0</v>
      </c>
      <c r="L288">
        <f>demanda!I286</f>
        <v>34</v>
      </c>
      <c r="M288">
        <v>14.416809279416043</v>
      </c>
      <c r="N288">
        <f t="shared" si="32"/>
        <v>19.583190720583957</v>
      </c>
      <c r="O288">
        <v>7.4087557083441532E-4</v>
      </c>
      <c r="P288">
        <f t="shared" si="33"/>
        <v>1.9731524871089929</v>
      </c>
      <c r="Q288">
        <f t="shared" si="34"/>
        <v>98.353386883392687</v>
      </c>
      <c r="R288">
        <f t="shared" si="35"/>
        <v>1.9753758151645147</v>
      </c>
      <c r="S288">
        <f t="shared" si="36"/>
        <v>4.8368602165151535E-2</v>
      </c>
      <c r="T288">
        <f t="shared" si="37"/>
        <v>1.4443762295673656E-3</v>
      </c>
      <c r="U288">
        <f t="shared" si="38"/>
        <v>5.3787741432197791E-2</v>
      </c>
    </row>
    <row r="289" spans="10:21" x14ac:dyDescent="0.35">
      <c r="J289">
        <f t="shared" si="39"/>
        <v>286</v>
      </c>
      <c r="K289">
        <f>demanda!D287</f>
        <v>0</v>
      </c>
      <c r="L289">
        <f>demanda!I287</f>
        <v>3</v>
      </c>
      <c r="M289">
        <v>14.416809279416043</v>
      </c>
      <c r="N289">
        <f t="shared" si="32"/>
        <v>-11.416809279416043</v>
      </c>
      <c r="O289">
        <v>7.4087557083441532E-4</v>
      </c>
      <c r="P289">
        <f t="shared" si="33"/>
        <v>-1.150328664309564</v>
      </c>
      <c r="Q289">
        <f t="shared" si="34"/>
        <v>98.485475268264722</v>
      </c>
      <c r="R289">
        <f t="shared" si="35"/>
        <v>-1.1508523061099405</v>
      </c>
      <c r="S289">
        <f t="shared" si="36"/>
        <v>0.24993638008158123</v>
      </c>
      <c r="T289">
        <f t="shared" si="37"/>
        <v>4.9091117422407117E-4</v>
      </c>
      <c r="U289">
        <f t="shared" si="38"/>
        <v>-3.1336693399040466E-2</v>
      </c>
    </row>
    <row r="290" spans="10:21" x14ac:dyDescent="0.35">
      <c r="J290">
        <f t="shared" si="39"/>
        <v>287</v>
      </c>
      <c r="K290">
        <f>demanda!D288</f>
        <v>1</v>
      </c>
      <c r="L290">
        <f>demanda!I288</f>
        <v>5</v>
      </c>
      <c r="M290">
        <v>11.786175589530247</v>
      </c>
      <c r="N290">
        <f t="shared" si="32"/>
        <v>-6.7861755895302469</v>
      </c>
      <c r="O290">
        <v>5.2058796926701797E-4</v>
      </c>
      <c r="P290">
        <f t="shared" si="33"/>
        <v>-0.68375779174562712</v>
      </c>
      <c r="Q290">
        <f t="shared" si="34"/>
        <v>98.529460674016264</v>
      </c>
      <c r="R290">
        <f t="shared" si="35"/>
        <v>-0.68384096531208116</v>
      </c>
      <c r="S290">
        <f t="shared" si="36"/>
        <v>0.49415815943295716</v>
      </c>
      <c r="T290">
        <f t="shared" si="37"/>
        <v>1.2182067544499816E-4</v>
      </c>
      <c r="U290">
        <f t="shared" si="38"/>
        <v>-1.560684980551091E-2</v>
      </c>
    </row>
    <row r="291" spans="10:21" x14ac:dyDescent="0.35">
      <c r="J291">
        <f t="shared" si="39"/>
        <v>288</v>
      </c>
      <c r="K291">
        <f>demanda!D289</f>
        <v>3</v>
      </c>
      <c r="L291">
        <f>demanda!I289</f>
        <v>2</v>
      </c>
      <c r="M291">
        <v>6.5249082097586548</v>
      </c>
      <c r="N291">
        <f t="shared" si="32"/>
        <v>-4.5249082097586548</v>
      </c>
      <c r="O291">
        <v>1.3734589687128761E-3</v>
      </c>
      <c r="P291">
        <f t="shared" si="33"/>
        <v>-0.45591824209936271</v>
      </c>
      <c r="Q291">
        <f t="shared" si="34"/>
        <v>98.542793943857959</v>
      </c>
      <c r="R291">
        <f t="shared" si="35"/>
        <v>-0.45613750825631832</v>
      </c>
      <c r="S291">
        <f t="shared" si="36"/>
        <v>0.64834271460897308</v>
      </c>
      <c r="T291">
        <f t="shared" si="37"/>
        <v>1.4313749884792331E-4</v>
      </c>
      <c r="U291">
        <f t="shared" si="38"/>
        <v>-1.6916171460658679E-2</v>
      </c>
    </row>
    <row r="292" spans="10:21" x14ac:dyDescent="0.35">
      <c r="J292">
        <f t="shared" si="39"/>
        <v>289</v>
      </c>
      <c r="K292">
        <f>demanda!D290</f>
        <v>1</v>
      </c>
      <c r="L292">
        <f>demanda!I290</f>
        <v>10</v>
      </c>
      <c r="M292">
        <v>11.786175589530247</v>
      </c>
      <c r="N292">
        <f t="shared" si="32"/>
        <v>-1.7861755895302469</v>
      </c>
      <c r="O292">
        <v>5.2058796926701797E-4</v>
      </c>
      <c r="P292">
        <f t="shared" si="33"/>
        <v>-0.17997050925876307</v>
      </c>
      <c r="Q292">
        <f t="shared" si="34"/>
        <v>98.551819423146526</v>
      </c>
      <c r="R292">
        <f t="shared" si="35"/>
        <v>-0.17997198233721365</v>
      </c>
      <c r="S292">
        <f t="shared" si="36"/>
        <v>0.85719356553697068</v>
      </c>
      <c r="T292">
        <f t="shared" si="37"/>
        <v>8.4395466396640202E-6</v>
      </c>
      <c r="U292">
        <f t="shared" si="38"/>
        <v>-4.1073814527258093E-3</v>
      </c>
    </row>
    <row r="293" spans="10:21" x14ac:dyDescent="0.35">
      <c r="J293">
        <f t="shared" si="39"/>
        <v>290</v>
      </c>
      <c r="K293">
        <f>demanda!D291</f>
        <v>1</v>
      </c>
      <c r="L293">
        <f>demanda!I291</f>
        <v>2</v>
      </c>
      <c r="M293">
        <v>11.786175589530247</v>
      </c>
      <c r="N293">
        <f t="shared" si="32"/>
        <v>-9.7861755895302469</v>
      </c>
      <c r="O293">
        <v>5.2058796926701797E-4</v>
      </c>
      <c r="P293">
        <f t="shared" si="33"/>
        <v>-0.98603016123774556</v>
      </c>
      <c r="Q293">
        <f t="shared" si="34"/>
        <v>98.503525872599127</v>
      </c>
      <c r="R293">
        <f t="shared" si="35"/>
        <v>-0.98627991600190701</v>
      </c>
      <c r="S293">
        <f t="shared" si="36"/>
        <v>0.32412010689798754</v>
      </c>
      <c r="T293">
        <f t="shared" si="37"/>
        <v>2.5333595131680776E-4</v>
      </c>
      <c r="U293">
        <f t="shared" si="38"/>
        <v>-2.2509213831916283E-2</v>
      </c>
    </row>
    <row r="294" spans="10:21" x14ac:dyDescent="0.35">
      <c r="J294">
        <f t="shared" si="39"/>
        <v>291</v>
      </c>
      <c r="K294">
        <f>demanda!D292</f>
        <v>5</v>
      </c>
      <c r="L294">
        <f>demanda!I292</f>
        <v>3</v>
      </c>
      <c r="M294">
        <v>1.2636408299870627</v>
      </c>
      <c r="N294">
        <f t="shared" si="32"/>
        <v>1.7363591700129373</v>
      </c>
      <c r="O294">
        <v>3.9509249049329382E-3</v>
      </c>
      <c r="P294">
        <f t="shared" si="33"/>
        <v>0.17495113353639288</v>
      </c>
      <c r="Q294">
        <f t="shared" si="34"/>
        <v>98.551905545548507</v>
      </c>
      <c r="R294">
        <f t="shared" si="35"/>
        <v>0.17525349341046803</v>
      </c>
      <c r="S294">
        <f t="shared" si="36"/>
        <v>0.86089894193681449</v>
      </c>
      <c r="T294">
        <f t="shared" si="37"/>
        <v>6.0945385407997739E-5</v>
      </c>
      <c r="U294">
        <f t="shared" si="38"/>
        <v>1.1037626730021724E-2</v>
      </c>
    </row>
    <row r="295" spans="10:21" x14ac:dyDescent="0.35">
      <c r="J295">
        <f t="shared" si="39"/>
        <v>292</v>
      </c>
      <c r="K295">
        <f>demanda!D293</f>
        <v>2</v>
      </c>
      <c r="L295">
        <f>demanda!I293</f>
        <v>15</v>
      </c>
      <c r="M295">
        <v>9.1555418996444509</v>
      </c>
      <c r="N295">
        <f t="shared" si="32"/>
        <v>5.8444581003555491</v>
      </c>
      <c r="O295">
        <v>7.3144910189317154E-4</v>
      </c>
      <c r="P295">
        <f t="shared" si="33"/>
        <v>0.58887273279729235</v>
      </c>
      <c r="Q295">
        <f t="shared" si="34"/>
        <v>98.535661650263577</v>
      </c>
      <c r="R295">
        <f t="shared" si="35"/>
        <v>0.58898796551937516</v>
      </c>
      <c r="S295">
        <f t="shared" si="36"/>
        <v>0.55593867021574073</v>
      </c>
      <c r="T295">
        <f t="shared" si="37"/>
        <v>1.2700843561873917E-4</v>
      </c>
      <c r="U295">
        <f t="shared" si="38"/>
        <v>1.593519443521384E-2</v>
      </c>
    </row>
    <row r="296" spans="10:21" x14ac:dyDescent="0.35">
      <c r="J296">
        <f t="shared" si="39"/>
        <v>293</v>
      </c>
      <c r="K296">
        <f>demanda!D294</f>
        <v>0</v>
      </c>
      <c r="L296">
        <f>demanda!I294</f>
        <v>10</v>
      </c>
      <c r="M296">
        <v>14.416809279416043</v>
      </c>
      <c r="N296">
        <f t="shared" si="32"/>
        <v>-4.416809279416043</v>
      </c>
      <c r="O296">
        <v>7.4087557083441532E-4</v>
      </c>
      <c r="P296">
        <f t="shared" si="33"/>
        <v>-0.44502646882795449</v>
      </c>
      <c r="Q296">
        <f t="shared" si="34"/>
        <v>98.543305041978172</v>
      </c>
      <c r="R296">
        <f t="shared" si="35"/>
        <v>-0.44509838991165818</v>
      </c>
      <c r="S296">
        <f t="shared" si="36"/>
        <v>0.65629885256814913</v>
      </c>
      <c r="T296">
        <f t="shared" si="37"/>
        <v>7.3473498325511761E-5</v>
      </c>
      <c r="U296">
        <f t="shared" si="38"/>
        <v>-1.2119636640616644E-2</v>
      </c>
    </row>
    <row r="297" spans="10:21" x14ac:dyDescent="0.35">
      <c r="J297">
        <f t="shared" si="39"/>
        <v>294</v>
      </c>
      <c r="K297">
        <f>demanda!D295</f>
        <v>1</v>
      </c>
      <c r="L297">
        <f>demanda!I295</f>
        <v>12</v>
      </c>
      <c r="M297">
        <v>11.786175589530247</v>
      </c>
      <c r="N297">
        <f t="shared" si="32"/>
        <v>0.21382441046975309</v>
      </c>
      <c r="O297">
        <v>5.2058796926701797E-4</v>
      </c>
      <c r="P297">
        <f t="shared" si="33"/>
        <v>2.1544403735982532E-2</v>
      </c>
      <c r="Q297">
        <f t="shared" si="34"/>
        <v>98.55345985083423</v>
      </c>
      <c r="R297">
        <f t="shared" si="35"/>
        <v>2.1544400773202785E-2</v>
      </c>
      <c r="S297">
        <f t="shared" si="36"/>
        <v>0.98281362479024093</v>
      </c>
      <c r="T297">
        <f t="shared" si="37"/>
        <v>1.2094429421903031E-7</v>
      </c>
      <c r="U297">
        <f t="shared" si="38"/>
        <v>4.9169360139701592E-4</v>
      </c>
    </row>
    <row r="298" spans="10:21" x14ac:dyDescent="0.35">
      <c r="J298">
        <f t="shared" si="39"/>
        <v>295</v>
      </c>
      <c r="K298">
        <f>demanda!D296</f>
        <v>0</v>
      </c>
      <c r="L298">
        <f>demanda!I296</f>
        <v>8</v>
      </c>
      <c r="M298">
        <v>14.416809279416043</v>
      </c>
      <c r="N298">
        <f t="shared" si="32"/>
        <v>-6.416809279416043</v>
      </c>
      <c r="O298">
        <v>7.4087557083441532E-4</v>
      </c>
      <c r="P298">
        <f t="shared" si="33"/>
        <v>-0.64654138182270005</v>
      </c>
      <c r="Q298">
        <f t="shared" si="34"/>
        <v>98.531999879441045</v>
      </c>
      <c r="R298">
        <f t="shared" si="35"/>
        <v>-0.64668296559256133</v>
      </c>
      <c r="S298">
        <f t="shared" si="36"/>
        <v>0.51791448613837154</v>
      </c>
      <c r="T298">
        <f t="shared" si="37"/>
        <v>1.5507853448804487E-4</v>
      </c>
      <c r="U298">
        <f t="shared" si="38"/>
        <v>-1.7608606866032061E-2</v>
      </c>
    </row>
    <row r="299" spans="10:21" x14ac:dyDescent="0.35">
      <c r="J299">
        <f t="shared" si="39"/>
        <v>296</v>
      </c>
      <c r="K299">
        <f>demanda!D297</f>
        <v>1</v>
      </c>
      <c r="L299">
        <f>demanda!I297</f>
        <v>2</v>
      </c>
      <c r="M299">
        <v>11.786175589530247</v>
      </c>
      <c r="N299">
        <f t="shared" si="32"/>
        <v>-9.7861755895302469</v>
      </c>
      <c r="O299">
        <v>5.2058796926701797E-4</v>
      </c>
      <c r="P299">
        <f t="shared" si="33"/>
        <v>-0.98603016123774556</v>
      </c>
      <c r="Q299">
        <f t="shared" si="34"/>
        <v>98.503525872599127</v>
      </c>
      <c r="R299">
        <f t="shared" si="35"/>
        <v>-0.98627991600190701</v>
      </c>
      <c r="S299">
        <f t="shared" si="36"/>
        <v>0.32412010689798754</v>
      </c>
      <c r="T299">
        <f t="shared" si="37"/>
        <v>2.5333595131680776E-4</v>
      </c>
      <c r="U299">
        <f t="shared" si="38"/>
        <v>-2.2509213831916283E-2</v>
      </c>
    </row>
    <row r="300" spans="10:21" x14ac:dyDescent="0.35">
      <c r="J300">
        <f t="shared" si="39"/>
        <v>297</v>
      </c>
      <c r="K300">
        <f>demanda!D298</f>
        <v>1</v>
      </c>
      <c r="L300">
        <f>demanda!I298</f>
        <v>27</v>
      </c>
      <c r="M300">
        <v>11.786175589530247</v>
      </c>
      <c r="N300">
        <f t="shared" si="32"/>
        <v>15.213824410469753</v>
      </c>
      <c r="O300">
        <v>5.2058796926701797E-4</v>
      </c>
      <c r="P300">
        <f t="shared" si="33"/>
        <v>1.5329062511965745</v>
      </c>
      <c r="Q300">
        <f t="shared" si="34"/>
        <v>98.432742819140586</v>
      </c>
      <c r="R300">
        <f t="shared" si="35"/>
        <v>1.5338457234752025</v>
      </c>
      <c r="S300">
        <f t="shared" si="36"/>
        <v>0.1252324503824406</v>
      </c>
      <c r="T300">
        <f t="shared" si="37"/>
        <v>6.1227653670735372E-4</v>
      </c>
      <c r="U300">
        <f t="shared" si="38"/>
        <v>3.5005945892957746E-2</v>
      </c>
    </row>
    <row r="301" spans="10:21" x14ac:dyDescent="0.35">
      <c r="J301">
        <f t="shared" si="39"/>
        <v>298</v>
      </c>
      <c r="K301">
        <f>demanda!D299</f>
        <v>0</v>
      </c>
      <c r="L301">
        <f>demanda!I299</f>
        <v>6</v>
      </c>
      <c r="M301">
        <v>14.416809279416043</v>
      </c>
      <c r="N301">
        <f t="shared" si="32"/>
        <v>-8.416809279416043</v>
      </c>
      <c r="O301">
        <v>7.4087557083441532E-4</v>
      </c>
      <c r="P301">
        <f t="shared" si="33"/>
        <v>-0.84805629481744571</v>
      </c>
      <c r="Q301">
        <f t="shared" si="34"/>
        <v>98.51652061294196</v>
      </c>
      <c r="R301">
        <f t="shared" si="35"/>
        <v>-0.8483086443975183</v>
      </c>
      <c r="S301">
        <f t="shared" si="36"/>
        <v>0.39637190285902191</v>
      </c>
      <c r="T301">
        <f t="shared" si="37"/>
        <v>2.6681386764022222E-4</v>
      </c>
      <c r="U301">
        <f t="shared" si="38"/>
        <v>-2.3098696293268058E-2</v>
      </c>
    </row>
    <row r="302" spans="10:21" x14ac:dyDescent="0.35">
      <c r="J302">
        <f t="shared" si="39"/>
        <v>299</v>
      </c>
      <c r="K302">
        <f>demanda!D300</f>
        <v>3</v>
      </c>
      <c r="L302">
        <f>demanda!I300</f>
        <v>3</v>
      </c>
      <c r="M302">
        <v>6.5249082097586548</v>
      </c>
      <c r="N302">
        <f t="shared" si="32"/>
        <v>-3.5249082097586548</v>
      </c>
      <c r="O302">
        <v>1.3734589687128761E-3</v>
      </c>
      <c r="P302">
        <f t="shared" si="33"/>
        <v>-0.35516078560198994</v>
      </c>
      <c r="Q302">
        <f t="shared" si="34"/>
        <v>98.546996700749531</v>
      </c>
      <c r="R302">
        <f t="shared" si="35"/>
        <v>-0.35532401713098288</v>
      </c>
      <c r="S302">
        <f t="shared" si="36"/>
        <v>0.72238591463660118</v>
      </c>
      <c r="T302">
        <f t="shared" si="37"/>
        <v>8.6861935283639592E-5</v>
      </c>
      <c r="U302">
        <f t="shared" si="38"/>
        <v>-1.3177434192717408E-2</v>
      </c>
    </row>
    <row r="303" spans="10:21" x14ac:dyDescent="0.35">
      <c r="J303">
        <f t="shared" si="39"/>
        <v>300</v>
      </c>
      <c r="K303">
        <f>demanda!D301</f>
        <v>4</v>
      </c>
      <c r="L303">
        <f>demanda!I301</f>
        <v>2</v>
      </c>
      <c r="M303">
        <v>3.8942745198728588</v>
      </c>
      <c r="N303">
        <f t="shared" si="32"/>
        <v>-1.8942745198728588</v>
      </c>
      <c r="O303">
        <v>2.4466175697261316E-3</v>
      </c>
      <c r="P303">
        <f t="shared" si="33"/>
        <v>-0.19086228253017132</v>
      </c>
      <c r="Q303">
        <f t="shared" si="34"/>
        <v>98.551608270054842</v>
      </c>
      <c r="R303">
        <f t="shared" si="35"/>
        <v>-0.19104821608300357</v>
      </c>
      <c r="S303">
        <f t="shared" si="36"/>
        <v>0.84850802764464628</v>
      </c>
      <c r="T303">
        <f t="shared" si="37"/>
        <v>4.4782056131641625E-5</v>
      </c>
      <c r="U303">
        <f t="shared" si="38"/>
        <v>-9.4614556750527434E-3</v>
      </c>
    </row>
    <row r="304" spans="10:21" x14ac:dyDescent="0.35">
      <c r="J304">
        <f t="shared" si="39"/>
        <v>301</v>
      </c>
      <c r="K304">
        <f>demanda!D302</f>
        <v>0</v>
      </c>
      <c r="L304">
        <f>demanda!I302</f>
        <v>14</v>
      </c>
      <c r="M304">
        <v>14.416809279416043</v>
      </c>
      <c r="N304">
        <f t="shared" si="32"/>
        <v>-0.41680927941604295</v>
      </c>
      <c r="O304">
        <v>7.4087557083441532E-4</v>
      </c>
      <c r="P304">
        <f t="shared" si="33"/>
        <v>-4.1996642838463258E-2</v>
      </c>
      <c r="Q304">
        <f t="shared" si="34"/>
        <v>98.553393055166637</v>
      </c>
      <c r="R304">
        <f t="shared" si="35"/>
        <v>-4.2001280140228352E-2</v>
      </c>
      <c r="S304">
        <f t="shared" si="36"/>
        <v>0.96650204701357412</v>
      </c>
      <c r="T304">
        <f t="shared" si="37"/>
        <v>6.5431696937827154E-7</v>
      </c>
      <c r="U304">
        <f t="shared" si="38"/>
        <v>-1.1436578187608104E-3</v>
      </c>
    </row>
    <row r="305" spans="10:21" x14ac:dyDescent="0.35">
      <c r="J305">
        <f t="shared" si="39"/>
        <v>302</v>
      </c>
      <c r="K305">
        <f>demanda!D303</f>
        <v>3</v>
      </c>
      <c r="L305">
        <f>demanda!I303</f>
        <v>3</v>
      </c>
      <c r="M305">
        <v>6.5249082097586548</v>
      </c>
      <c r="N305">
        <f t="shared" si="32"/>
        <v>-3.5249082097586548</v>
      </c>
      <c r="O305">
        <v>1.3734589687128761E-3</v>
      </c>
      <c r="P305">
        <f t="shared" si="33"/>
        <v>-0.35516078560198994</v>
      </c>
      <c r="Q305">
        <f t="shared" si="34"/>
        <v>98.546996700749531</v>
      </c>
      <c r="R305">
        <f t="shared" si="35"/>
        <v>-0.35532401713098288</v>
      </c>
      <c r="S305">
        <f t="shared" si="36"/>
        <v>0.72238591463660118</v>
      </c>
      <c r="T305">
        <f t="shared" si="37"/>
        <v>8.6861935283639592E-5</v>
      </c>
      <c r="U305">
        <f t="shared" si="38"/>
        <v>-1.3177434192717408E-2</v>
      </c>
    </row>
    <row r="306" spans="10:21" x14ac:dyDescent="0.35">
      <c r="J306">
        <f t="shared" si="39"/>
        <v>303</v>
      </c>
      <c r="K306">
        <f>demanda!D304</f>
        <v>3</v>
      </c>
      <c r="L306">
        <f>demanda!I304</f>
        <v>3</v>
      </c>
      <c r="M306">
        <v>6.5249082097586548</v>
      </c>
      <c r="N306">
        <f t="shared" si="32"/>
        <v>-3.5249082097586548</v>
      </c>
      <c r="O306">
        <v>1.3734589687128761E-3</v>
      </c>
      <c r="P306">
        <f t="shared" si="33"/>
        <v>-0.35516078560198994</v>
      </c>
      <c r="Q306">
        <f t="shared" si="34"/>
        <v>98.546996700749531</v>
      </c>
      <c r="R306">
        <f t="shared" si="35"/>
        <v>-0.35532401713098288</v>
      </c>
      <c r="S306">
        <f t="shared" si="36"/>
        <v>0.72238591463660118</v>
      </c>
      <c r="T306">
        <f t="shared" si="37"/>
        <v>8.6861935283639592E-5</v>
      </c>
      <c r="U306">
        <f t="shared" si="38"/>
        <v>-1.3177434192717408E-2</v>
      </c>
    </row>
    <row r="307" spans="10:21" x14ac:dyDescent="0.35">
      <c r="J307">
        <f t="shared" si="39"/>
        <v>304</v>
      </c>
      <c r="K307">
        <f>demanda!D305</f>
        <v>2</v>
      </c>
      <c r="L307">
        <f>demanda!I305</f>
        <v>6</v>
      </c>
      <c r="M307">
        <v>9.1555418996444509</v>
      </c>
      <c r="N307">
        <f t="shared" si="32"/>
        <v>-3.1555418996444509</v>
      </c>
      <c r="O307">
        <v>7.3144910189317154E-4</v>
      </c>
      <c r="P307">
        <f t="shared" si="33"/>
        <v>-0.31794437567906292</v>
      </c>
      <c r="Q307">
        <f t="shared" si="34"/>
        <v>98.548288323887917</v>
      </c>
      <c r="R307">
        <f t="shared" si="35"/>
        <v>-0.31798621894046453</v>
      </c>
      <c r="S307">
        <f t="shared" si="36"/>
        <v>0.7505299890935464</v>
      </c>
      <c r="T307">
        <f t="shared" si="37"/>
        <v>3.702473597000139E-5</v>
      </c>
      <c r="U307">
        <f t="shared" si="38"/>
        <v>-8.6031846543188698E-3</v>
      </c>
    </row>
    <row r="308" spans="10:21" x14ac:dyDescent="0.35">
      <c r="J308">
        <f t="shared" si="39"/>
        <v>305</v>
      </c>
      <c r="K308">
        <f>demanda!D306</f>
        <v>1</v>
      </c>
      <c r="L308">
        <f>demanda!I306</f>
        <v>24</v>
      </c>
      <c r="M308">
        <v>11.786175589530247</v>
      </c>
      <c r="N308">
        <f t="shared" si="32"/>
        <v>12.213824410469753</v>
      </c>
      <c r="O308">
        <v>5.2058796926701797E-4</v>
      </c>
      <c r="P308">
        <f t="shared" si="33"/>
        <v>1.2306338817044562</v>
      </c>
      <c r="Q308">
        <f t="shared" si="34"/>
        <v>98.475665553387771</v>
      </c>
      <c r="R308">
        <f t="shared" si="35"/>
        <v>1.2311197075839402</v>
      </c>
      <c r="S308">
        <f t="shared" si="36"/>
        <v>0.21842895613878141</v>
      </c>
      <c r="T308">
        <f t="shared" si="37"/>
        <v>3.9461552034181306E-4</v>
      </c>
      <c r="U308">
        <f t="shared" si="38"/>
        <v>2.8097030367431282E-2</v>
      </c>
    </row>
    <row r="309" spans="10:21" x14ac:dyDescent="0.35">
      <c r="J309">
        <f t="shared" si="39"/>
        <v>306</v>
      </c>
      <c r="K309">
        <f>demanda!D307</f>
        <v>0</v>
      </c>
      <c r="L309">
        <f>demanda!I307</f>
        <v>14</v>
      </c>
      <c r="M309">
        <v>14.416809279416043</v>
      </c>
      <c r="N309">
        <f t="shared" si="32"/>
        <v>-0.41680927941604295</v>
      </c>
      <c r="O309">
        <v>7.4087557083441532E-4</v>
      </c>
      <c r="P309">
        <f t="shared" si="33"/>
        <v>-4.1996642838463258E-2</v>
      </c>
      <c r="Q309">
        <f t="shared" si="34"/>
        <v>98.553393055166637</v>
      </c>
      <c r="R309">
        <f t="shared" si="35"/>
        <v>-4.2001280140228352E-2</v>
      </c>
      <c r="S309">
        <f t="shared" si="36"/>
        <v>0.96650204701357412</v>
      </c>
      <c r="T309">
        <f t="shared" si="37"/>
        <v>6.5431696937827154E-7</v>
      </c>
      <c r="U309">
        <f t="shared" si="38"/>
        <v>-1.1436578187608104E-3</v>
      </c>
    </row>
    <row r="310" spans="10:21" x14ac:dyDescent="0.35">
      <c r="J310">
        <f t="shared" si="39"/>
        <v>307</v>
      </c>
      <c r="K310">
        <f>demanda!D308</f>
        <v>2</v>
      </c>
      <c r="L310">
        <f>demanda!I308</f>
        <v>8</v>
      </c>
      <c r="M310">
        <v>9.1555418996444509</v>
      </c>
      <c r="N310">
        <f t="shared" si="32"/>
        <v>-1.1555418996444509</v>
      </c>
      <c r="O310">
        <v>7.3144910189317154E-4</v>
      </c>
      <c r="P310">
        <f t="shared" si="33"/>
        <v>-0.11642946268431729</v>
      </c>
      <c r="Q310">
        <f t="shared" si="34"/>
        <v>98.552787009441474</v>
      </c>
      <c r="R310">
        <f t="shared" si="35"/>
        <v>-0.11644212771865178</v>
      </c>
      <c r="S310">
        <f t="shared" si="36"/>
        <v>0.90731433340227419</v>
      </c>
      <c r="T310">
        <f t="shared" si="37"/>
        <v>4.964956671961163E-6</v>
      </c>
      <c r="U310">
        <f t="shared" si="38"/>
        <v>-3.1503664833126038E-3</v>
      </c>
    </row>
    <row r="311" spans="10:21" x14ac:dyDescent="0.35">
      <c r="J311">
        <f t="shared" si="39"/>
        <v>308</v>
      </c>
      <c r="K311">
        <f>demanda!D309</f>
        <v>1</v>
      </c>
      <c r="L311">
        <f>demanda!I309</f>
        <v>17</v>
      </c>
      <c r="M311">
        <v>11.786175589530247</v>
      </c>
      <c r="N311">
        <f t="shared" si="32"/>
        <v>5.2138244104697531</v>
      </c>
      <c r="O311">
        <v>5.2058796926701797E-4</v>
      </c>
      <c r="P311">
        <f t="shared" si="33"/>
        <v>0.52533168622284654</v>
      </c>
      <c r="Q311">
        <f t="shared" si="34"/>
        <v>98.53930324014253</v>
      </c>
      <c r="R311">
        <f t="shared" si="35"/>
        <v>0.52536934840521532</v>
      </c>
      <c r="S311">
        <f t="shared" si="36"/>
        <v>0.59938715228216755</v>
      </c>
      <c r="T311">
        <f t="shared" si="37"/>
        <v>7.1909061372328232E-5</v>
      </c>
      <c r="U311">
        <f t="shared" si="38"/>
        <v>1.1990156964693431E-2</v>
      </c>
    </row>
    <row r="312" spans="10:21" x14ac:dyDescent="0.35">
      <c r="J312">
        <f t="shared" si="39"/>
        <v>309</v>
      </c>
      <c r="K312">
        <f>demanda!D310</f>
        <v>0</v>
      </c>
      <c r="L312">
        <f>demanda!I310</f>
        <v>16</v>
      </c>
      <c r="M312">
        <v>14.416809279416043</v>
      </c>
      <c r="N312">
        <f t="shared" si="32"/>
        <v>1.583190720583957</v>
      </c>
      <c r="O312">
        <v>7.4087557083441532E-4</v>
      </c>
      <c r="P312">
        <f t="shared" si="33"/>
        <v>0.15951827015628237</v>
      </c>
      <c r="Q312">
        <f t="shared" si="34"/>
        <v>98.552175905817947</v>
      </c>
      <c r="R312">
        <f t="shared" si="35"/>
        <v>0.1595368694422851</v>
      </c>
      <c r="S312">
        <f t="shared" si="36"/>
        <v>0.87326270170878273</v>
      </c>
      <c r="T312">
        <f t="shared" si="37"/>
        <v>9.440171775777902E-6</v>
      </c>
      <c r="U312">
        <f t="shared" si="38"/>
        <v>4.3440482649370034E-3</v>
      </c>
    </row>
    <row r="313" spans="10:21" x14ac:dyDescent="0.35">
      <c r="J313">
        <f t="shared" si="39"/>
        <v>310</v>
      </c>
      <c r="K313">
        <f>demanda!D311</f>
        <v>0</v>
      </c>
      <c r="L313">
        <f>demanda!I311</f>
        <v>26</v>
      </c>
      <c r="M313">
        <v>14.416809279416043</v>
      </c>
      <c r="N313">
        <f t="shared" si="32"/>
        <v>11.583190720583957</v>
      </c>
      <c r="O313">
        <v>7.4087557083441532E-4</v>
      </c>
      <c r="P313">
        <f t="shared" si="33"/>
        <v>1.1670928351300105</v>
      </c>
      <c r="Q313">
        <f t="shared" si="34"/>
        <v>98.483478599645508</v>
      </c>
      <c r="R313">
        <f t="shared" si="35"/>
        <v>1.1676359443906161</v>
      </c>
      <c r="S313">
        <f t="shared" si="36"/>
        <v>0.24309869943124471</v>
      </c>
      <c r="T313">
        <f t="shared" si="37"/>
        <v>5.0532390065243979E-4</v>
      </c>
      <c r="U313">
        <f t="shared" si="38"/>
        <v>3.1793697068520609E-2</v>
      </c>
    </row>
    <row r="314" spans="10:21" x14ac:dyDescent="0.35">
      <c r="J314">
        <f t="shared" si="39"/>
        <v>311</v>
      </c>
      <c r="K314">
        <f>demanda!D312</f>
        <v>0</v>
      </c>
      <c r="L314">
        <f>demanda!I312</f>
        <v>95</v>
      </c>
      <c r="M314">
        <v>14.416809279416043</v>
      </c>
      <c r="N314">
        <f t="shared" si="32"/>
        <v>80.583190720583957</v>
      </c>
      <c r="O314">
        <v>7.4087557083441532E-4</v>
      </c>
      <c r="P314">
        <f t="shared" si="33"/>
        <v>8.1193573334487343</v>
      </c>
      <c r="Q314">
        <f t="shared" si="34"/>
        <v>95.165337099990793</v>
      </c>
      <c r="R314">
        <f t="shared" si="35"/>
        <v>8.2635375137839731</v>
      </c>
      <c r="S314">
        <f t="shared" si="36"/>
        <v>2.6047925871747342E-16</v>
      </c>
      <c r="T314">
        <f t="shared" si="37"/>
        <v>2.4456952741220259E-2</v>
      </c>
      <c r="U314">
        <f t="shared" si="38"/>
        <v>0.22500883917608441</v>
      </c>
    </row>
    <row r="315" spans="10:21" x14ac:dyDescent="0.35">
      <c r="J315">
        <f t="shared" si="39"/>
        <v>312</v>
      </c>
      <c r="K315">
        <f>demanda!D313</f>
        <v>0</v>
      </c>
      <c r="L315">
        <f>demanda!I313</f>
        <v>20</v>
      </c>
      <c r="M315">
        <v>14.416809279416043</v>
      </c>
      <c r="N315">
        <f t="shared" si="32"/>
        <v>5.583190720583957</v>
      </c>
      <c r="O315">
        <v>7.4087557083441532E-4</v>
      </c>
      <c r="P315">
        <f t="shared" si="33"/>
        <v>0.56254809614577361</v>
      </c>
      <c r="Q315">
        <f t="shared" si="34"/>
        <v>98.537219295234792</v>
      </c>
      <c r="R315">
        <f t="shared" si="35"/>
        <v>0.56265638426953379</v>
      </c>
      <c r="S315">
        <f t="shared" si="36"/>
        <v>0.57373461200688847</v>
      </c>
      <c r="T315">
        <f t="shared" si="37"/>
        <v>1.1740277235750991E-4</v>
      </c>
      <c r="U315">
        <f t="shared" si="38"/>
        <v>1.5320637156704552E-2</v>
      </c>
    </row>
    <row r="316" spans="10:21" x14ac:dyDescent="0.35">
      <c r="J316">
        <f t="shared" si="39"/>
        <v>313</v>
      </c>
      <c r="K316">
        <f>demanda!D314</f>
        <v>0</v>
      </c>
      <c r="L316">
        <f>demanda!I314</f>
        <v>22</v>
      </c>
      <c r="M316">
        <v>14.416809279416043</v>
      </c>
      <c r="N316">
        <f t="shared" si="32"/>
        <v>7.583190720583957</v>
      </c>
      <c r="O316">
        <v>7.4087557083441532E-4</v>
      </c>
      <c r="P316">
        <f t="shared" si="33"/>
        <v>0.76406300914051917</v>
      </c>
      <c r="Q316">
        <f t="shared" si="34"/>
        <v>98.523479834000298</v>
      </c>
      <c r="R316">
        <f t="shared" si="35"/>
        <v>0.76426337212539786</v>
      </c>
      <c r="S316">
        <f t="shared" si="36"/>
        <v>0.44480426948631324</v>
      </c>
      <c r="T316">
        <f t="shared" si="37"/>
        <v>2.1657951813284224E-4</v>
      </c>
      <c r="U316">
        <f t="shared" si="38"/>
        <v>2.081021764587964E-2</v>
      </c>
    </row>
    <row r="317" spans="10:21" x14ac:dyDescent="0.35">
      <c r="J317">
        <f t="shared" si="39"/>
        <v>314</v>
      </c>
      <c r="K317">
        <f>demanda!D315</f>
        <v>0</v>
      </c>
      <c r="L317">
        <f>demanda!I315</f>
        <v>12</v>
      </c>
      <c r="M317">
        <v>14.416809279416043</v>
      </c>
      <c r="N317">
        <f t="shared" si="32"/>
        <v>-2.416809279416043</v>
      </c>
      <c r="O317">
        <v>7.4087557083441532E-4</v>
      </c>
      <c r="P317">
        <f t="shared" si="33"/>
        <v>-0.24351155583320885</v>
      </c>
      <c r="Q317">
        <f t="shared" si="34"/>
        <v>98.55043610055337</v>
      </c>
      <c r="R317">
        <f t="shared" si="35"/>
        <v>-0.24354209816225414</v>
      </c>
      <c r="S317">
        <f t="shared" si="36"/>
        <v>0.80761150818210881</v>
      </c>
      <c r="T317">
        <f t="shared" si="37"/>
        <v>2.199875915262289E-5</v>
      </c>
      <c r="U317">
        <f t="shared" si="38"/>
        <v>-6.6314365617133417E-3</v>
      </c>
    </row>
    <row r="318" spans="10:21" x14ac:dyDescent="0.35">
      <c r="J318">
        <f t="shared" si="39"/>
        <v>315</v>
      </c>
      <c r="K318">
        <f>demanda!D316</f>
        <v>1</v>
      </c>
      <c r="L318">
        <f>demanda!I316</f>
        <v>4</v>
      </c>
      <c r="M318">
        <v>11.786175589530247</v>
      </c>
      <c r="N318">
        <f t="shared" si="32"/>
        <v>-7.7861755895302469</v>
      </c>
      <c r="O318">
        <v>5.2058796926701797E-4</v>
      </c>
      <c r="P318">
        <f t="shared" si="33"/>
        <v>-0.7845152482429999</v>
      </c>
      <c r="Q318">
        <f t="shared" si="34"/>
        <v>98.52185903620547</v>
      </c>
      <c r="R318">
        <f t="shared" si="35"/>
        <v>-0.784640946599786</v>
      </c>
      <c r="S318">
        <f t="shared" si="36"/>
        <v>0.43276096337473069</v>
      </c>
      <c r="T318">
        <f t="shared" si="37"/>
        <v>1.6036855085321727E-4</v>
      </c>
      <c r="U318">
        <f t="shared" si="38"/>
        <v>-1.7907341071981879E-2</v>
      </c>
    </row>
    <row r="319" spans="10:21" x14ac:dyDescent="0.35">
      <c r="J319">
        <f t="shared" si="39"/>
        <v>316</v>
      </c>
      <c r="K319">
        <f>demanda!D317</f>
        <v>0</v>
      </c>
      <c r="L319">
        <f>demanda!I317</f>
        <v>43</v>
      </c>
      <c r="M319">
        <v>14.416809279416043</v>
      </c>
      <c r="N319">
        <f t="shared" si="32"/>
        <v>28.583190720583957</v>
      </c>
      <c r="O319">
        <v>7.4087557083441532E-4</v>
      </c>
      <c r="P319">
        <f t="shared" si="33"/>
        <v>2.8799695955853482</v>
      </c>
      <c r="Q319">
        <f t="shared" si="34"/>
        <v>98.127203964336218</v>
      </c>
      <c r="R319">
        <f t="shared" si="35"/>
        <v>2.8865357040321125</v>
      </c>
      <c r="S319">
        <f t="shared" si="36"/>
        <v>3.938645307504967E-3</v>
      </c>
      <c r="T319">
        <f t="shared" si="37"/>
        <v>3.0770520295236039E-3</v>
      </c>
      <c r="U319">
        <f t="shared" si="38"/>
        <v>7.8597821686075361E-2</v>
      </c>
    </row>
    <row r="320" spans="10:21" x14ac:dyDescent="0.35">
      <c r="J320">
        <f t="shared" si="39"/>
        <v>317</v>
      </c>
      <c r="K320">
        <f>demanda!D318</f>
        <v>2</v>
      </c>
      <c r="L320">
        <f>demanda!I318</f>
        <v>4</v>
      </c>
      <c r="M320">
        <v>9.1555418996444509</v>
      </c>
      <c r="N320">
        <f t="shared" si="32"/>
        <v>-5.1555418996444509</v>
      </c>
      <c r="O320">
        <v>7.3144910189317154E-4</v>
      </c>
      <c r="P320">
        <f t="shared" si="33"/>
        <v>-0.51945928867380853</v>
      </c>
      <c r="Q320">
        <f t="shared" si="34"/>
        <v>98.539615573748293</v>
      </c>
      <c r="R320">
        <f t="shared" si="35"/>
        <v>-0.51955051447259837</v>
      </c>
      <c r="S320">
        <f t="shared" si="36"/>
        <v>0.60343681513546954</v>
      </c>
      <c r="T320">
        <f t="shared" si="37"/>
        <v>9.8830890695332879E-5</v>
      </c>
      <c r="U320">
        <f t="shared" si="38"/>
        <v>-1.4056549457229766E-2</v>
      </c>
    </row>
    <row r="321" spans="10:21" x14ac:dyDescent="0.35">
      <c r="J321">
        <f t="shared" si="39"/>
        <v>318</v>
      </c>
      <c r="K321">
        <f>demanda!D319</f>
        <v>1</v>
      </c>
      <c r="L321">
        <f>demanda!I319</f>
        <v>2</v>
      </c>
      <c r="M321">
        <v>11.786175589530247</v>
      </c>
      <c r="N321">
        <f t="shared" si="32"/>
        <v>-9.7861755895302469</v>
      </c>
      <c r="O321">
        <v>5.2058796926701797E-4</v>
      </c>
      <c r="P321">
        <f t="shared" si="33"/>
        <v>-0.98603016123774556</v>
      </c>
      <c r="Q321">
        <f t="shared" si="34"/>
        <v>98.503525872599127</v>
      </c>
      <c r="R321">
        <f t="shared" si="35"/>
        <v>-0.98627991600190701</v>
      </c>
      <c r="S321">
        <f t="shared" si="36"/>
        <v>0.32412010689798754</v>
      </c>
      <c r="T321">
        <f t="shared" si="37"/>
        <v>2.5333595131680776E-4</v>
      </c>
      <c r="U321">
        <f t="shared" si="38"/>
        <v>-2.2509213831916283E-2</v>
      </c>
    </row>
    <row r="322" spans="10:21" x14ac:dyDescent="0.35">
      <c r="J322">
        <f t="shared" si="39"/>
        <v>319</v>
      </c>
      <c r="K322">
        <f>demanda!D320</f>
        <v>1</v>
      </c>
      <c r="L322">
        <f>demanda!I320</f>
        <v>4</v>
      </c>
      <c r="M322">
        <v>11.786175589530247</v>
      </c>
      <c r="N322">
        <f t="shared" si="32"/>
        <v>-7.7861755895302469</v>
      </c>
      <c r="O322">
        <v>5.2058796926701797E-4</v>
      </c>
      <c r="P322">
        <f t="shared" si="33"/>
        <v>-0.7845152482429999</v>
      </c>
      <c r="Q322">
        <f t="shared" si="34"/>
        <v>98.52185903620547</v>
      </c>
      <c r="R322">
        <f t="shared" si="35"/>
        <v>-0.784640946599786</v>
      </c>
      <c r="S322">
        <f t="shared" si="36"/>
        <v>0.43276096337473069</v>
      </c>
      <c r="T322">
        <f t="shared" si="37"/>
        <v>1.6036855085321727E-4</v>
      </c>
      <c r="U322">
        <f t="shared" si="38"/>
        <v>-1.7907341071981879E-2</v>
      </c>
    </row>
    <row r="323" spans="10:21" x14ac:dyDescent="0.35">
      <c r="J323">
        <f t="shared" si="39"/>
        <v>320</v>
      </c>
      <c r="K323">
        <f>demanda!D321</f>
        <v>2</v>
      </c>
      <c r="L323">
        <f>demanda!I321</f>
        <v>3</v>
      </c>
      <c r="M323">
        <v>9.1555418996444509</v>
      </c>
      <c r="N323">
        <f t="shared" si="32"/>
        <v>-6.1555418996444509</v>
      </c>
      <c r="O323">
        <v>7.3144910189317154E-4</v>
      </c>
      <c r="P323">
        <f t="shared" si="33"/>
        <v>-0.62021674517118131</v>
      </c>
      <c r="Q323">
        <f t="shared" si="34"/>
        <v>98.533713924458709</v>
      </c>
      <c r="R323">
        <f t="shared" si="35"/>
        <v>-0.62034424251421916</v>
      </c>
      <c r="S323">
        <f t="shared" si="36"/>
        <v>0.53510483257501296</v>
      </c>
      <c r="T323">
        <f t="shared" si="37"/>
        <v>1.4088885884323287E-4</v>
      </c>
      <c r="U323">
        <f t="shared" si="38"/>
        <v>-1.6783545165498539E-2</v>
      </c>
    </row>
    <row r="324" spans="10:21" x14ac:dyDescent="0.35">
      <c r="J324">
        <f t="shared" si="39"/>
        <v>321</v>
      </c>
      <c r="K324">
        <f>demanda!D322</f>
        <v>0</v>
      </c>
      <c r="L324">
        <f>demanda!I322</f>
        <v>16</v>
      </c>
      <c r="M324">
        <v>14.416809279416043</v>
      </c>
      <c r="N324">
        <f t="shared" si="32"/>
        <v>1.583190720583957</v>
      </c>
      <c r="O324">
        <v>7.4087557083441532E-4</v>
      </c>
      <c r="P324">
        <f t="shared" si="33"/>
        <v>0.15951827015628237</v>
      </c>
      <c r="Q324">
        <f t="shared" si="34"/>
        <v>98.552175905817947</v>
      </c>
      <c r="R324">
        <f t="shared" si="35"/>
        <v>0.1595368694422851</v>
      </c>
      <c r="S324">
        <f t="shared" si="36"/>
        <v>0.87326270170878273</v>
      </c>
      <c r="T324">
        <f t="shared" si="37"/>
        <v>9.440171775777902E-6</v>
      </c>
      <c r="U324">
        <f t="shared" si="38"/>
        <v>4.3440482649370034E-3</v>
      </c>
    </row>
    <row r="325" spans="10:21" x14ac:dyDescent="0.35">
      <c r="J325">
        <f t="shared" si="39"/>
        <v>322</v>
      </c>
      <c r="K325">
        <f>demanda!D323</f>
        <v>4</v>
      </c>
      <c r="L325">
        <f>demanda!I323</f>
        <v>4</v>
      </c>
      <c r="M325">
        <v>3.8942745198728588</v>
      </c>
      <c r="N325">
        <f t="shared" ref="N325:N388" si="40">L325-M325</f>
        <v>0.10572548012714122</v>
      </c>
      <c r="O325">
        <v>2.4466175697261316E-3</v>
      </c>
      <c r="P325">
        <f t="shared" ref="P325:P388" si="41">N325/SQRT($X$6)</f>
        <v>1.0652630464574285E-2</v>
      </c>
      <c r="Q325">
        <f t="shared" ref="Q325:Q388" si="42">($X$6-N325^2/((1-O325)*$X$5))*$X$5/($X$5-1)</f>
        <v>98.553477858863673</v>
      </c>
      <c r="R325">
        <f t="shared" ref="R325:R388" si="43">N325/SQRT(Q325*(1-O325))</f>
        <v>1.0662906866275572E-2</v>
      </c>
      <c r="S325">
        <f t="shared" ref="S325:S388" si="44">_xlfn.T.DIST.2T(ABS(R325),$X$5)</f>
        <v>0.99149350080457299</v>
      </c>
      <c r="T325">
        <f t="shared" ref="T325:T388" si="45">(N325^2/$X$6)*(O325/(1-O325)^2)/($X$7+1)</f>
        <v>1.3950106623021426E-7</v>
      </c>
      <c r="U325">
        <f t="shared" ref="U325:U388" si="46">R325*SQRT(O325/(1-O325))</f>
        <v>5.2806889669490694E-4</v>
      </c>
    </row>
    <row r="326" spans="10:21" x14ac:dyDescent="0.35">
      <c r="J326">
        <f t="shared" ref="J326:J389" si="47">J325+1</f>
        <v>323</v>
      </c>
      <c r="K326">
        <f>demanda!D324</f>
        <v>3</v>
      </c>
      <c r="L326">
        <f>demanda!I324</f>
        <v>7</v>
      </c>
      <c r="M326">
        <v>6.5249082097586548</v>
      </c>
      <c r="N326">
        <f t="shared" si="40"/>
        <v>0.47509179024134518</v>
      </c>
      <c r="O326">
        <v>1.3734589687128761E-3</v>
      </c>
      <c r="P326">
        <f t="shared" si="41"/>
        <v>4.7869040387501303E-2</v>
      </c>
      <c r="Q326">
        <f t="shared" si="42"/>
        <v>98.553365858159935</v>
      </c>
      <c r="R326">
        <f t="shared" si="43"/>
        <v>4.7889493409082308E-2</v>
      </c>
      <c r="S326">
        <f t="shared" si="44"/>
        <v>0.96180929609305088</v>
      </c>
      <c r="T326">
        <f t="shared" si="45"/>
        <v>1.5779343417974939E-6</v>
      </c>
      <c r="U326">
        <f t="shared" si="46"/>
        <v>1.7760146162259802E-3</v>
      </c>
    </row>
    <row r="327" spans="10:21" x14ac:dyDescent="0.35">
      <c r="J327">
        <f t="shared" si="47"/>
        <v>324</v>
      </c>
      <c r="K327">
        <f>demanda!D325</f>
        <v>0</v>
      </c>
      <c r="L327">
        <f>demanda!I325</f>
        <v>15</v>
      </c>
      <c r="M327">
        <v>14.416809279416043</v>
      </c>
      <c r="N327">
        <f t="shared" si="40"/>
        <v>0.58319072058395705</v>
      </c>
      <c r="O327">
        <v>7.4087557083441532E-4</v>
      </c>
      <c r="P327">
        <f t="shared" si="41"/>
        <v>5.8760813658909554E-2</v>
      </c>
      <c r="Q327">
        <f t="shared" si="42"/>
        <v>98.553306243487526</v>
      </c>
      <c r="R327">
        <f t="shared" si="43"/>
        <v>5.8767327956256402E-2</v>
      </c>
      <c r="S327">
        <f t="shared" si="44"/>
        <v>0.95314355069247325</v>
      </c>
      <c r="T327">
        <f t="shared" si="45"/>
        <v>1.2809572488725558E-6</v>
      </c>
      <c r="U327">
        <f t="shared" si="46"/>
        <v>1.6001825154010173E-3</v>
      </c>
    </row>
    <row r="328" spans="10:21" x14ac:dyDescent="0.35">
      <c r="J328">
        <f t="shared" si="47"/>
        <v>325</v>
      </c>
      <c r="K328">
        <f>demanda!D326</f>
        <v>0</v>
      </c>
      <c r="L328">
        <f>demanda!I326</f>
        <v>7</v>
      </c>
      <c r="M328">
        <v>14.416809279416043</v>
      </c>
      <c r="N328">
        <f t="shared" si="40"/>
        <v>-7.416809279416043</v>
      </c>
      <c r="O328">
        <v>7.4087557083441532E-4</v>
      </c>
      <c r="P328">
        <f t="shared" si="41"/>
        <v>-0.74729883832007293</v>
      </c>
      <c r="Q328">
        <f t="shared" si="42"/>
        <v>98.524782009186751</v>
      </c>
      <c r="R328">
        <f t="shared" si="43"/>
        <v>-0.74748986544241569</v>
      </c>
      <c r="S328">
        <f t="shared" si="44"/>
        <v>0.45485950007005715</v>
      </c>
      <c r="T328">
        <f t="shared" si="45"/>
        <v>2.0717991394042799E-4</v>
      </c>
      <c r="U328">
        <f t="shared" si="46"/>
        <v>-2.0353489850869988E-2</v>
      </c>
    </row>
    <row r="329" spans="10:21" x14ac:dyDescent="0.35">
      <c r="J329">
        <f t="shared" si="47"/>
        <v>326</v>
      </c>
      <c r="K329">
        <f>demanda!D327</f>
        <v>2</v>
      </c>
      <c r="L329">
        <f>demanda!I327</f>
        <v>36</v>
      </c>
      <c r="M329">
        <v>9.1555418996444509</v>
      </c>
      <c r="N329">
        <f t="shared" si="40"/>
        <v>26.844458100355549</v>
      </c>
      <c r="O329">
        <v>7.3144910189317154E-4</v>
      </c>
      <c r="P329">
        <f t="shared" si="41"/>
        <v>2.7047793192421214</v>
      </c>
      <c r="Q329">
        <f t="shared" si="42"/>
        <v>98.177491825653405</v>
      </c>
      <c r="R329">
        <f t="shared" si="43"/>
        <v>2.7102388431049689</v>
      </c>
      <c r="S329">
        <f t="shared" si="44"/>
        <v>6.7833318994157295E-3</v>
      </c>
      <c r="T329">
        <f t="shared" si="45"/>
        <v>2.6794974663649821E-3</v>
      </c>
      <c r="U329">
        <f t="shared" si="46"/>
        <v>7.3326087219223485E-2</v>
      </c>
    </row>
    <row r="330" spans="10:21" x14ac:dyDescent="0.35">
      <c r="J330">
        <f t="shared" si="47"/>
        <v>327</v>
      </c>
      <c r="K330">
        <f>demanda!D328</f>
        <v>0</v>
      </c>
      <c r="L330">
        <f>demanda!I328</f>
        <v>3</v>
      </c>
      <c r="M330">
        <v>14.416809279416043</v>
      </c>
      <c r="N330">
        <f t="shared" si="40"/>
        <v>-11.416809279416043</v>
      </c>
      <c r="O330">
        <v>7.4087557083441532E-4</v>
      </c>
      <c r="P330">
        <f t="shared" si="41"/>
        <v>-1.150328664309564</v>
      </c>
      <c r="Q330">
        <f t="shared" si="42"/>
        <v>98.485475268264722</v>
      </c>
      <c r="R330">
        <f t="shared" si="43"/>
        <v>-1.1508523061099405</v>
      </c>
      <c r="S330">
        <f t="shared" si="44"/>
        <v>0.24993638008158123</v>
      </c>
      <c r="T330">
        <f t="shared" si="45"/>
        <v>4.9091117422407117E-4</v>
      </c>
      <c r="U330">
        <f t="shared" si="46"/>
        <v>-3.1336693399040466E-2</v>
      </c>
    </row>
    <row r="331" spans="10:21" x14ac:dyDescent="0.35">
      <c r="J331">
        <f t="shared" si="47"/>
        <v>328</v>
      </c>
      <c r="K331">
        <f>demanda!D329</f>
        <v>1</v>
      </c>
      <c r="L331">
        <f>demanda!I329</f>
        <v>3</v>
      </c>
      <c r="M331">
        <v>11.786175589530247</v>
      </c>
      <c r="N331">
        <f t="shared" si="40"/>
        <v>-8.7861755895302469</v>
      </c>
      <c r="O331">
        <v>5.2058796926701797E-4</v>
      </c>
      <c r="P331">
        <f t="shared" si="41"/>
        <v>-0.88527270474037267</v>
      </c>
      <c r="Q331">
        <f t="shared" si="42"/>
        <v>98.513214102399758</v>
      </c>
      <c r="R331">
        <f t="shared" si="43"/>
        <v>-0.88545339538896362</v>
      </c>
      <c r="S331">
        <f t="shared" si="44"/>
        <v>0.37602308055069167</v>
      </c>
      <c r="T331">
        <f t="shared" si="45"/>
        <v>2.0420697614382047E-4</v>
      </c>
      <c r="U331">
        <f t="shared" si="46"/>
        <v>-2.0208116875988336E-2</v>
      </c>
    </row>
    <row r="332" spans="10:21" x14ac:dyDescent="0.35">
      <c r="J332">
        <f t="shared" si="47"/>
        <v>329</v>
      </c>
      <c r="K332">
        <f>demanda!D330</f>
        <v>0</v>
      </c>
      <c r="L332">
        <f>demanda!I330</f>
        <v>10</v>
      </c>
      <c r="M332">
        <v>14.416809279416043</v>
      </c>
      <c r="N332">
        <f t="shared" si="40"/>
        <v>-4.416809279416043</v>
      </c>
      <c r="O332">
        <v>7.4087557083441532E-4</v>
      </c>
      <c r="P332">
        <f t="shared" si="41"/>
        <v>-0.44502646882795449</v>
      </c>
      <c r="Q332">
        <f t="shared" si="42"/>
        <v>98.543305041978172</v>
      </c>
      <c r="R332">
        <f t="shared" si="43"/>
        <v>-0.44509838991165818</v>
      </c>
      <c r="S332">
        <f t="shared" si="44"/>
        <v>0.65629885256814913</v>
      </c>
      <c r="T332">
        <f t="shared" si="45"/>
        <v>7.3473498325511761E-5</v>
      </c>
      <c r="U332">
        <f t="shared" si="46"/>
        <v>-1.2119636640616644E-2</v>
      </c>
    </row>
    <row r="333" spans="10:21" x14ac:dyDescent="0.35">
      <c r="J333">
        <f t="shared" si="47"/>
        <v>330</v>
      </c>
      <c r="K333">
        <f>demanda!D331</f>
        <v>0</v>
      </c>
      <c r="L333">
        <f>demanda!I331</f>
        <v>4</v>
      </c>
      <c r="M333">
        <v>14.416809279416043</v>
      </c>
      <c r="N333">
        <f t="shared" si="40"/>
        <v>-10.416809279416043</v>
      </c>
      <c r="O333">
        <v>7.4087557083441532E-4</v>
      </c>
      <c r="P333">
        <f t="shared" si="41"/>
        <v>-1.0495712078121913</v>
      </c>
      <c r="Q333">
        <f t="shared" si="42"/>
        <v>98.49686724248096</v>
      </c>
      <c r="R333">
        <f t="shared" si="43"/>
        <v>-1.049988258586362</v>
      </c>
      <c r="S333">
        <f t="shared" si="44"/>
        <v>0.29385572056513598</v>
      </c>
      <c r="T333">
        <f t="shared" si="45"/>
        <v>4.0867949778204384E-4</v>
      </c>
      <c r="U333">
        <f t="shared" si="46"/>
        <v>-2.8590254333443563E-2</v>
      </c>
    </row>
    <row r="334" spans="10:21" x14ac:dyDescent="0.35">
      <c r="J334">
        <f t="shared" si="47"/>
        <v>331</v>
      </c>
      <c r="K334">
        <f>demanda!D332</f>
        <v>4</v>
      </c>
      <c r="L334">
        <f>demanda!I332</f>
        <v>2</v>
      </c>
      <c r="M334">
        <v>3.8942745198728588</v>
      </c>
      <c r="N334">
        <f t="shared" si="40"/>
        <v>-1.8942745198728588</v>
      </c>
      <c r="O334">
        <v>2.4466175697261316E-3</v>
      </c>
      <c r="P334">
        <f t="shared" si="41"/>
        <v>-0.19086228253017132</v>
      </c>
      <c r="Q334">
        <f t="shared" si="42"/>
        <v>98.551608270054842</v>
      </c>
      <c r="R334">
        <f t="shared" si="43"/>
        <v>-0.19104821608300357</v>
      </c>
      <c r="S334">
        <f t="shared" si="44"/>
        <v>0.84850802764464628</v>
      </c>
      <c r="T334">
        <f t="shared" si="45"/>
        <v>4.4782056131641625E-5</v>
      </c>
      <c r="U334">
        <f t="shared" si="46"/>
        <v>-9.4614556750527434E-3</v>
      </c>
    </row>
    <row r="335" spans="10:21" x14ac:dyDescent="0.35">
      <c r="J335">
        <f t="shared" si="47"/>
        <v>332</v>
      </c>
      <c r="K335">
        <f>demanda!D333</f>
        <v>1</v>
      </c>
      <c r="L335">
        <f>demanda!I333</f>
        <v>5</v>
      </c>
      <c r="M335">
        <v>11.786175589530247</v>
      </c>
      <c r="N335">
        <f t="shared" si="40"/>
        <v>-6.7861755895302469</v>
      </c>
      <c r="O335">
        <v>5.2058796926701797E-4</v>
      </c>
      <c r="P335">
        <f t="shared" si="41"/>
        <v>-0.68375779174562712</v>
      </c>
      <c r="Q335">
        <f t="shared" si="42"/>
        <v>98.529460674016264</v>
      </c>
      <c r="R335">
        <f t="shared" si="43"/>
        <v>-0.68384096531208116</v>
      </c>
      <c r="S335">
        <f t="shared" si="44"/>
        <v>0.49415815943295716</v>
      </c>
      <c r="T335">
        <f t="shared" si="45"/>
        <v>1.2182067544499816E-4</v>
      </c>
      <c r="U335">
        <f t="shared" si="46"/>
        <v>-1.560684980551091E-2</v>
      </c>
    </row>
    <row r="336" spans="10:21" x14ac:dyDescent="0.35">
      <c r="J336">
        <f t="shared" si="47"/>
        <v>333</v>
      </c>
      <c r="K336">
        <f>demanda!D334</f>
        <v>0</v>
      </c>
      <c r="L336">
        <f>demanda!I334</f>
        <v>11</v>
      </c>
      <c r="M336">
        <v>14.416809279416043</v>
      </c>
      <c r="N336">
        <f t="shared" si="40"/>
        <v>-3.416809279416043</v>
      </c>
      <c r="O336">
        <v>7.4087557083441532E-4</v>
      </c>
      <c r="P336">
        <f t="shared" si="41"/>
        <v>-0.34426901233058166</v>
      </c>
      <c r="Q336">
        <f t="shared" si="42"/>
        <v>98.547392334261005</v>
      </c>
      <c r="R336">
        <f t="shared" si="43"/>
        <v>-0.34431750934619676</v>
      </c>
      <c r="S336">
        <f t="shared" si="44"/>
        <v>0.73064524437297085</v>
      </c>
      <c r="T336">
        <f t="shared" si="45"/>
        <v>4.3969841615361785E-5</v>
      </c>
      <c r="U336">
        <f t="shared" si="46"/>
        <v>-9.3754621379472432E-3</v>
      </c>
    </row>
    <row r="337" spans="10:21" x14ac:dyDescent="0.35">
      <c r="J337">
        <f t="shared" si="47"/>
        <v>334</v>
      </c>
      <c r="K337">
        <f>demanda!D335</f>
        <v>3</v>
      </c>
      <c r="L337">
        <f>demanda!I335</f>
        <v>3</v>
      </c>
      <c r="M337">
        <v>6.5249082097586548</v>
      </c>
      <c r="N337">
        <f t="shared" si="40"/>
        <v>-3.5249082097586548</v>
      </c>
      <c r="O337">
        <v>1.3734589687128761E-3</v>
      </c>
      <c r="P337">
        <f t="shared" si="41"/>
        <v>-0.35516078560198994</v>
      </c>
      <c r="Q337">
        <f t="shared" si="42"/>
        <v>98.546996700749531</v>
      </c>
      <c r="R337">
        <f t="shared" si="43"/>
        <v>-0.35532401713098288</v>
      </c>
      <c r="S337">
        <f t="shared" si="44"/>
        <v>0.72238591463660118</v>
      </c>
      <c r="T337">
        <f t="shared" si="45"/>
        <v>8.6861935283639592E-5</v>
      </c>
      <c r="U337">
        <f t="shared" si="46"/>
        <v>-1.3177434192717408E-2</v>
      </c>
    </row>
    <row r="338" spans="10:21" x14ac:dyDescent="0.35">
      <c r="J338">
        <f t="shared" si="47"/>
        <v>335</v>
      </c>
      <c r="K338">
        <f>demanda!D336</f>
        <v>4</v>
      </c>
      <c r="L338">
        <f>demanda!I336</f>
        <v>3</v>
      </c>
      <c r="M338">
        <v>3.8942745198728588</v>
      </c>
      <c r="N338">
        <f t="shared" si="40"/>
        <v>-0.89427451987285878</v>
      </c>
      <c r="O338">
        <v>2.4466175697261316E-3</v>
      </c>
      <c r="P338">
        <f t="shared" si="41"/>
        <v>-9.0104826032798527E-2</v>
      </c>
      <c r="Q338">
        <f t="shared" si="42"/>
        <v>98.553065719630368</v>
      </c>
      <c r="R338">
        <f t="shared" si="43"/>
        <v>-9.0191937130002245E-2</v>
      </c>
      <c r="S338">
        <f t="shared" si="44"/>
        <v>0.92814410376796586</v>
      </c>
      <c r="T338">
        <f t="shared" si="45"/>
        <v>9.9806748742546123E-6</v>
      </c>
      <c r="U338">
        <f t="shared" si="46"/>
        <v>-4.4666578568412878E-3</v>
      </c>
    </row>
    <row r="339" spans="10:21" x14ac:dyDescent="0.35">
      <c r="J339">
        <f t="shared" si="47"/>
        <v>336</v>
      </c>
      <c r="K339">
        <f>demanda!D337</f>
        <v>5</v>
      </c>
      <c r="L339">
        <f>demanda!I337</f>
        <v>5</v>
      </c>
      <c r="M339">
        <v>1.2636408299870627</v>
      </c>
      <c r="N339">
        <f t="shared" si="40"/>
        <v>3.7363591700129373</v>
      </c>
      <c r="O339">
        <v>3.9509249049329382E-3</v>
      </c>
      <c r="P339">
        <f t="shared" si="41"/>
        <v>0.37646604653113847</v>
      </c>
      <c r="Q339">
        <f t="shared" si="42"/>
        <v>98.546176216657841</v>
      </c>
      <c r="R339">
        <f t="shared" si="43"/>
        <v>0.37712763756228268</v>
      </c>
      <c r="S339">
        <f t="shared" si="44"/>
        <v>0.70612045258139888</v>
      </c>
      <c r="T339">
        <f t="shared" si="45"/>
        <v>2.8220124991725523E-4</v>
      </c>
      <c r="U339">
        <f t="shared" si="46"/>
        <v>2.375184660791909E-2</v>
      </c>
    </row>
    <row r="340" spans="10:21" x14ac:dyDescent="0.35">
      <c r="J340">
        <f t="shared" si="47"/>
        <v>337</v>
      </c>
      <c r="K340">
        <f>demanda!D338</f>
        <v>1</v>
      </c>
      <c r="L340">
        <f>demanda!I338</f>
        <v>15</v>
      </c>
      <c r="M340">
        <v>11.786175589530247</v>
      </c>
      <c r="N340">
        <f t="shared" si="40"/>
        <v>3.2138244104697531</v>
      </c>
      <c r="O340">
        <v>5.2058796926701797E-4</v>
      </c>
      <c r="P340">
        <f t="shared" si="41"/>
        <v>0.32381677322810093</v>
      </c>
      <c r="Q340">
        <f t="shared" si="42"/>
        <v>98.548095772403954</v>
      </c>
      <c r="R340">
        <f t="shared" si="43"/>
        <v>0.3238255414227269</v>
      </c>
      <c r="S340">
        <f t="shared" si="44"/>
        <v>0.74610540567370975</v>
      </c>
      <c r="T340">
        <f t="shared" si="45"/>
        <v>2.7322164893932259E-5</v>
      </c>
      <c r="U340">
        <f t="shared" si="46"/>
        <v>7.390456033686617E-3</v>
      </c>
    </row>
    <row r="341" spans="10:21" x14ac:dyDescent="0.35">
      <c r="J341">
        <f t="shared" si="47"/>
        <v>338</v>
      </c>
      <c r="K341">
        <f>demanda!D339</f>
        <v>1</v>
      </c>
      <c r="L341">
        <f>demanda!I339</f>
        <v>13</v>
      </c>
      <c r="M341">
        <v>11.786175589530247</v>
      </c>
      <c r="N341">
        <f t="shared" si="40"/>
        <v>1.2138244104697531</v>
      </c>
      <c r="O341">
        <v>5.2058796926701797E-4</v>
      </c>
      <c r="P341">
        <f t="shared" si="41"/>
        <v>0.12230186023335533</v>
      </c>
      <c r="Q341">
        <f t="shared" si="42"/>
        <v>98.552715120685733</v>
      </c>
      <c r="R341">
        <f t="shared" si="43"/>
        <v>0.12230230551078146</v>
      </c>
      <c r="S341">
        <f t="shared" si="44"/>
        <v>0.90267241210292171</v>
      </c>
      <c r="T341">
        <f t="shared" si="45"/>
        <v>3.8974679450726784E-6</v>
      </c>
      <c r="U341">
        <f t="shared" si="46"/>
        <v>2.7912245826094769E-3</v>
      </c>
    </row>
    <row r="342" spans="10:21" x14ac:dyDescent="0.35">
      <c r="J342">
        <f t="shared" si="47"/>
        <v>339</v>
      </c>
      <c r="K342">
        <f>demanda!D340</f>
        <v>0</v>
      </c>
      <c r="L342">
        <f>demanda!I340</f>
        <v>15</v>
      </c>
      <c r="M342">
        <v>14.416809279416043</v>
      </c>
      <c r="N342">
        <f t="shared" si="40"/>
        <v>0.58319072058395705</v>
      </c>
      <c r="O342">
        <v>7.4087557083441532E-4</v>
      </c>
      <c r="P342">
        <f t="shared" si="41"/>
        <v>5.8760813658909554E-2</v>
      </c>
      <c r="Q342">
        <f t="shared" si="42"/>
        <v>98.553306243487526</v>
      </c>
      <c r="R342">
        <f t="shared" si="43"/>
        <v>5.8767327956256402E-2</v>
      </c>
      <c r="S342">
        <f t="shared" si="44"/>
        <v>0.95314355069247325</v>
      </c>
      <c r="T342">
        <f t="shared" si="45"/>
        <v>1.2809572488725558E-6</v>
      </c>
      <c r="U342">
        <f t="shared" si="46"/>
        <v>1.6001825154010173E-3</v>
      </c>
    </row>
    <row r="343" spans="10:21" x14ac:dyDescent="0.35">
      <c r="J343">
        <f t="shared" si="47"/>
        <v>340</v>
      </c>
      <c r="K343">
        <f>demanda!D341</f>
        <v>0</v>
      </c>
      <c r="L343">
        <f>demanda!I341</f>
        <v>7</v>
      </c>
      <c r="M343">
        <v>14.416809279416043</v>
      </c>
      <c r="N343">
        <f t="shared" si="40"/>
        <v>-7.416809279416043</v>
      </c>
      <c r="O343">
        <v>7.4087557083441532E-4</v>
      </c>
      <c r="P343">
        <f t="shared" si="41"/>
        <v>-0.74729883832007293</v>
      </c>
      <c r="Q343">
        <f t="shared" si="42"/>
        <v>98.524782009186751</v>
      </c>
      <c r="R343">
        <f t="shared" si="43"/>
        <v>-0.74748986544241569</v>
      </c>
      <c r="S343">
        <f t="shared" si="44"/>
        <v>0.45485950007005715</v>
      </c>
      <c r="T343">
        <f t="shared" si="45"/>
        <v>2.0717991394042799E-4</v>
      </c>
      <c r="U343">
        <f t="shared" si="46"/>
        <v>-2.0353489850869988E-2</v>
      </c>
    </row>
    <row r="344" spans="10:21" x14ac:dyDescent="0.35">
      <c r="J344">
        <f t="shared" si="47"/>
        <v>341</v>
      </c>
      <c r="K344">
        <f>demanda!D342</f>
        <v>0</v>
      </c>
      <c r="L344">
        <f>demanda!I342</f>
        <v>15</v>
      </c>
      <c r="M344">
        <v>14.416809279416043</v>
      </c>
      <c r="N344">
        <f t="shared" si="40"/>
        <v>0.58319072058395705</v>
      </c>
      <c r="O344">
        <v>7.4087557083441532E-4</v>
      </c>
      <c r="P344">
        <f t="shared" si="41"/>
        <v>5.8760813658909554E-2</v>
      </c>
      <c r="Q344">
        <f t="shared" si="42"/>
        <v>98.553306243487526</v>
      </c>
      <c r="R344">
        <f t="shared" si="43"/>
        <v>5.8767327956256402E-2</v>
      </c>
      <c r="S344">
        <f t="shared" si="44"/>
        <v>0.95314355069247325</v>
      </c>
      <c r="T344">
        <f t="shared" si="45"/>
        <v>1.2809572488725558E-6</v>
      </c>
      <c r="U344">
        <f t="shared" si="46"/>
        <v>1.6001825154010173E-3</v>
      </c>
    </row>
    <row r="345" spans="10:21" x14ac:dyDescent="0.35">
      <c r="J345">
        <f t="shared" si="47"/>
        <v>342</v>
      </c>
      <c r="K345">
        <f>demanda!D343</f>
        <v>1</v>
      </c>
      <c r="L345">
        <f>demanda!I343</f>
        <v>15</v>
      </c>
      <c r="M345">
        <v>11.786175589530247</v>
      </c>
      <c r="N345">
        <f t="shared" si="40"/>
        <v>3.2138244104697531</v>
      </c>
      <c r="O345">
        <v>5.2058796926701797E-4</v>
      </c>
      <c r="P345">
        <f t="shared" si="41"/>
        <v>0.32381677322810093</v>
      </c>
      <c r="Q345">
        <f t="shared" si="42"/>
        <v>98.548095772403954</v>
      </c>
      <c r="R345">
        <f t="shared" si="43"/>
        <v>0.3238255414227269</v>
      </c>
      <c r="S345">
        <f t="shared" si="44"/>
        <v>0.74610540567370975</v>
      </c>
      <c r="T345">
        <f t="shared" si="45"/>
        <v>2.7322164893932259E-5</v>
      </c>
      <c r="U345">
        <f t="shared" si="46"/>
        <v>7.390456033686617E-3</v>
      </c>
    </row>
    <row r="346" spans="10:21" x14ac:dyDescent="0.35">
      <c r="J346">
        <f t="shared" si="47"/>
        <v>343</v>
      </c>
      <c r="K346">
        <f>demanda!D344</f>
        <v>0</v>
      </c>
      <c r="L346">
        <f>demanda!I344</f>
        <v>15</v>
      </c>
      <c r="M346">
        <v>14.416809279416043</v>
      </c>
      <c r="N346">
        <f t="shared" si="40"/>
        <v>0.58319072058395705</v>
      </c>
      <c r="O346">
        <v>7.4087557083441532E-4</v>
      </c>
      <c r="P346">
        <f t="shared" si="41"/>
        <v>5.8760813658909554E-2</v>
      </c>
      <c r="Q346">
        <f t="shared" si="42"/>
        <v>98.553306243487526</v>
      </c>
      <c r="R346">
        <f t="shared" si="43"/>
        <v>5.8767327956256402E-2</v>
      </c>
      <c r="S346">
        <f t="shared" si="44"/>
        <v>0.95314355069247325</v>
      </c>
      <c r="T346">
        <f t="shared" si="45"/>
        <v>1.2809572488725558E-6</v>
      </c>
      <c r="U346">
        <f t="shared" si="46"/>
        <v>1.6001825154010173E-3</v>
      </c>
    </row>
    <row r="347" spans="10:21" x14ac:dyDescent="0.35">
      <c r="J347">
        <f t="shared" si="47"/>
        <v>344</v>
      </c>
      <c r="K347">
        <f>demanda!D345</f>
        <v>0</v>
      </c>
      <c r="L347">
        <f>demanda!I345</f>
        <v>15</v>
      </c>
      <c r="M347">
        <v>14.416809279416043</v>
      </c>
      <c r="N347">
        <f t="shared" si="40"/>
        <v>0.58319072058395705</v>
      </c>
      <c r="O347">
        <v>7.4087557083441532E-4</v>
      </c>
      <c r="P347">
        <f t="shared" si="41"/>
        <v>5.8760813658909554E-2</v>
      </c>
      <c r="Q347">
        <f t="shared" si="42"/>
        <v>98.553306243487526</v>
      </c>
      <c r="R347">
        <f t="shared" si="43"/>
        <v>5.8767327956256402E-2</v>
      </c>
      <c r="S347">
        <f t="shared" si="44"/>
        <v>0.95314355069247325</v>
      </c>
      <c r="T347">
        <f t="shared" si="45"/>
        <v>1.2809572488725558E-6</v>
      </c>
      <c r="U347">
        <f t="shared" si="46"/>
        <v>1.6001825154010173E-3</v>
      </c>
    </row>
    <row r="348" spans="10:21" x14ac:dyDescent="0.35">
      <c r="J348">
        <f t="shared" si="47"/>
        <v>345</v>
      </c>
      <c r="K348">
        <f>demanda!D346</f>
        <v>0</v>
      </c>
      <c r="L348">
        <f>demanda!I346</f>
        <v>15</v>
      </c>
      <c r="M348">
        <v>14.416809279416043</v>
      </c>
      <c r="N348">
        <f t="shared" si="40"/>
        <v>0.58319072058395705</v>
      </c>
      <c r="O348">
        <v>7.4087557083441532E-4</v>
      </c>
      <c r="P348">
        <f t="shared" si="41"/>
        <v>5.8760813658909554E-2</v>
      </c>
      <c r="Q348">
        <f t="shared" si="42"/>
        <v>98.553306243487526</v>
      </c>
      <c r="R348">
        <f t="shared" si="43"/>
        <v>5.8767327956256402E-2</v>
      </c>
      <c r="S348">
        <f t="shared" si="44"/>
        <v>0.95314355069247325</v>
      </c>
      <c r="T348">
        <f t="shared" si="45"/>
        <v>1.2809572488725558E-6</v>
      </c>
      <c r="U348">
        <f t="shared" si="46"/>
        <v>1.6001825154010173E-3</v>
      </c>
    </row>
    <row r="349" spans="10:21" x14ac:dyDescent="0.35">
      <c r="J349">
        <f t="shared" si="47"/>
        <v>346</v>
      </c>
      <c r="K349">
        <f>demanda!D347</f>
        <v>0</v>
      </c>
      <c r="L349">
        <f>demanda!I347</f>
        <v>15</v>
      </c>
      <c r="M349">
        <v>14.416809279416043</v>
      </c>
      <c r="N349">
        <f t="shared" si="40"/>
        <v>0.58319072058395705</v>
      </c>
      <c r="O349">
        <v>7.4087557083441532E-4</v>
      </c>
      <c r="P349">
        <f t="shared" si="41"/>
        <v>5.8760813658909554E-2</v>
      </c>
      <c r="Q349">
        <f t="shared" si="42"/>
        <v>98.553306243487526</v>
      </c>
      <c r="R349">
        <f t="shared" si="43"/>
        <v>5.8767327956256402E-2</v>
      </c>
      <c r="S349">
        <f t="shared" si="44"/>
        <v>0.95314355069247325</v>
      </c>
      <c r="T349">
        <f t="shared" si="45"/>
        <v>1.2809572488725558E-6</v>
      </c>
      <c r="U349">
        <f t="shared" si="46"/>
        <v>1.6001825154010173E-3</v>
      </c>
    </row>
    <row r="350" spans="10:21" x14ac:dyDescent="0.35">
      <c r="J350">
        <f t="shared" si="47"/>
        <v>347</v>
      </c>
      <c r="K350">
        <f>demanda!D348</f>
        <v>0</v>
      </c>
      <c r="L350">
        <f>demanda!I348</f>
        <v>15</v>
      </c>
      <c r="M350">
        <v>14.416809279416043</v>
      </c>
      <c r="N350">
        <f t="shared" si="40"/>
        <v>0.58319072058395705</v>
      </c>
      <c r="O350">
        <v>7.4087557083441532E-4</v>
      </c>
      <c r="P350">
        <f t="shared" si="41"/>
        <v>5.8760813658909554E-2</v>
      </c>
      <c r="Q350">
        <f t="shared" si="42"/>
        <v>98.553306243487526</v>
      </c>
      <c r="R350">
        <f t="shared" si="43"/>
        <v>5.8767327956256402E-2</v>
      </c>
      <c r="S350">
        <f t="shared" si="44"/>
        <v>0.95314355069247325</v>
      </c>
      <c r="T350">
        <f t="shared" si="45"/>
        <v>1.2809572488725558E-6</v>
      </c>
      <c r="U350">
        <f t="shared" si="46"/>
        <v>1.6001825154010173E-3</v>
      </c>
    </row>
    <row r="351" spans="10:21" x14ac:dyDescent="0.35">
      <c r="J351">
        <f t="shared" si="47"/>
        <v>348</v>
      </c>
      <c r="K351">
        <f>demanda!D349</f>
        <v>0</v>
      </c>
      <c r="L351">
        <f>demanda!I349</f>
        <v>15</v>
      </c>
      <c r="M351">
        <v>14.416809279416043</v>
      </c>
      <c r="N351">
        <f t="shared" si="40"/>
        <v>0.58319072058395705</v>
      </c>
      <c r="O351">
        <v>7.4087557083441532E-4</v>
      </c>
      <c r="P351">
        <f t="shared" si="41"/>
        <v>5.8760813658909554E-2</v>
      </c>
      <c r="Q351">
        <f t="shared" si="42"/>
        <v>98.553306243487526</v>
      </c>
      <c r="R351">
        <f t="shared" si="43"/>
        <v>5.8767327956256402E-2</v>
      </c>
      <c r="S351">
        <f t="shared" si="44"/>
        <v>0.95314355069247325</v>
      </c>
      <c r="T351">
        <f t="shared" si="45"/>
        <v>1.2809572488725558E-6</v>
      </c>
      <c r="U351">
        <f t="shared" si="46"/>
        <v>1.6001825154010173E-3</v>
      </c>
    </row>
    <row r="352" spans="10:21" x14ac:dyDescent="0.35">
      <c r="J352">
        <f t="shared" si="47"/>
        <v>349</v>
      </c>
      <c r="K352">
        <f>demanda!D350</f>
        <v>0</v>
      </c>
      <c r="L352">
        <f>demanda!I350</f>
        <v>15</v>
      </c>
      <c r="M352">
        <v>14.416809279416043</v>
      </c>
      <c r="N352">
        <f t="shared" si="40"/>
        <v>0.58319072058395705</v>
      </c>
      <c r="O352">
        <v>7.4087557083441532E-4</v>
      </c>
      <c r="P352">
        <f t="shared" si="41"/>
        <v>5.8760813658909554E-2</v>
      </c>
      <c r="Q352">
        <f t="shared" si="42"/>
        <v>98.553306243487526</v>
      </c>
      <c r="R352">
        <f t="shared" si="43"/>
        <v>5.8767327956256402E-2</v>
      </c>
      <c r="S352">
        <f t="shared" si="44"/>
        <v>0.95314355069247325</v>
      </c>
      <c r="T352">
        <f t="shared" si="45"/>
        <v>1.2809572488725558E-6</v>
      </c>
      <c r="U352">
        <f t="shared" si="46"/>
        <v>1.6001825154010173E-3</v>
      </c>
    </row>
    <row r="353" spans="10:21" x14ac:dyDescent="0.35">
      <c r="J353">
        <f t="shared" si="47"/>
        <v>350</v>
      </c>
      <c r="K353">
        <f>demanda!D351</f>
        <v>0</v>
      </c>
      <c r="L353">
        <f>demanda!I351</f>
        <v>15</v>
      </c>
      <c r="M353">
        <v>14.416809279416043</v>
      </c>
      <c r="N353">
        <f t="shared" si="40"/>
        <v>0.58319072058395705</v>
      </c>
      <c r="O353">
        <v>7.4087557083441532E-4</v>
      </c>
      <c r="P353">
        <f t="shared" si="41"/>
        <v>5.8760813658909554E-2</v>
      </c>
      <c r="Q353">
        <f t="shared" si="42"/>
        <v>98.553306243487526</v>
      </c>
      <c r="R353">
        <f t="shared" si="43"/>
        <v>5.8767327956256402E-2</v>
      </c>
      <c r="S353">
        <f t="shared" si="44"/>
        <v>0.95314355069247325</v>
      </c>
      <c r="T353">
        <f t="shared" si="45"/>
        <v>1.2809572488725558E-6</v>
      </c>
      <c r="U353">
        <f t="shared" si="46"/>
        <v>1.6001825154010173E-3</v>
      </c>
    </row>
    <row r="354" spans="10:21" x14ac:dyDescent="0.35">
      <c r="J354">
        <f t="shared" si="47"/>
        <v>351</v>
      </c>
      <c r="K354">
        <f>demanda!D352</f>
        <v>0</v>
      </c>
      <c r="L354">
        <f>demanda!I352</f>
        <v>15</v>
      </c>
      <c r="M354">
        <v>14.416809279416043</v>
      </c>
      <c r="N354">
        <f t="shared" si="40"/>
        <v>0.58319072058395705</v>
      </c>
      <c r="O354">
        <v>7.4087557083441532E-4</v>
      </c>
      <c r="P354">
        <f t="shared" si="41"/>
        <v>5.8760813658909554E-2</v>
      </c>
      <c r="Q354">
        <f t="shared" si="42"/>
        <v>98.553306243487526</v>
      </c>
      <c r="R354">
        <f t="shared" si="43"/>
        <v>5.8767327956256402E-2</v>
      </c>
      <c r="S354">
        <f t="shared" si="44"/>
        <v>0.95314355069247325</v>
      </c>
      <c r="T354">
        <f t="shared" si="45"/>
        <v>1.2809572488725558E-6</v>
      </c>
      <c r="U354">
        <f t="shared" si="46"/>
        <v>1.6001825154010173E-3</v>
      </c>
    </row>
    <row r="355" spans="10:21" x14ac:dyDescent="0.35">
      <c r="J355">
        <f t="shared" si="47"/>
        <v>352</v>
      </c>
      <c r="K355">
        <f>demanda!D353</f>
        <v>0</v>
      </c>
      <c r="L355">
        <f>demanda!I353</f>
        <v>11</v>
      </c>
      <c r="M355">
        <v>14.416809279416043</v>
      </c>
      <c r="N355">
        <f t="shared" si="40"/>
        <v>-3.416809279416043</v>
      </c>
      <c r="O355">
        <v>7.4087557083441532E-4</v>
      </c>
      <c r="P355">
        <f t="shared" si="41"/>
        <v>-0.34426901233058166</v>
      </c>
      <c r="Q355">
        <f t="shared" si="42"/>
        <v>98.547392334261005</v>
      </c>
      <c r="R355">
        <f t="shared" si="43"/>
        <v>-0.34431750934619676</v>
      </c>
      <c r="S355">
        <f t="shared" si="44"/>
        <v>0.73064524437297085</v>
      </c>
      <c r="T355">
        <f t="shared" si="45"/>
        <v>4.3969841615361785E-5</v>
      </c>
      <c r="U355">
        <f t="shared" si="46"/>
        <v>-9.3754621379472432E-3</v>
      </c>
    </row>
    <row r="356" spans="10:21" x14ac:dyDescent="0.35">
      <c r="J356">
        <f t="shared" si="47"/>
        <v>353</v>
      </c>
      <c r="K356">
        <f>demanda!D354</f>
        <v>2</v>
      </c>
      <c r="L356">
        <f>demanda!I354</f>
        <v>14</v>
      </c>
      <c r="M356">
        <v>9.1555418996444509</v>
      </c>
      <c r="N356">
        <f t="shared" si="40"/>
        <v>4.8444581003555491</v>
      </c>
      <c r="O356">
        <v>7.3144910189317154E-4</v>
      </c>
      <c r="P356">
        <f t="shared" si="41"/>
        <v>0.48811527629991952</v>
      </c>
      <c r="Q356">
        <f t="shared" si="42"/>
        <v>98.541238678585685</v>
      </c>
      <c r="R356">
        <f t="shared" si="43"/>
        <v>0.48819697688692698</v>
      </c>
      <c r="S356">
        <f t="shared" si="44"/>
        <v>0.62546610201935371</v>
      </c>
      <c r="T356">
        <f t="shared" si="45"/>
        <v>8.7263871341588124E-5</v>
      </c>
      <c r="U356">
        <f t="shared" si="46"/>
        <v>1.3208272842241742E-2</v>
      </c>
    </row>
    <row r="357" spans="10:21" x14ac:dyDescent="0.35">
      <c r="J357">
        <f t="shared" si="47"/>
        <v>354</v>
      </c>
      <c r="K357">
        <f>demanda!D355</f>
        <v>0</v>
      </c>
      <c r="L357">
        <f>demanda!I355</f>
        <v>15</v>
      </c>
      <c r="M357">
        <v>14.416809279416043</v>
      </c>
      <c r="N357">
        <f t="shared" si="40"/>
        <v>0.58319072058395705</v>
      </c>
      <c r="O357">
        <v>7.4087557083441532E-4</v>
      </c>
      <c r="P357">
        <f t="shared" si="41"/>
        <v>5.8760813658909554E-2</v>
      </c>
      <c r="Q357">
        <f t="shared" si="42"/>
        <v>98.553306243487526</v>
      </c>
      <c r="R357">
        <f t="shared" si="43"/>
        <v>5.8767327956256402E-2</v>
      </c>
      <c r="S357">
        <f t="shared" si="44"/>
        <v>0.95314355069247325</v>
      </c>
      <c r="T357">
        <f t="shared" si="45"/>
        <v>1.2809572488725558E-6</v>
      </c>
      <c r="U357">
        <f t="shared" si="46"/>
        <v>1.6001825154010173E-3</v>
      </c>
    </row>
    <row r="358" spans="10:21" x14ac:dyDescent="0.35">
      <c r="J358">
        <f t="shared" si="47"/>
        <v>355</v>
      </c>
      <c r="K358">
        <f>demanda!D356</f>
        <v>0</v>
      </c>
      <c r="L358">
        <f>demanda!I356</f>
        <v>15</v>
      </c>
      <c r="M358">
        <v>14.416809279416043</v>
      </c>
      <c r="N358">
        <f t="shared" si="40"/>
        <v>0.58319072058395705</v>
      </c>
      <c r="O358">
        <v>7.4087557083441532E-4</v>
      </c>
      <c r="P358">
        <f t="shared" si="41"/>
        <v>5.8760813658909554E-2</v>
      </c>
      <c r="Q358">
        <f t="shared" si="42"/>
        <v>98.553306243487526</v>
      </c>
      <c r="R358">
        <f t="shared" si="43"/>
        <v>5.8767327956256402E-2</v>
      </c>
      <c r="S358">
        <f t="shared" si="44"/>
        <v>0.95314355069247325</v>
      </c>
      <c r="T358">
        <f t="shared" si="45"/>
        <v>1.2809572488725558E-6</v>
      </c>
      <c r="U358">
        <f t="shared" si="46"/>
        <v>1.6001825154010173E-3</v>
      </c>
    </row>
    <row r="359" spans="10:21" x14ac:dyDescent="0.35">
      <c r="J359">
        <f t="shared" si="47"/>
        <v>356</v>
      </c>
      <c r="K359">
        <f>demanda!D357</f>
        <v>0</v>
      </c>
      <c r="L359">
        <f>demanda!I357</f>
        <v>15</v>
      </c>
      <c r="M359">
        <v>14.416809279416043</v>
      </c>
      <c r="N359">
        <f t="shared" si="40"/>
        <v>0.58319072058395705</v>
      </c>
      <c r="O359">
        <v>7.4087557083441532E-4</v>
      </c>
      <c r="P359">
        <f t="shared" si="41"/>
        <v>5.8760813658909554E-2</v>
      </c>
      <c r="Q359">
        <f t="shared" si="42"/>
        <v>98.553306243487526</v>
      </c>
      <c r="R359">
        <f t="shared" si="43"/>
        <v>5.8767327956256402E-2</v>
      </c>
      <c r="S359">
        <f t="shared" si="44"/>
        <v>0.95314355069247325</v>
      </c>
      <c r="T359">
        <f t="shared" si="45"/>
        <v>1.2809572488725558E-6</v>
      </c>
      <c r="U359">
        <f t="shared" si="46"/>
        <v>1.6001825154010173E-3</v>
      </c>
    </row>
    <row r="360" spans="10:21" x14ac:dyDescent="0.35">
      <c r="J360">
        <f t="shared" si="47"/>
        <v>357</v>
      </c>
      <c r="K360">
        <f>demanda!D358</f>
        <v>0</v>
      </c>
      <c r="L360">
        <f>demanda!I358</f>
        <v>15</v>
      </c>
      <c r="M360">
        <v>14.416809279416043</v>
      </c>
      <c r="N360">
        <f t="shared" si="40"/>
        <v>0.58319072058395705</v>
      </c>
      <c r="O360">
        <v>7.4087557083441532E-4</v>
      </c>
      <c r="P360">
        <f t="shared" si="41"/>
        <v>5.8760813658909554E-2</v>
      </c>
      <c r="Q360">
        <f t="shared" si="42"/>
        <v>98.553306243487526</v>
      </c>
      <c r="R360">
        <f t="shared" si="43"/>
        <v>5.8767327956256402E-2</v>
      </c>
      <c r="S360">
        <f t="shared" si="44"/>
        <v>0.95314355069247325</v>
      </c>
      <c r="T360">
        <f t="shared" si="45"/>
        <v>1.2809572488725558E-6</v>
      </c>
      <c r="U360">
        <f t="shared" si="46"/>
        <v>1.6001825154010173E-3</v>
      </c>
    </row>
    <row r="361" spans="10:21" x14ac:dyDescent="0.35">
      <c r="J361">
        <f t="shared" si="47"/>
        <v>358</v>
      </c>
      <c r="K361">
        <f>demanda!D359</f>
        <v>0</v>
      </c>
      <c r="L361">
        <f>demanda!I359</f>
        <v>15</v>
      </c>
      <c r="M361">
        <v>14.416809279416043</v>
      </c>
      <c r="N361">
        <f t="shared" si="40"/>
        <v>0.58319072058395705</v>
      </c>
      <c r="O361">
        <v>7.4087557083441532E-4</v>
      </c>
      <c r="P361">
        <f t="shared" si="41"/>
        <v>5.8760813658909554E-2</v>
      </c>
      <c r="Q361">
        <f t="shared" si="42"/>
        <v>98.553306243487526</v>
      </c>
      <c r="R361">
        <f t="shared" si="43"/>
        <v>5.8767327956256402E-2</v>
      </c>
      <c r="S361">
        <f t="shared" si="44"/>
        <v>0.95314355069247325</v>
      </c>
      <c r="T361">
        <f t="shared" si="45"/>
        <v>1.2809572488725558E-6</v>
      </c>
      <c r="U361">
        <f t="shared" si="46"/>
        <v>1.6001825154010173E-3</v>
      </c>
    </row>
    <row r="362" spans="10:21" x14ac:dyDescent="0.35">
      <c r="J362">
        <f t="shared" si="47"/>
        <v>359</v>
      </c>
      <c r="K362">
        <f>demanda!D360</f>
        <v>0</v>
      </c>
      <c r="L362">
        <f>demanda!I360</f>
        <v>15</v>
      </c>
      <c r="M362">
        <v>14.416809279416043</v>
      </c>
      <c r="N362">
        <f t="shared" si="40"/>
        <v>0.58319072058395705</v>
      </c>
      <c r="O362">
        <v>7.4087557083441532E-4</v>
      </c>
      <c r="P362">
        <f t="shared" si="41"/>
        <v>5.8760813658909554E-2</v>
      </c>
      <c r="Q362">
        <f t="shared" si="42"/>
        <v>98.553306243487526</v>
      </c>
      <c r="R362">
        <f t="shared" si="43"/>
        <v>5.8767327956256402E-2</v>
      </c>
      <c r="S362">
        <f t="shared" si="44"/>
        <v>0.95314355069247325</v>
      </c>
      <c r="T362">
        <f t="shared" si="45"/>
        <v>1.2809572488725558E-6</v>
      </c>
      <c r="U362">
        <f t="shared" si="46"/>
        <v>1.6001825154010173E-3</v>
      </c>
    </row>
    <row r="363" spans="10:21" x14ac:dyDescent="0.35">
      <c r="J363">
        <f t="shared" si="47"/>
        <v>360</v>
      </c>
      <c r="K363">
        <f>demanda!D361</f>
        <v>0</v>
      </c>
      <c r="L363">
        <f>demanda!I361</f>
        <v>15</v>
      </c>
      <c r="M363">
        <v>14.416809279416043</v>
      </c>
      <c r="N363">
        <f t="shared" si="40"/>
        <v>0.58319072058395705</v>
      </c>
      <c r="O363">
        <v>7.4087557083441532E-4</v>
      </c>
      <c r="P363">
        <f t="shared" si="41"/>
        <v>5.8760813658909554E-2</v>
      </c>
      <c r="Q363">
        <f t="shared" si="42"/>
        <v>98.553306243487526</v>
      </c>
      <c r="R363">
        <f t="shared" si="43"/>
        <v>5.8767327956256402E-2</v>
      </c>
      <c r="S363">
        <f t="shared" si="44"/>
        <v>0.95314355069247325</v>
      </c>
      <c r="T363">
        <f t="shared" si="45"/>
        <v>1.2809572488725558E-6</v>
      </c>
      <c r="U363">
        <f t="shared" si="46"/>
        <v>1.6001825154010173E-3</v>
      </c>
    </row>
    <row r="364" spans="10:21" x14ac:dyDescent="0.35">
      <c r="J364">
        <f t="shared" si="47"/>
        <v>361</v>
      </c>
      <c r="K364">
        <f>demanda!D362</f>
        <v>0</v>
      </c>
      <c r="L364">
        <f>demanda!I362</f>
        <v>15</v>
      </c>
      <c r="M364">
        <v>14.416809279416043</v>
      </c>
      <c r="N364">
        <f t="shared" si="40"/>
        <v>0.58319072058395705</v>
      </c>
      <c r="O364">
        <v>7.4087557083441532E-4</v>
      </c>
      <c r="P364">
        <f t="shared" si="41"/>
        <v>5.8760813658909554E-2</v>
      </c>
      <c r="Q364">
        <f t="shared" si="42"/>
        <v>98.553306243487526</v>
      </c>
      <c r="R364">
        <f t="shared" si="43"/>
        <v>5.8767327956256402E-2</v>
      </c>
      <c r="S364">
        <f t="shared" si="44"/>
        <v>0.95314355069247325</v>
      </c>
      <c r="T364">
        <f t="shared" si="45"/>
        <v>1.2809572488725558E-6</v>
      </c>
      <c r="U364">
        <f t="shared" si="46"/>
        <v>1.6001825154010173E-3</v>
      </c>
    </row>
    <row r="365" spans="10:21" x14ac:dyDescent="0.35">
      <c r="J365">
        <f t="shared" si="47"/>
        <v>362</v>
      </c>
      <c r="K365">
        <f>demanda!D363</f>
        <v>0</v>
      </c>
      <c r="L365">
        <f>demanda!I363</f>
        <v>15</v>
      </c>
      <c r="M365">
        <v>14.416809279416043</v>
      </c>
      <c r="N365">
        <f t="shared" si="40"/>
        <v>0.58319072058395705</v>
      </c>
      <c r="O365">
        <v>7.4087557083441532E-4</v>
      </c>
      <c r="P365">
        <f t="shared" si="41"/>
        <v>5.8760813658909554E-2</v>
      </c>
      <c r="Q365">
        <f t="shared" si="42"/>
        <v>98.553306243487526</v>
      </c>
      <c r="R365">
        <f t="shared" si="43"/>
        <v>5.8767327956256402E-2</v>
      </c>
      <c r="S365">
        <f t="shared" si="44"/>
        <v>0.95314355069247325</v>
      </c>
      <c r="T365">
        <f t="shared" si="45"/>
        <v>1.2809572488725558E-6</v>
      </c>
      <c r="U365">
        <f t="shared" si="46"/>
        <v>1.6001825154010173E-3</v>
      </c>
    </row>
    <row r="366" spans="10:21" x14ac:dyDescent="0.35">
      <c r="J366">
        <f t="shared" si="47"/>
        <v>363</v>
      </c>
      <c r="K366">
        <f>demanda!D364</f>
        <v>0</v>
      </c>
      <c r="L366">
        <f>demanda!I364</f>
        <v>4</v>
      </c>
      <c r="M366">
        <v>14.416809279416043</v>
      </c>
      <c r="N366">
        <f t="shared" si="40"/>
        <v>-10.416809279416043</v>
      </c>
      <c r="O366">
        <v>7.4087557083441532E-4</v>
      </c>
      <c r="P366">
        <f t="shared" si="41"/>
        <v>-1.0495712078121913</v>
      </c>
      <c r="Q366">
        <f t="shared" si="42"/>
        <v>98.49686724248096</v>
      </c>
      <c r="R366">
        <f t="shared" si="43"/>
        <v>-1.049988258586362</v>
      </c>
      <c r="S366">
        <f t="shared" si="44"/>
        <v>0.29385572056513598</v>
      </c>
      <c r="T366">
        <f t="shared" si="45"/>
        <v>4.0867949778204384E-4</v>
      </c>
      <c r="U366">
        <f t="shared" si="46"/>
        <v>-2.8590254333443563E-2</v>
      </c>
    </row>
    <row r="367" spans="10:21" x14ac:dyDescent="0.35">
      <c r="J367">
        <f t="shared" si="47"/>
        <v>364</v>
      </c>
      <c r="K367">
        <f>demanda!D365</f>
        <v>2</v>
      </c>
      <c r="L367">
        <f>demanda!I365</f>
        <v>3</v>
      </c>
      <c r="M367">
        <v>9.1555418996444509</v>
      </c>
      <c r="N367">
        <f t="shared" si="40"/>
        <v>-6.1555418996444509</v>
      </c>
      <c r="O367">
        <v>7.3144910189317154E-4</v>
      </c>
      <c r="P367">
        <f t="shared" si="41"/>
        <v>-0.62021674517118131</v>
      </c>
      <c r="Q367">
        <f t="shared" si="42"/>
        <v>98.533713924458709</v>
      </c>
      <c r="R367">
        <f t="shared" si="43"/>
        <v>-0.62034424251421916</v>
      </c>
      <c r="S367">
        <f t="shared" si="44"/>
        <v>0.53510483257501296</v>
      </c>
      <c r="T367">
        <f t="shared" si="45"/>
        <v>1.4088885884323287E-4</v>
      </c>
      <c r="U367">
        <f t="shared" si="46"/>
        <v>-1.6783545165498539E-2</v>
      </c>
    </row>
    <row r="368" spans="10:21" x14ac:dyDescent="0.35">
      <c r="J368">
        <f t="shared" si="47"/>
        <v>365</v>
      </c>
      <c r="K368">
        <f>demanda!D366</f>
        <v>1</v>
      </c>
      <c r="L368">
        <f>demanda!I366</f>
        <v>3</v>
      </c>
      <c r="M368">
        <v>11.786175589530247</v>
      </c>
      <c r="N368">
        <f t="shared" si="40"/>
        <v>-8.7861755895302469</v>
      </c>
      <c r="O368">
        <v>5.2058796926701797E-4</v>
      </c>
      <c r="P368">
        <f t="shared" si="41"/>
        <v>-0.88527270474037267</v>
      </c>
      <c r="Q368">
        <f t="shared" si="42"/>
        <v>98.513214102399758</v>
      </c>
      <c r="R368">
        <f t="shared" si="43"/>
        <v>-0.88545339538896362</v>
      </c>
      <c r="S368">
        <f t="shared" si="44"/>
        <v>0.37602308055069167</v>
      </c>
      <c r="T368">
        <f t="shared" si="45"/>
        <v>2.0420697614382047E-4</v>
      </c>
      <c r="U368">
        <f t="shared" si="46"/>
        <v>-2.0208116875988336E-2</v>
      </c>
    </row>
    <row r="369" spans="10:21" x14ac:dyDescent="0.35">
      <c r="J369">
        <f t="shared" si="47"/>
        <v>366</v>
      </c>
      <c r="K369">
        <f>demanda!D367</f>
        <v>4</v>
      </c>
      <c r="L369">
        <f>demanda!I367</f>
        <v>1</v>
      </c>
      <c r="M369">
        <v>3.8942745198728588</v>
      </c>
      <c r="N369">
        <f t="shared" si="40"/>
        <v>-2.8942745198728588</v>
      </c>
      <c r="O369">
        <v>2.4466175697261316E-3</v>
      </c>
      <c r="P369">
        <f t="shared" si="41"/>
        <v>-0.29161973902754412</v>
      </c>
      <c r="Q369">
        <f t="shared" si="42"/>
        <v>98.549105510137124</v>
      </c>
      <c r="R369">
        <f t="shared" si="43"/>
        <v>-0.2919075347093899</v>
      </c>
      <c r="S369">
        <f t="shared" si="44"/>
        <v>0.77038887469672734</v>
      </c>
      <c r="T369">
        <f t="shared" si="45"/>
        <v>1.0454364483839124E-4</v>
      </c>
      <c r="U369">
        <f t="shared" si="46"/>
        <v>-1.4456404029791516E-2</v>
      </c>
    </row>
    <row r="370" spans="10:21" x14ac:dyDescent="0.35">
      <c r="J370">
        <f t="shared" si="47"/>
        <v>367</v>
      </c>
      <c r="K370">
        <f>demanda!D368</f>
        <v>0</v>
      </c>
      <c r="L370">
        <f>demanda!I368</f>
        <v>15</v>
      </c>
      <c r="M370">
        <v>14.416809279416043</v>
      </c>
      <c r="N370">
        <f t="shared" si="40"/>
        <v>0.58319072058395705</v>
      </c>
      <c r="O370">
        <v>7.4087557083441532E-4</v>
      </c>
      <c r="P370">
        <f t="shared" si="41"/>
        <v>5.8760813658909554E-2</v>
      </c>
      <c r="Q370">
        <f t="shared" si="42"/>
        <v>98.553306243487526</v>
      </c>
      <c r="R370">
        <f t="shared" si="43"/>
        <v>5.8767327956256402E-2</v>
      </c>
      <c r="S370">
        <f t="shared" si="44"/>
        <v>0.95314355069247325</v>
      </c>
      <c r="T370">
        <f t="shared" si="45"/>
        <v>1.2809572488725558E-6</v>
      </c>
      <c r="U370">
        <f t="shared" si="46"/>
        <v>1.6001825154010173E-3</v>
      </c>
    </row>
    <row r="371" spans="10:21" x14ac:dyDescent="0.35">
      <c r="J371">
        <f t="shared" si="47"/>
        <v>368</v>
      </c>
      <c r="K371">
        <f>demanda!D369</f>
        <v>2</v>
      </c>
      <c r="L371">
        <f>demanda!I369</f>
        <v>4</v>
      </c>
      <c r="M371">
        <v>9.1555418996444509</v>
      </c>
      <c r="N371">
        <f t="shared" si="40"/>
        <v>-5.1555418996444509</v>
      </c>
      <c r="O371">
        <v>7.3144910189317154E-4</v>
      </c>
      <c r="P371">
        <f t="shared" si="41"/>
        <v>-0.51945928867380853</v>
      </c>
      <c r="Q371">
        <f t="shared" si="42"/>
        <v>98.539615573748293</v>
      </c>
      <c r="R371">
        <f t="shared" si="43"/>
        <v>-0.51955051447259837</v>
      </c>
      <c r="S371">
        <f t="shared" si="44"/>
        <v>0.60343681513546954</v>
      </c>
      <c r="T371">
        <f t="shared" si="45"/>
        <v>9.8830890695332879E-5</v>
      </c>
      <c r="U371">
        <f t="shared" si="46"/>
        <v>-1.4056549457229766E-2</v>
      </c>
    </row>
    <row r="372" spans="10:21" x14ac:dyDescent="0.35">
      <c r="J372">
        <f t="shared" si="47"/>
        <v>369</v>
      </c>
      <c r="K372">
        <f>demanda!D370</f>
        <v>3</v>
      </c>
      <c r="L372">
        <f>demanda!I370</f>
        <v>3</v>
      </c>
      <c r="M372">
        <v>6.5249082097586548</v>
      </c>
      <c r="N372">
        <f t="shared" si="40"/>
        <v>-3.5249082097586548</v>
      </c>
      <c r="O372">
        <v>1.3734589687128761E-3</v>
      </c>
      <c r="P372">
        <f t="shared" si="41"/>
        <v>-0.35516078560198994</v>
      </c>
      <c r="Q372">
        <f t="shared" si="42"/>
        <v>98.546996700749531</v>
      </c>
      <c r="R372">
        <f t="shared" si="43"/>
        <v>-0.35532401713098288</v>
      </c>
      <c r="S372">
        <f t="shared" si="44"/>
        <v>0.72238591463660118</v>
      </c>
      <c r="T372">
        <f t="shared" si="45"/>
        <v>8.6861935283639592E-5</v>
      </c>
      <c r="U372">
        <f t="shared" si="46"/>
        <v>-1.3177434192717408E-2</v>
      </c>
    </row>
    <row r="373" spans="10:21" x14ac:dyDescent="0.35">
      <c r="J373">
        <f t="shared" si="47"/>
        <v>370</v>
      </c>
      <c r="K373">
        <f>demanda!D371</f>
        <v>4</v>
      </c>
      <c r="L373">
        <f>demanda!I371</f>
        <v>3</v>
      </c>
      <c r="M373">
        <v>3.8942745198728588</v>
      </c>
      <c r="N373">
        <f t="shared" si="40"/>
        <v>-0.89427451987285878</v>
      </c>
      <c r="O373">
        <v>2.4466175697261316E-3</v>
      </c>
      <c r="P373">
        <f t="shared" si="41"/>
        <v>-9.0104826032798527E-2</v>
      </c>
      <c r="Q373">
        <f t="shared" si="42"/>
        <v>98.553065719630368</v>
      </c>
      <c r="R373">
        <f t="shared" si="43"/>
        <v>-9.0191937130002245E-2</v>
      </c>
      <c r="S373">
        <f t="shared" si="44"/>
        <v>0.92814410376796586</v>
      </c>
      <c r="T373">
        <f t="shared" si="45"/>
        <v>9.9806748742546123E-6</v>
      </c>
      <c r="U373">
        <f t="shared" si="46"/>
        <v>-4.4666578568412878E-3</v>
      </c>
    </row>
    <row r="374" spans="10:21" x14ac:dyDescent="0.35">
      <c r="J374">
        <f t="shared" si="47"/>
        <v>371</v>
      </c>
      <c r="K374">
        <f>demanda!D372</f>
        <v>2</v>
      </c>
      <c r="L374">
        <f>demanda!I372</f>
        <v>7</v>
      </c>
      <c r="M374">
        <v>9.1555418996444509</v>
      </c>
      <c r="N374">
        <f t="shared" si="40"/>
        <v>-2.1555418996444509</v>
      </c>
      <c r="O374">
        <v>7.3144910189317154E-4</v>
      </c>
      <c r="P374">
        <f t="shared" si="41"/>
        <v>-0.21718691918169009</v>
      </c>
      <c r="Q374">
        <f t="shared" si="42"/>
        <v>98.551059424737957</v>
      </c>
      <c r="R374">
        <f t="shared" si="43"/>
        <v>-0.21721244829655789</v>
      </c>
      <c r="S374">
        <f t="shared" si="44"/>
        <v>0.82806587463373482</v>
      </c>
      <c r="T374">
        <f t="shared" si="45"/>
        <v>1.7276549392569864E-5</v>
      </c>
      <c r="U374">
        <f t="shared" si="46"/>
        <v>-5.8767288976817314E-3</v>
      </c>
    </row>
    <row r="375" spans="10:21" x14ac:dyDescent="0.35">
      <c r="J375">
        <f t="shared" si="47"/>
        <v>372</v>
      </c>
      <c r="K375">
        <f>demanda!D373</f>
        <v>0</v>
      </c>
      <c r="L375">
        <f>demanda!I373</f>
        <v>26</v>
      </c>
      <c r="M375">
        <v>14.416809279416043</v>
      </c>
      <c r="N375">
        <f t="shared" si="40"/>
        <v>11.583190720583957</v>
      </c>
      <c r="O375">
        <v>7.4087557083441532E-4</v>
      </c>
      <c r="P375">
        <f t="shared" si="41"/>
        <v>1.1670928351300105</v>
      </c>
      <c r="Q375">
        <f t="shared" si="42"/>
        <v>98.483478599645508</v>
      </c>
      <c r="R375">
        <f t="shared" si="43"/>
        <v>1.1676359443906161</v>
      </c>
      <c r="S375">
        <f t="shared" si="44"/>
        <v>0.24309869943124471</v>
      </c>
      <c r="T375">
        <f t="shared" si="45"/>
        <v>5.0532390065243979E-4</v>
      </c>
      <c r="U375">
        <f t="shared" si="46"/>
        <v>3.1793697068520609E-2</v>
      </c>
    </row>
    <row r="376" spans="10:21" x14ac:dyDescent="0.35">
      <c r="J376">
        <f t="shared" si="47"/>
        <v>373</v>
      </c>
      <c r="K376">
        <f>demanda!D374</f>
        <v>0</v>
      </c>
      <c r="L376">
        <f>demanda!I374</f>
        <v>13</v>
      </c>
      <c r="M376">
        <v>14.416809279416043</v>
      </c>
      <c r="N376">
        <f t="shared" si="40"/>
        <v>-1.416809279416043</v>
      </c>
      <c r="O376">
        <v>7.4087557083441532E-4</v>
      </c>
      <c r="P376">
        <f t="shared" si="41"/>
        <v>-0.14275409933583605</v>
      </c>
      <c r="Q376">
        <f t="shared" si="42"/>
        <v>98.552436340855238</v>
      </c>
      <c r="R376">
        <f t="shared" si="43"/>
        <v>-0.14277055533334676</v>
      </c>
      <c r="S376">
        <f t="shared" si="44"/>
        <v>0.88648638054980111</v>
      </c>
      <c r="T376">
        <f t="shared" si="45"/>
        <v>7.5602509372950483E-6</v>
      </c>
      <c r="U376">
        <f t="shared" si="46"/>
        <v>-3.8875163173756836E-3</v>
      </c>
    </row>
    <row r="377" spans="10:21" x14ac:dyDescent="0.35">
      <c r="J377">
        <f t="shared" si="47"/>
        <v>374</v>
      </c>
      <c r="K377">
        <f>demanda!D375</f>
        <v>2</v>
      </c>
      <c r="L377">
        <f>demanda!I375</f>
        <v>8</v>
      </c>
      <c r="M377">
        <v>9.1555418996444509</v>
      </c>
      <c r="N377">
        <f t="shared" si="40"/>
        <v>-1.1555418996444509</v>
      </c>
      <c r="O377">
        <v>7.3144910189317154E-4</v>
      </c>
      <c r="P377">
        <f t="shared" si="41"/>
        <v>-0.11642946268431729</v>
      </c>
      <c r="Q377">
        <f t="shared" si="42"/>
        <v>98.552787009441474</v>
      </c>
      <c r="R377">
        <f t="shared" si="43"/>
        <v>-0.11644212771865178</v>
      </c>
      <c r="S377">
        <f t="shared" si="44"/>
        <v>0.90731433340227419</v>
      </c>
      <c r="T377">
        <f t="shared" si="45"/>
        <v>4.964956671961163E-6</v>
      </c>
      <c r="U377">
        <f t="shared" si="46"/>
        <v>-3.1503664833126038E-3</v>
      </c>
    </row>
    <row r="378" spans="10:21" x14ac:dyDescent="0.35">
      <c r="J378">
        <f t="shared" si="47"/>
        <v>375</v>
      </c>
      <c r="K378">
        <f>demanda!D376</f>
        <v>0</v>
      </c>
      <c r="L378">
        <f>demanda!I376</f>
        <v>5</v>
      </c>
      <c r="M378">
        <v>14.416809279416043</v>
      </c>
      <c r="N378">
        <f t="shared" si="40"/>
        <v>-9.416809279416043</v>
      </c>
      <c r="O378">
        <v>7.4087557083441532E-4</v>
      </c>
      <c r="P378">
        <f t="shared" si="41"/>
        <v>-0.94881375131481849</v>
      </c>
      <c r="Q378">
        <f t="shared" si="42"/>
        <v>98.507215690706701</v>
      </c>
      <c r="R378">
        <f t="shared" si="43"/>
        <v>-0.94914090693055775</v>
      </c>
      <c r="S378">
        <f t="shared" si="44"/>
        <v>0.34266846368408377</v>
      </c>
      <c r="T378">
        <f t="shared" si="45"/>
        <v>3.339803955874275E-4</v>
      </c>
      <c r="U378">
        <f t="shared" si="46"/>
        <v>-2.5844269881602652E-2</v>
      </c>
    </row>
    <row r="379" spans="10:21" x14ac:dyDescent="0.35">
      <c r="J379">
        <f t="shared" si="47"/>
        <v>376</v>
      </c>
      <c r="K379">
        <f>demanda!D377</f>
        <v>0</v>
      </c>
      <c r="L379">
        <f>demanda!I377</f>
        <v>19</v>
      </c>
      <c r="M379">
        <v>14.416809279416043</v>
      </c>
      <c r="N379">
        <f t="shared" si="40"/>
        <v>4.583190720583957</v>
      </c>
      <c r="O379">
        <v>7.4087557083441532E-4</v>
      </c>
      <c r="P379">
        <f t="shared" si="41"/>
        <v>0.46179063964840078</v>
      </c>
      <c r="Q379">
        <f t="shared" si="42"/>
        <v>98.542523736866301</v>
      </c>
      <c r="R379">
        <f t="shared" si="43"/>
        <v>0.46186710097403588</v>
      </c>
      <c r="S379">
        <f t="shared" si="44"/>
        <v>0.64422898084639124</v>
      </c>
      <c r="T379">
        <f t="shared" si="45"/>
        <v>7.9113260840960322E-5</v>
      </c>
      <c r="U379">
        <f t="shared" si="46"/>
        <v>1.2576233855106329E-2</v>
      </c>
    </row>
    <row r="380" spans="10:21" x14ac:dyDescent="0.35">
      <c r="J380">
        <f t="shared" si="47"/>
        <v>377</v>
      </c>
      <c r="K380">
        <f>demanda!D378</f>
        <v>3</v>
      </c>
      <c r="L380">
        <f>demanda!I378</f>
        <v>4</v>
      </c>
      <c r="M380">
        <v>6.5249082097586548</v>
      </c>
      <c r="N380">
        <f t="shared" si="40"/>
        <v>-2.5249082097586548</v>
      </c>
      <c r="O380">
        <v>1.3734589687128761E-3</v>
      </c>
      <c r="P380">
        <f t="shared" si="41"/>
        <v>-0.2544033291046171</v>
      </c>
      <c r="Q380">
        <f t="shared" si="42"/>
        <v>98.550155270625524</v>
      </c>
      <c r="R380">
        <f t="shared" si="43"/>
        <v>-0.25451617384299874</v>
      </c>
      <c r="S380">
        <f t="shared" si="44"/>
        <v>0.79912408038987892</v>
      </c>
      <c r="T380">
        <f t="shared" si="45"/>
        <v>4.4568197050885148E-5</v>
      </c>
      <c r="U380">
        <f t="shared" si="46"/>
        <v>-9.4389063786870474E-3</v>
      </c>
    </row>
    <row r="381" spans="10:21" x14ac:dyDescent="0.35">
      <c r="J381">
        <f t="shared" si="47"/>
        <v>378</v>
      </c>
      <c r="K381">
        <f>demanda!D379</f>
        <v>4</v>
      </c>
      <c r="L381">
        <f>demanda!I379</f>
        <v>3</v>
      </c>
      <c r="M381">
        <v>3.8942745198728588</v>
      </c>
      <c r="N381">
        <f t="shared" si="40"/>
        <v>-0.89427451987285878</v>
      </c>
      <c r="O381">
        <v>2.4466175697261316E-3</v>
      </c>
      <c r="P381">
        <f t="shared" si="41"/>
        <v>-9.0104826032798527E-2</v>
      </c>
      <c r="Q381">
        <f t="shared" si="42"/>
        <v>98.553065719630368</v>
      </c>
      <c r="R381">
        <f t="shared" si="43"/>
        <v>-9.0191937130002245E-2</v>
      </c>
      <c r="S381">
        <f t="shared" si="44"/>
        <v>0.92814410376796586</v>
      </c>
      <c r="T381">
        <f t="shared" si="45"/>
        <v>9.9806748742546123E-6</v>
      </c>
      <c r="U381">
        <f t="shared" si="46"/>
        <v>-4.4666578568412878E-3</v>
      </c>
    </row>
    <row r="382" spans="10:21" x14ac:dyDescent="0.35">
      <c r="J382">
        <f t="shared" si="47"/>
        <v>379</v>
      </c>
      <c r="K382">
        <f>demanda!D380</f>
        <v>1</v>
      </c>
      <c r="L382">
        <f>demanda!I380</f>
        <v>4</v>
      </c>
      <c r="M382">
        <v>11.786175589530247</v>
      </c>
      <c r="N382">
        <f t="shared" si="40"/>
        <v>-7.7861755895302469</v>
      </c>
      <c r="O382">
        <v>5.2058796926701797E-4</v>
      </c>
      <c r="P382">
        <f t="shared" si="41"/>
        <v>-0.7845152482429999</v>
      </c>
      <c r="Q382">
        <f t="shared" si="42"/>
        <v>98.52185903620547</v>
      </c>
      <c r="R382">
        <f t="shared" si="43"/>
        <v>-0.784640946599786</v>
      </c>
      <c r="S382">
        <f t="shared" si="44"/>
        <v>0.43276096337473069</v>
      </c>
      <c r="T382">
        <f t="shared" si="45"/>
        <v>1.6036855085321727E-4</v>
      </c>
      <c r="U382">
        <f t="shared" si="46"/>
        <v>-1.7907341071981879E-2</v>
      </c>
    </row>
    <row r="383" spans="10:21" x14ac:dyDescent="0.35">
      <c r="J383">
        <f t="shared" si="47"/>
        <v>380</v>
      </c>
      <c r="K383">
        <f>demanda!D381</f>
        <v>0</v>
      </c>
      <c r="L383">
        <f>demanda!I381</f>
        <v>11</v>
      </c>
      <c r="M383">
        <v>14.416809279416043</v>
      </c>
      <c r="N383">
        <f t="shared" si="40"/>
        <v>-3.416809279416043</v>
      </c>
      <c r="O383">
        <v>7.4087557083441532E-4</v>
      </c>
      <c r="P383">
        <f t="shared" si="41"/>
        <v>-0.34426901233058166</v>
      </c>
      <c r="Q383">
        <f t="shared" si="42"/>
        <v>98.547392334261005</v>
      </c>
      <c r="R383">
        <f t="shared" si="43"/>
        <v>-0.34431750934619676</v>
      </c>
      <c r="S383">
        <f t="shared" si="44"/>
        <v>0.73064524437297085</v>
      </c>
      <c r="T383">
        <f t="shared" si="45"/>
        <v>4.3969841615361785E-5</v>
      </c>
      <c r="U383">
        <f t="shared" si="46"/>
        <v>-9.3754621379472432E-3</v>
      </c>
    </row>
    <row r="384" spans="10:21" x14ac:dyDescent="0.35">
      <c r="J384">
        <f t="shared" si="47"/>
        <v>381</v>
      </c>
      <c r="K384">
        <f>demanda!D382</f>
        <v>6</v>
      </c>
      <c r="L384">
        <f>demanda!I382</f>
        <v>5</v>
      </c>
      <c r="M384">
        <v>-1.3669928598987333</v>
      </c>
      <c r="N384">
        <f t="shared" si="40"/>
        <v>6.3669928598987333</v>
      </c>
      <c r="O384">
        <v>5.8863809743332956E-3</v>
      </c>
      <c r="P384">
        <f t="shared" si="41"/>
        <v>0.64152200610032994</v>
      </c>
      <c r="Q384">
        <f t="shared" si="42"/>
        <v>98.532222680877823</v>
      </c>
      <c r="R384">
        <f t="shared" si="43"/>
        <v>0.64332023398748761</v>
      </c>
      <c r="S384">
        <f t="shared" si="44"/>
        <v>0.5200931948025157</v>
      </c>
      <c r="T384">
        <f t="shared" si="45"/>
        <v>1.2256583863994638E-3</v>
      </c>
      <c r="U384">
        <f t="shared" si="46"/>
        <v>4.9503212450970599E-2</v>
      </c>
    </row>
    <row r="385" spans="10:21" x14ac:dyDescent="0.35">
      <c r="J385">
        <f t="shared" si="47"/>
        <v>382</v>
      </c>
      <c r="K385">
        <f>demanda!D383</f>
        <v>1</v>
      </c>
      <c r="L385">
        <f>demanda!I383</f>
        <v>9</v>
      </c>
      <c r="M385">
        <v>11.786175589530247</v>
      </c>
      <c r="N385">
        <f t="shared" si="40"/>
        <v>-2.7861755895302469</v>
      </c>
      <c r="O385">
        <v>5.2058796926701797E-4</v>
      </c>
      <c r="P385">
        <f t="shared" si="41"/>
        <v>-0.2807279657561359</v>
      </c>
      <c r="Q385">
        <f t="shared" si="42"/>
        <v>98.549434265310296</v>
      </c>
      <c r="R385">
        <f t="shared" si="43"/>
        <v>-0.2807336607336009</v>
      </c>
      <c r="S385">
        <f t="shared" si="44"/>
        <v>0.77894495126310248</v>
      </c>
      <c r="T385">
        <f t="shared" si="45"/>
        <v>2.0534672635962656E-5</v>
      </c>
      <c r="U385">
        <f t="shared" si="46"/>
        <v>-6.4069985576559628E-3</v>
      </c>
    </row>
    <row r="386" spans="10:21" x14ac:dyDescent="0.35">
      <c r="J386">
        <f t="shared" si="47"/>
        <v>383</v>
      </c>
      <c r="K386">
        <f>demanda!D384</f>
        <v>1</v>
      </c>
      <c r="L386">
        <f>demanda!I384</f>
        <v>11</v>
      </c>
      <c r="M386">
        <v>11.786175589530247</v>
      </c>
      <c r="N386">
        <f t="shared" si="40"/>
        <v>-0.78617558953024691</v>
      </c>
      <c r="O386">
        <v>5.2058796926701797E-4</v>
      </c>
      <c r="P386">
        <f t="shared" si="41"/>
        <v>-7.9213052761390276E-2</v>
      </c>
      <c r="Q386">
        <f t="shared" si="42"/>
        <v>98.553161284987851</v>
      </c>
      <c r="R386">
        <f t="shared" si="43"/>
        <v>-7.9213161855515926E-2</v>
      </c>
      <c r="S386">
        <f t="shared" si="44"/>
        <v>0.93687133485398588</v>
      </c>
      <c r="T386">
        <f t="shared" si="45"/>
        <v>1.6349705257494771E-6</v>
      </c>
      <c r="U386">
        <f t="shared" si="46"/>
        <v>-1.8078295720913319E-3</v>
      </c>
    </row>
    <row r="387" spans="10:21" x14ac:dyDescent="0.35">
      <c r="J387">
        <f t="shared" si="47"/>
        <v>384</v>
      </c>
      <c r="K387">
        <f>demanda!D385</f>
        <v>0</v>
      </c>
      <c r="L387">
        <f>demanda!I385</f>
        <v>32</v>
      </c>
      <c r="M387">
        <v>14.416809279416043</v>
      </c>
      <c r="N387">
        <f t="shared" si="40"/>
        <v>17.583190720583957</v>
      </c>
      <c r="O387">
        <v>7.4087557083441532E-4</v>
      </c>
      <c r="P387">
        <f t="shared" si="41"/>
        <v>1.7716375741142472</v>
      </c>
      <c r="Q387">
        <f t="shared" si="42"/>
        <v>98.392170968398787</v>
      </c>
      <c r="R387">
        <f t="shared" si="43"/>
        <v>1.7732842385483347</v>
      </c>
      <c r="S387">
        <f t="shared" si="44"/>
        <v>7.6340197833702841E-2</v>
      </c>
      <c r="T387">
        <f t="shared" si="45"/>
        <v>1.1644177018541677E-3</v>
      </c>
      <c r="U387">
        <f t="shared" si="46"/>
        <v>4.8284966018421152E-2</v>
      </c>
    </row>
    <row r="388" spans="10:21" x14ac:dyDescent="0.35">
      <c r="J388">
        <f t="shared" si="47"/>
        <v>385</v>
      </c>
      <c r="K388">
        <f>demanda!D386</f>
        <v>2</v>
      </c>
      <c r="L388">
        <f>demanda!I386</f>
        <v>7</v>
      </c>
      <c r="M388">
        <v>9.1555418996444509</v>
      </c>
      <c r="N388">
        <f t="shared" si="40"/>
        <v>-2.1555418996444509</v>
      </c>
      <c r="O388">
        <v>7.3144910189317154E-4</v>
      </c>
      <c r="P388">
        <f t="shared" si="41"/>
        <v>-0.21718691918169009</v>
      </c>
      <c r="Q388">
        <f t="shared" si="42"/>
        <v>98.551059424737957</v>
      </c>
      <c r="R388">
        <f t="shared" si="43"/>
        <v>-0.21721244829655789</v>
      </c>
      <c r="S388">
        <f t="shared" si="44"/>
        <v>0.82806587463373482</v>
      </c>
      <c r="T388">
        <f t="shared" si="45"/>
        <v>1.7276549392569864E-5</v>
      </c>
      <c r="U388">
        <f t="shared" si="46"/>
        <v>-5.8767288976817314E-3</v>
      </c>
    </row>
    <row r="389" spans="10:21" x14ac:dyDescent="0.35">
      <c r="J389">
        <f t="shared" si="47"/>
        <v>386</v>
      </c>
      <c r="K389">
        <f>demanda!D387</f>
        <v>1</v>
      </c>
      <c r="L389">
        <f>demanda!I387</f>
        <v>4</v>
      </c>
      <c r="M389">
        <v>11.786175589530247</v>
      </c>
      <c r="N389">
        <f t="shared" ref="N389:N452" si="48">L389-M389</f>
        <v>-7.7861755895302469</v>
      </c>
      <c r="O389">
        <v>5.2058796926701797E-4</v>
      </c>
      <c r="P389">
        <f t="shared" ref="P389:P452" si="49">N389/SQRT($X$6)</f>
        <v>-0.7845152482429999</v>
      </c>
      <c r="Q389">
        <f t="shared" ref="Q389:Q452" si="50">($X$6-N389^2/((1-O389)*$X$5))*$X$5/($X$5-1)</f>
        <v>98.52185903620547</v>
      </c>
      <c r="R389">
        <f t="shared" ref="R389:R452" si="51">N389/SQRT(Q389*(1-O389))</f>
        <v>-0.784640946599786</v>
      </c>
      <c r="S389">
        <f t="shared" ref="S389:S452" si="52">_xlfn.T.DIST.2T(ABS(R389),$X$5)</f>
        <v>0.43276096337473069</v>
      </c>
      <c r="T389">
        <f t="shared" ref="T389:T452" si="53">(N389^2/$X$6)*(O389/(1-O389)^2)/($X$7+1)</f>
        <v>1.6036855085321727E-4</v>
      </c>
      <c r="U389">
        <f t="shared" ref="U389:U452" si="54">R389*SQRT(O389/(1-O389))</f>
        <v>-1.7907341071981879E-2</v>
      </c>
    </row>
    <row r="390" spans="10:21" x14ac:dyDescent="0.35">
      <c r="J390">
        <f t="shared" ref="J390:J453" si="55">J389+1</f>
        <v>387</v>
      </c>
      <c r="K390">
        <f>demanda!D388</f>
        <v>0</v>
      </c>
      <c r="L390">
        <f>demanda!I388</f>
        <v>4</v>
      </c>
      <c r="M390">
        <v>14.416809279416043</v>
      </c>
      <c r="N390">
        <f t="shared" si="48"/>
        <v>-10.416809279416043</v>
      </c>
      <c r="O390">
        <v>7.4087557083441532E-4</v>
      </c>
      <c r="P390">
        <f t="shared" si="49"/>
        <v>-1.0495712078121913</v>
      </c>
      <c r="Q390">
        <f t="shared" si="50"/>
        <v>98.49686724248096</v>
      </c>
      <c r="R390">
        <f t="shared" si="51"/>
        <v>-1.049988258586362</v>
      </c>
      <c r="S390">
        <f t="shared" si="52"/>
        <v>0.29385572056513598</v>
      </c>
      <c r="T390">
        <f t="shared" si="53"/>
        <v>4.0867949778204384E-4</v>
      </c>
      <c r="U390">
        <f t="shared" si="54"/>
        <v>-2.8590254333443563E-2</v>
      </c>
    </row>
    <row r="391" spans="10:21" x14ac:dyDescent="0.35">
      <c r="J391">
        <f t="shared" si="55"/>
        <v>388</v>
      </c>
      <c r="K391">
        <f>demanda!D389</f>
        <v>5</v>
      </c>
      <c r="L391">
        <f>demanda!I389</f>
        <v>3</v>
      </c>
      <c r="M391">
        <v>1.2636408299870627</v>
      </c>
      <c r="N391">
        <f t="shared" si="48"/>
        <v>1.7363591700129373</v>
      </c>
      <c r="O391">
        <v>3.9509249049329382E-3</v>
      </c>
      <c r="P391">
        <f t="shared" si="49"/>
        <v>0.17495113353639288</v>
      </c>
      <c r="Q391">
        <f t="shared" si="50"/>
        <v>98.551905545548507</v>
      </c>
      <c r="R391">
        <f t="shared" si="51"/>
        <v>0.17525349341046803</v>
      </c>
      <c r="S391">
        <f t="shared" si="52"/>
        <v>0.86089894193681449</v>
      </c>
      <c r="T391">
        <f t="shared" si="53"/>
        <v>6.0945385407997739E-5</v>
      </c>
      <c r="U391">
        <f t="shared" si="54"/>
        <v>1.1037626730021724E-2</v>
      </c>
    </row>
    <row r="392" spans="10:21" x14ac:dyDescent="0.35">
      <c r="J392">
        <f t="shared" si="55"/>
        <v>389</v>
      </c>
      <c r="K392">
        <f>demanda!D390</f>
        <v>1</v>
      </c>
      <c r="L392">
        <f>demanda!I390</f>
        <v>4</v>
      </c>
      <c r="M392">
        <v>11.786175589530247</v>
      </c>
      <c r="N392">
        <f t="shared" si="48"/>
        <v>-7.7861755895302469</v>
      </c>
      <c r="O392">
        <v>5.2058796926701797E-4</v>
      </c>
      <c r="P392">
        <f t="shared" si="49"/>
        <v>-0.7845152482429999</v>
      </c>
      <c r="Q392">
        <f t="shared" si="50"/>
        <v>98.52185903620547</v>
      </c>
      <c r="R392">
        <f t="shared" si="51"/>
        <v>-0.784640946599786</v>
      </c>
      <c r="S392">
        <f t="shared" si="52"/>
        <v>0.43276096337473069</v>
      </c>
      <c r="T392">
        <f t="shared" si="53"/>
        <v>1.6036855085321727E-4</v>
      </c>
      <c r="U392">
        <f t="shared" si="54"/>
        <v>-1.7907341071981879E-2</v>
      </c>
    </row>
    <row r="393" spans="10:21" x14ac:dyDescent="0.35">
      <c r="J393">
        <f t="shared" si="55"/>
        <v>390</v>
      </c>
      <c r="K393">
        <f>demanda!D391</f>
        <v>0</v>
      </c>
      <c r="L393">
        <f>demanda!I391</f>
        <v>19</v>
      </c>
      <c r="M393">
        <v>14.416809279416043</v>
      </c>
      <c r="N393">
        <f t="shared" si="48"/>
        <v>4.583190720583957</v>
      </c>
      <c r="O393">
        <v>7.4087557083441532E-4</v>
      </c>
      <c r="P393">
        <f t="shared" si="49"/>
        <v>0.46179063964840078</v>
      </c>
      <c r="Q393">
        <f t="shared" si="50"/>
        <v>98.542523736866301</v>
      </c>
      <c r="R393">
        <f t="shared" si="51"/>
        <v>0.46186710097403588</v>
      </c>
      <c r="S393">
        <f t="shared" si="52"/>
        <v>0.64422898084639124</v>
      </c>
      <c r="T393">
        <f t="shared" si="53"/>
        <v>7.9113260840960322E-5</v>
      </c>
      <c r="U393">
        <f t="shared" si="54"/>
        <v>1.2576233855106329E-2</v>
      </c>
    </row>
    <row r="394" spans="10:21" x14ac:dyDescent="0.35">
      <c r="J394">
        <f t="shared" si="55"/>
        <v>391</v>
      </c>
      <c r="K394">
        <f>demanda!D392</f>
        <v>0</v>
      </c>
      <c r="L394">
        <f>demanda!I392</f>
        <v>3</v>
      </c>
      <c r="M394">
        <v>14.416809279416043</v>
      </c>
      <c r="N394">
        <f t="shared" si="48"/>
        <v>-11.416809279416043</v>
      </c>
      <c r="O394">
        <v>7.4087557083441532E-4</v>
      </c>
      <c r="P394">
        <f t="shared" si="49"/>
        <v>-1.150328664309564</v>
      </c>
      <c r="Q394">
        <f t="shared" si="50"/>
        <v>98.485475268264722</v>
      </c>
      <c r="R394">
        <f t="shared" si="51"/>
        <v>-1.1508523061099405</v>
      </c>
      <c r="S394">
        <f t="shared" si="52"/>
        <v>0.24993638008158123</v>
      </c>
      <c r="T394">
        <f t="shared" si="53"/>
        <v>4.9091117422407117E-4</v>
      </c>
      <c r="U394">
        <f t="shared" si="54"/>
        <v>-3.1336693399040466E-2</v>
      </c>
    </row>
    <row r="395" spans="10:21" x14ac:dyDescent="0.35">
      <c r="J395">
        <f t="shared" si="55"/>
        <v>392</v>
      </c>
      <c r="K395">
        <f>demanda!D393</f>
        <v>2</v>
      </c>
      <c r="L395">
        <f>demanda!I393</f>
        <v>3</v>
      </c>
      <c r="M395">
        <v>9.1555418996444509</v>
      </c>
      <c r="N395">
        <f t="shared" si="48"/>
        <v>-6.1555418996444509</v>
      </c>
      <c r="O395">
        <v>7.3144910189317154E-4</v>
      </c>
      <c r="P395">
        <f t="shared" si="49"/>
        <v>-0.62021674517118131</v>
      </c>
      <c r="Q395">
        <f t="shared" si="50"/>
        <v>98.533713924458709</v>
      </c>
      <c r="R395">
        <f t="shared" si="51"/>
        <v>-0.62034424251421916</v>
      </c>
      <c r="S395">
        <f t="shared" si="52"/>
        <v>0.53510483257501296</v>
      </c>
      <c r="T395">
        <f t="shared" si="53"/>
        <v>1.4088885884323287E-4</v>
      </c>
      <c r="U395">
        <f t="shared" si="54"/>
        <v>-1.6783545165498539E-2</v>
      </c>
    </row>
    <row r="396" spans="10:21" x14ac:dyDescent="0.35">
      <c r="J396">
        <f t="shared" si="55"/>
        <v>393</v>
      </c>
      <c r="K396">
        <f>demanda!D394</f>
        <v>2</v>
      </c>
      <c r="L396">
        <f>demanda!I394</f>
        <v>3</v>
      </c>
      <c r="M396">
        <v>9.1555418996444509</v>
      </c>
      <c r="N396">
        <f t="shared" si="48"/>
        <v>-6.1555418996444509</v>
      </c>
      <c r="O396">
        <v>7.3144910189317154E-4</v>
      </c>
      <c r="P396">
        <f t="shared" si="49"/>
        <v>-0.62021674517118131</v>
      </c>
      <c r="Q396">
        <f t="shared" si="50"/>
        <v>98.533713924458709</v>
      </c>
      <c r="R396">
        <f t="shared" si="51"/>
        <v>-0.62034424251421916</v>
      </c>
      <c r="S396">
        <f t="shared" si="52"/>
        <v>0.53510483257501296</v>
      </c>
      <c r="T396">
        <f t="shared" si="53"/>
        <v>1.4088885884323287E-4</v>
      </c>
      <c r="U396">
        <f t="shared" si="54"/>
        <v>-1.6783545165498539E-2</v>
      </c>
    </row>
    <row r="397" spans="10:21" x14ac:dyDescent="0.35">
      <c r="J397">
        <f t="shared" si="55"/>
        <v>394</v>
      </c>
      <c r="K397">
        <f>demanda!D395</f>
        <v>0</v>
      </c>
      <c r="L397">
        <f>demanda!I395</f>
        <v>7</v>
      </c>
      <c r="M397">
        <v>14.416809279416043</v>
      </c>
      <c r="N397">
        <f t="shared" si="48"/>
        <v>-7.416809279416043</v>
      </c>
      <c r="O397">
        <v>7.4087557083441532E-4</v>
      </c>
      <c r="P397">
        <f t="shared" si="49"/>
        <v>-0.74729883832007293</v>
      </c>
      <c r="Q397">
        <f t="shared" si="50"/>
        <v>98.524782009186751</v>
      </c>
      <c r="R397">
        <f t="shared" si="51"/>
        <v>-0.74748986544241569</v>
      </c>
      <c r="S397">
        <f t="shared" si="52"/>
        <v>0.45485950007005715</v>
      </c>
      <c r="T397">
        <f t="shared" si="53"/>
        <v>2.0717991394042799E-4</v>
      </c>
      <c r="U397">
        <f t="shared" si="54"/>
        <v>-2.0353489850869988E-2</v>
      </c>
    </row>
    <row r="398" spans="10:21" x14ac:dyDescent="0.35">
      <c r="J398">
        <f t="shared" si="55"/>
        <v>395</v>
      </c>
      <c r="K398">
        <f>demanda!D396</f>
        <v>1</v>
      </c>
      <c r="L398">
        <f>demanda!I396</f>
        <v>17</v>
      </c>
      <c r="M398">
        <v>11.786175589530247</v>
      </c>
      <c r="N398">
        <f t="shared" si="48"/>
        <v>5.2138244104697531</v>
      </c>
      <c r="O398">
        <v>5.2058796926701797E-4</v>
      </c>
      <c r="P398">
        <f t="shared" si="49"/>
        <v>0.52533168622284654</v>
      </c>
      <c r="Q398">
        <f t="shared" si="50"/>
        <v>98.53930324014253</v>
      </c>
      <c r="R398">
        <f t="shared" si="51"/>
        <v>0.52536934840521532</v>
      </c>
      <c r="S398">
        <f t="shared" si="52"/>
        <v>0.59938715228216755</v>
      </c>
      <c r="T398">
        <f t="shared" si="53"/>
        <v>7.1909061372328232E-5</v>
      </c>
      <c r="U398">
        <f t="shared" si="54"/>
        <v>1.1990156964693431E-2</v>
      </c>
    </row>
    <row r="399" spans="10:21" x14ac:dyDescent="0.35">
      <c r="J399">
        <f t="shared" si="55"/>
        <v>396</v>
      </c>
      <c r="K399">
        <f>demanda!D397</f>
        <v>2</v>
      </c>
      <c r="L399">
        <f>demanda!I397</f>
        <v>8</v>
      </c>
      <c r="M399">
        <v>9.1555418996444509</v>
      </c>
      <c r="N399">
        <f t="shared" si="48"/>
        <v>-1.1555418996444509</v>
      </c>
      <c r="O399">
        <v>7.3144910189317154E-4</v>
      </c>
      <c r="P399">
        <f t="shared" si="49"/>
        <v>-0.11642946268431729</v>
      </c>
      <c r="Q399">
        <f t="shared" si="50"/>
        <v>98.552787009441474</v>
      </c>
      <c r="R399">
        <f t="shared" si="51"/>
        <v>-0.11644212771865178</v>
      </c>
      <c r="S399">
        <f t="shared" si="52"/>
        <v>0.90731433340227419</v>
      </c>
      <c r="T399">
        <f t="shared" si="53"/>
        <v>4.964956671961163E-6</v>
      </c>
      <c r="U399">
        <f t="shared" si="54"/>
        <v>-3.1503664833126038E-3</v>
      </c>
    </row>
    <row r="400" spans="10:21" x14ac:dyDescent="0.35">
      <c r="J400">
        <f t="shared" si="55"/>
        <v>397</v>
      </c>
      <c r="K400">
        <f>demanda!D398</f>
        <v>1</v>
      </c>
      <c r="L400">
        <f>demanda!I398</f>
        <v>10</v>
      </c>
      <c r="M400">
        <v>11.786175589530247</v>
      </c>
      <c r="N400">
        <f t="shared" si="48"/>
        <v>-1.7861755895302469</v>
      </c>
      <c r="O400">
        <v>5.2058796926701797E-4</v>
      </c>
      <c r="P400">
        <f t="shared" si="49"/>
        <v>-0.17997050925876307</v>
      </c>
      <c r="Q400">
        <f t="shared" si="50"/>
        <v>98.551819423146526</v>
      </c>
      <c r="R400">
        <f t="shared" si="51"/>
        <v>-0.17997198233721365</v>
      </c>
      <c r="S400">
        <f t="shared" si="52"/>
        <v>0.85719356553697068</v>
      </c>
      <c r="T400">
        <f t="shared" si="53"/>
        <v>8.4395466396640202E-6</v>
      </c>
      <c r="U400">
        <f t="shared" si="54"/>
        <v>-4.1073814527258093E-3</v>
      </c>
    </row>
    <row r="401" spans="10:21" x14ac:dyDescent="0.35">
      <c r="J401">
        <f t="shared" si="55"/>
        <v>398</v>
      </c>
      <c r="K401">
        <f>demanda!D399</f>
        <v>0</v>
      </c>
      <c r="L401">
        <f>demanda!I399</f>
        <v>25</v>
      </c>
      <c r="M401">
        <v>14.416809279416043</v>
      </c>
      <c r="N401">
        <f t="shared" si="48"/>
        <v>10.583190720583957</v>
      </c>
      <c r="O401">
        <v>7.4087557083441532E-4</v>
      </c>
      <c r="P401">
        <f t="shared" si="49"/>
        <v>1.0663353786326375</v>
      </c>
      <c r="Q401">
        <f t="shared" si="50"/>
        <v>98.49504419721994</v>
      </c>
      <c r="R401">
        <f t="shared" si="51"/>
        <v>1.0667689629874253</v>
      </c>
      <c r="S401">
        <f t="shared" si="52"/>
        <v>0.28621036416391138</v>
      </c>
      <c r="T401">
        <f t="shared" si="53"/>
        <v>4.2183894365142377E-4</v>
      </c>
      <c r="U401">
        <f t="shared" si="54"/>
        <v>2.9047178115969151E-2</v>
      </c>
    </row>
    <row r="402" spans="10:21" x14ac:dyDescent="0.35">
      <c r="J402">
        <f t="shared" si="55"/>
        <v>399</v>
      </c>
      <c r="K402">
        <f>demanda!D400</f>
        <v>0</v>
      </c>
      <c r="L402">
        <f>demanda!I400</f>
        <v>18</v>
      </c>
      <c r="M402">
        <v>14.416809279416043</v>
      </c>
      <c r="N402">
        <f t="shared" si="48"/>
        <v>3.583190720583957</v>
      </c>
      <c r="O402">
        <v>7.4087557083441532E-4</v>
      </c>
      <c r="P402">
        <f t="shared" si="49"/>
        <v>0.36103318315102795</v>
      </c>
      <c r="Q402">
        <f t="shared" si="50"/>
        <v>98.546784652507341</v>
      </c>
      <c r="R402">
        <f t="shared" si="51"/>
        <v>0.3610851550254302</v>
      </c>
      <c r="S402">
        <f t="shared" si="52"/>
        <v>0.7180755365508017</v>
      </c>
      <c r="T402">
        <f t="shared" si="53"/>
        <v>4.8356323571821784E-5</v>
      </c>
      <c r="U402">
        <f t="shared" si="54"/>
        <v>9.8320303429934326E-3</v>
      </c>
    </row>
    <row r="403" spans="10:21" x14ac:dyDescent="0.35">
      <c r="J403">
        <f t="shared" si="55"/>
        <v>400</v>
      </c>
      <c r="K403">
        <f>demanda!D401</f>
        <v>0</v>
      </c>
      <c r="L403">
        <f>demanda!I401</f>
        <v>66</v>
      </c>
      <c r="M403">
        <v>14.416809279416043</v>
      </c>
      <c r="N403">
        <f t="shared" si="48"/>
        <v>51.583190720583957</v>
      </c>
      <c r="O403">
        <v>7.4087557083441532E-4</v>
      </c>
      <c r="P403">
        <f t="shared" si="49"/>
        <v>5.1973910950249227</v>
      </c>
      <c r="Q403">
        <f t="shared" si="50"/>
        <v>97.165163384471469</v>
      </c>
      <c r="R403">
        <f t="shared" si="51"/>
        <v>5.2349657947590353</v>
      </c>
      <c r="S403">
        <f t="shared" si="52"/>
        <v>1.8308445552805681E-7</v>
      </c>
      <c r="T403">
        <f t="shared" si="53"/>
        <v>1.0021433063570149E-2</v>
      </c>
      <c r="U403">
        <f t="shared" si="54"/>
        <v>0.14254350205834038</v>
      </c>
    </row>
    <row r="404" spans="10:21" x14ac:dyDescent="0.35">
      <c r="J404">
        <f t="shared" si="55"/>
        <v>401</v>
      </c>
      <c r="K404">
        <f>demanda!D402</f>
        <v>0</v>
      </c>
      <c r="L404">
        <f>demanda!I402</f>
        <v>23</v>
      </c>
      <c r="M404">
        <v>14.416809279416043</v>
      </c>
      <c r="N404">
        <f t="shared" si="48"/>
        <v>8.583190720583957</v>
      </c>
      <c r="O404">
        <v>7.4087557083441532E-4</v>
      </c>
      <c r="P404">
        <f t="shared" si="49"/>
        <v>0.86482046563789194</v>
      </c>
      <c r="Q404">
        <f t="shared" si="50"/>
        <v>98.515044814397314</v>
      </c>
      <c r="R404">
        <f t="shared" si="51"/>
        <v>0.86508428320119957</v>
      </c>
      <c r="S404">
        <f t="shared" si="52"/>
        <v>0.38710065879826105</v>
      </c>
      <c r="T404">
        <f t="shared" si="53"/>
        <v>2.7746675239162511E-4</v>
      </c>
      <c r="U404">
        <f t="shared" si="54"/>
        <v>2.3555482144044106E-2</v>
      </c>
    </row>
    <row r="405" spans="10:21" x14ac:dyDescent="0.35">
      <c r="J405">
        <f t="shared" si="55"/>
        <v>402</v>
      </c>
      <c r="K405">
        <f>demanda!D403</f>
        <v>0</v>
      </c>
      <c r="L405">
        <f>demanda!I403</f>
        <v>18</v>
      </c>
      <c r="M405">
        <v>14.416809279416043</v>
      </c>
      <c r="N405">
        <f t="shared" si="48"/>
        <v>3.583190720583957</v>
      </c>
      <c r="O405">
        <v>7.4087557083441532E-4</v>
      </c>
      <c r="P405">
        <f t="shared" si="49"/>
        <v>0.36103318315102795</v>
      </c>
      <c r="Q405">
        <f t="shared" si="50"/>
        <v>98.546784652507341</v>
      </c>
      <c r="R405">
        <f t="shared" si="51"/>
        <v>0.3610851550254302</v>
      </c>
      <c r="S405">
        <f t="shared" si="52"/>
        <v>0.7180755365508017</v>
      </c>
      <c r="T405">
        <f t="shared" si="53"/>
        <v>4.8356323571821784E-5</v>
      </c>
      <c r="U405">
        <f t="shared" si="54"/>
        <v>9.8320303429934326E-3</v>
      </c>
    </row>
    <row r="406" spans="10:21" x14ac:dyDescent="0.35">
      <c r="J406">
        <f t="shared" si="55"/>
        <v>403</v>
      </c>
      <c r="K406">
        <f>demanda!D404</f>
        <v>1</v>
      </c>
      <c r="L406">
        <f>demanda!I404</f>
        <v>16</v>
      </c>
      <c r="M406">
        <v>11.786175589530247</v>
      </c>
      <c r="N406">
        <f t="shared" si="48"/>
        <v>4.2138244104697531</v>
      </c>
      <c r="O406">
        <v>5.2058796926701797E-4</v>
      </c>
      <c r="P406">
        <f t="shared" si="49"/>
        <v>0.42457422972547376</v>
      </c>
      <c r="Q406">
        <f t="shared" si="50"/>
        <v>98.544221154270687</v>
      </c>
      <c r="R406">
        <f t="shared" si="51"/>
        <v>0.4245940731647706</v>
      </c>
      <c r="S406">
        <f t="shared" si="52"/>
        <v>0.67118021179708642</v>
      </c>
      <c r="T406">
        <f t="shared" si="53"/>
        <v>4.6970338191938198E-5</v>
      </c>
      <c r="U406">
        <f t="shared" si="54"/>
        <v>9.6902295479893447E-3</v>
      </c>
    </row>
    <row r="407" spans="10:21" x14ac:dyDescent="0.35">
      <c r="J407">
        <f t="shared" si="55"/>
        <v>404</v>
      </c>
      <c r="K407">
        <f>demanda!D405</f>
        <v>1</v>
      </c>
      <c r="L407">
        <f>demanda!I405</f>
        <v>15</v>
      </c>
      <c r="M407">
        <v>11.786175589530247</v>
      </c>
      <c r="N407">
        <f t="shared" si="48"/>
        <v>3.2138244104697531</v>
      </c>
      <c r="O407">
        <v>5.2058796926701797E-4</v>
      </c>
      <c r="P407">
        <f t="shared" si="49"/>
        <v>0.32381677322810093</v>
      </c>
      <c r="Q407">
        <f t="shared" si="50"/>
        <v>98.548095772403954</v>
      </c>
      <c r="R407">
        <f t="shared" si="51"/>
        <v>0.3238255414227269</v>
      </c>
      <c r="S407">
        <f t="shared" si="52"/>
        <v>0.74610540567370975</v>
      </c>
      <c r="T407">
        <f t="shared" si="53"/>
        <v>2.7322164893932259E-5</v>
      </c>
      <c r="U407">
        <f t="shared" si="54"/>
        <v>7.390456033686617E-3</v>
      </c>
    </row>
    <row r="408" spans="10:21" x14ac:dyDescent="0.35">
      <c r="J408">
        <f t="shared" si="55"/>
        <v>405</v>
      </c>
      <c r="K408">
        <f>demanda!D406</f>
        <v>0</v>
      </c>
      <c r="L408">
        <f>demanda!I406</f>
        <v>4</v>
      </c>
      <c r="M408">
        <v>14.416809279416043</v>
      </c>
      <c r="N408">
        <f t="shared" si="48"/>
        <v>-10.416809279416043</v>
      </c>
      <c r="O408">
        <v>7.4087557083441532E-4</v>
      </c>
      <c r="P408">
        <f t="shared" si="49"/>
        <v>-1.0495712078121913</v>
      </c>
      <c r="Q408">
        <f t="shared" si="50"/>
        <v>98.49686724248096</v>
      </c>
      <c r="R408">
        <f t="shared" si="51"/>
        <v>-1.049988258586362</v>
      </c>
      <c r="S408">
        <f t="shared" si="52"/>
        <v>0.29385572056513598</v>
      </c>
      <c r="T408">
        <f t="shared" si="53"/>
        <v>4.0867949778204384E-4</v>
      </c>
      <c r="U408">
        <f t="shared" si="54"/>
        <v>-2.8590254333443563E-2</v>
      </c>
    </row>
    <row r="409" spans="10:21" x14ac:dyDescent="0.35">
      <c r="J409">
        <f t="shared" si="55"/>
        <v>406</v>
      </c>
      <c r="K409">
        <f>demanda!D407</f>
        <v>0</v>
      </c>
      <c r="L409">
        <f>demanda!I407</f>
        <v>80</v>
      </c>
      <c r="M409">
        <v>14.416809279416043</v>
      </c>
      <c r="N409">
        <f t="shared" si="48"/>
        <v>65.583190720583957</v>
      </c>
      <c r="O409">
        <v>7.4087557083441532E-4</v>
      </c>
      <c r="P409">
        <f t="shared" si="49"/>
        <v>6.607995485988142</v>
      </c>
      <c r="Q409">
        <f t="shared" si="50"/>
        <v>96.309300234757501</v>
      </c>
      <c r="R409">
        <f t="shared" si="51"/>
        <v>6.6852763885450273</v>
      </c>
      <c r="S409">
        <f t="shared" si="52"/>
        <v>3.0122426089490105E-11</v>
      </c>
      <c r="T409">
        <f t="shared" si="53"/>
        <v>1.6199384336112729E-2</v>
      </c>
      <c r="U409">
        <f t="shared" si="54"/>
        <v>0.18203418054902618</v>
      </c>
    </row>
    <row r="410" spans="10:21" x14ac:dyDescent="0.35">
      <c r="J410">
        <f t="shared" si="55"/>
        <v>407</v>
      </c>
      <c r="K410">
        <f>demanda!D408</f>
        <v>2</v>
      </c>
      <c r="L410">
        <f>demanda!I408</f>
        <v>4</v>
      </c>
      <c r="M410">
        <v>9.1555418996444509</v>
      </c>
      <c r="N410">
        <f t="shared" si="48"/>
        <v>-5.1555418996444509</v>
      </c>
      <c r="O410">
        <v>7.3144910189317154E-4</v>
      </c>
      <c r="P410">
        <f t="shared" si="49"/>
        <v>-0.51945928867380853</v>
      </c>
      <c r="Q410">
        <f t="shared" si="50"/>
        <v>98.539615573748293</v>
      </c>
      <c r="R410">
        <f t="shared" si="51"/>
        <v>-0.51955051447259837</v>
      </c>
      <c r="S410">
        <f t="shared" si="52"/>
        <v>0.60343681513546954</v>
      </c>
      <c r="T410">
        <f t="shared" si="53"/>
        <v>9.8830890695332879E-5</v>
      </c>
      <c r="U410">
        <f t="shared" si="54"/>
        <v>-1.4056549457229766E-2</v>
      </c>
    </row>
    <row r="411" spans="10:21" x14ac:dyDescent="0.35">
      <c r="J411">
        <f t="shared" si="55"/>
        <v>408</v>
      </c>
      <c r="K411">
        <f>demanda!D409</f>
        <v>4</v>
      </c>
      <c r="L411">
        <f>demanda!I409</f>
        <v>2</v>
      </c>
      <c r="M411">
        <v>3.8942745198728588</v>
      </c>
      <c r="N411">
        <f t="shared" si="48"/>
        <v>-1.8942745198728588</v>
      </c>
      <c r="O411">
        <v>2.4466175697261316E-3</v>
      </c>
      <c r="P411">
        <f t="shared" si="49"/>
        <v>-0.19086228253017132</v>
      </c>
      <c r="Q411">
        <f t="shared" si="50"/>
        <v>98.551608270054842</v>
      </c>
      <c r="R411">
        <f t="shared" si="51"/>
        <v>-0.19104821608300357</v>
      </c>
      <c r="S411">
        <f t="shared" si="52"/>
        <v>0.84850802764464628</v>
      </c>
      <c r="T411">
        <f t="shared" si="53"/>
        <v>4.4782056131641625E-5</v>
      </c>
      <c r="U411">
        <f t="shared" si="54"/>
        <v>-9.4614556750527434E-3</v>
      </c>
    </row>
    <row r="412" spans="10:21" x14ac:dyDescent="0.35">
      <c r="J412">
        <f t="shared" si="55"/>
        <v>409</v>
      </c>
      <c r="K412">
        <f>demanda!D410</f>
        <v>2</v>
      </c>
      <c r="L412">
        <f>demanda!I410</f>
        <v>2</v>
      </c>
      <c r="M412">
        <v>9.1555418996444509</v>
      </c>
      <c r="N412">
        <f t="shared" si="48"/>
        <v>-7.1555418996444509</v>
      </c>
      <c r="O412">
        <v>7.3144910189317154E-4</v>
      </c>
      <c r="P412">
        <f t="shared" si="49"/>
        <v>-0.72097420166855408</v>
      </c>
      <c r="Q412">
        <f t="shared" si="50"/>
        <v>98.526768759022602</v>
      </c>
      <c r="R412">
        <f t="shared" si="51"/>
        <v>-0.72114782718324122</v>
      </c>
      <c r="S412">
        <f t="shared" si="52"/>
        <v>0.47090641241117204</v>
      </c>
      <c r="T412">
        <f t="shared" si="53"/>
        <v>1.9038342084795563E-4</v>
      </c>
      <c r="U412">
        <f t="shared" si="54"/>
        <v>-1.9510807546913981E-2</v>
      </c>
    </row>
    <row r="413" spans="10:21" x14ac:dyDescent="0.35">
      <c r="J413">
        <f t="shared" si="55"/>
        <v>410</v>
      </c>
      <c r="K413">
        <f>demanda!D411</f>
        <v>5</v>
      </c>
      <c r="L413">
        <f>demanda!I411</f>
        <v>2</v>
      </c>
      <c r="M413">
        <v>1.2636408299870627</v>
      </c>
      <c r="N413">
        <f t="shared" si="48"/>
        <v>0.73635917001293727</v>
      </c>
      <c r="O413">
        <v>3.9509249049329382E-3</v>
      </c>
      <c r="P413">
        <f t="shared" si="49"/>
        <v>7.4193677039020078E-2</v>
      </c>
      <c r="Q413">
        <f t="shared" si="50"/>
        <v>98.553199876422468</v>
      </c>
      <c r="R413">
        <f t="shared" si="51"/>
        <v>7.4321414457959423E-2</v>
      </c>
      <c r="S413">
        <f t="shared" si="52"/>
        <v>0.94076238398569867</v>
      </c>
      <c r="T413">
        <f t="shared" si="53"/>
        <v>1.0960770814463366E-5</v>
      </c>
      <c r="U413">
        <f t="shared" si="54"/>
        <v>4.680831262592092E-3</v>
      </c>
    </row>
    <row r="414" spans="10:21" x14ac:dyDescent="0.35">
      <c r="J414">
        <f t="shared" si="55"/>
        <v>411</v>
      </c>
      <c r="K414">
        <f>demanda!D412</f>
        <v>0</v>
      </c>
      <c r="L414">
        <f>demanda!I412</f>
        <v>14</v>
      </c>
      <c r="M414">
        <v>14.416809279416043</v>
      </c>
      <c r="N414">
        <f t="shared" si="48"/>
        <v>-0.41680927941604295</v>
      </c>
      <c r="O414">
        <v>7.4087557083441532E-4</v>
      </c>
      <c r="P414">
        <f t="shared" si="49"/>
        <v>-4.1996642838463258E-2</v>
      </c>
      <c r="Q414">
        <f t="shared" si="50"/>
        <v>98.553393055166637</v>
      </c>
      <c r="R414">
        <f t="shared" si="51"/>
        <v>-4.2001280140228352E-2</v>
      </c>
      <c r="S414">
        <f t="shared" si="52"/>
        <v>0.96650204701357412</v>
      </c>
      <c r="T414">
        <f t="shared" si="53"/>
        <v>6.5431696937827154E-7</v>
      </c>
      <c r="U414">
        <f t="shared" si="54"/>
        <v>-1.1436578187608104E-3</v>
      </c>
    </row>
    <row r="415" spans="10:21" x14ac:dyDescent="0.35">
      <c r="J415">
        <f t="shared" si="55"/>
        <v>412</v>
      </c>
      <c r="K415">
        <f>demanda!D413</f>
        <v>0</v>
      </c>
      <c r="L415">
        <f>demanda!I413</f>
        <v>3</v>
      </c>
      <c r="M415">
        <v>14.416809279416043</v>
      </c>
      <c r="N415">
        <f t="shared" si="48"/>
        <v>-11.416809279416043</v>
      </c>
      <c r="O415">
        <v>7.4087557083441532E-4</v>
      </c>
      <c r="P415">
        <f t="shared" si="49"/>
        <v>-1.150328664309564</v>
      </c>
      <c r="Q415">
        <f t="shared" si="50"/>
        <v>98.485475268264722</v>
      </c>
      <c r="R415">
        <f t="shared" si="51"/>
        <v>-1.1508523061099405</v>
      </c>
      <c r="S415">
        <f t="shared" si="52"/>
        <v>0.24993638008158123</v>
      </c>
      <c r="T415">
        <f t="shared" si="53"/>
        <v>4.9091117422407117E-4</v>
      </c>
      <c r="U415">
        <f t="shared" si="54"/>
        <v>-3.1336693399040466E-2</v>
      </c>
    </row>
    <row r="416" spans="10:21" x14ac:dyDescent="0.35">
      <c r="J416">
        <f t="shared" si="55"/>
        <v>413</v>
      </c>
      <c r="K416">
        <f>demanda!D414</f>
        <v>3</v>
      </c>
      <c r="L416">
        <f>demanda!I414</f>
        <v>4</v>
      </c>
      <c r="M416">
        <v>6.5249082097586548</v>
      </c>
      <c r="N416">
        <f t="shared" si="48"/>
        <v>-2.5249082097586548</v>
      </c>
      <c r="O416">
        <v>1.3734589687128761E-3</v>
      </c>
      <c r="P416">
        <f t="shared" si="49"/>
        <v>-0.2544033291046171</v>
      </c>
      <c r="Q416">
        <f t="shared" si="50"/>
        <v>98.550155270625524</v>
      </c>
      <c r="R416">
        <f t="shared" si="51"/>
        <v>-0.25451617384299874</v>
      </c>
      <c r="S416">
        <f t="shared" si="52"/>
        <v>0.79912408038987892</v>
      </c>
      <c r="T416">
        <f t="shared" si="53"/>
        <v>4.4568197050885148E-5</v>
      </c>
      <c r="U416">
        <f t="shared" si="54"/>
        <v>-9.4389063786870474E-3</v>
      </c>
    </row>
    <row r="417" spans="10:21" x14ac:dyDescent="0.35">
      <c r="J417">
        <f t="shared" si="55"/>
        <v>414</v>
      </c>
      <c r="K417">
        <f>demanda!D415</f>
        <v>2</v>
      </c>
      <c r="L417">
        <f>demanda!I415</f>
        <v>7</v>
      </c>
      <c r="M417">
        <v>9.1555418996444509</v>
      </c>
      <c r="N417">
        <f t="shared" si="48"/>
        <v>-2.1555418996444509</v>
      </c>
      <c r="O417">
        <v>7.3144910189317154E-4</v>
      </c>
      <c r="P417">
        <f t="shared" si="49"/>
        <v>-0.21718691918169009</v>
      </c>
      <c r="Q417">
        <f t="shared" si="50"/>
        <v>98.551059424737957</v>
      </c>
      <c r="R417">
        <f t="shared" si="51"/>
        <v>-0.21721244829655789</v>
      </c>
      <c r="S417">
        <f t="shared" si="52"/>
        <v>0.82806587463373482</v>
      </c>
      <c r="T417">
        <f t="shared" si="53"/>
        <v>1.7276549392569864E-5</v>
      </c>
      <c r="U417">
        <f t="shared" si="54"/>
        <v>-5.8767288976817314E-3</v>
      </c>
    </row>
    <row r="418" spans="10:21" x14ac:dyDescent="0.35">
      <c r="J418">
        <f t="shared" si="55"/>
        <v>415</v>
      </c>
      <c r="K418">
        <f>demanda!D416</f>
        <v>0</v>
      </c>
      <c r="L418">
        <f>demanda!I416</f>
        <v>17</v>
      </c>
      <c r="M418">
        <v>14.416809279416043</v>
      </c>
      <c r="N418">
        <f t="shared" si="48"/>
        <v>2.583190720583957</v>
      </c>
      <c r="O418">
        <v>7.4087557083441532E-4</v>
      </c>
      <c r="P418">
        <f t="shared" si="49"/>
        <v>0.26027572665365517</v>
      </c>
      <c r="Q418">
        <f t="shared" si="50"/>
        <v>98.550002042157871</v>
      </c>
      <c r="R418">
        <f t="shared" si="51"/>
        <v>0.26030894487816103</v>
      </c>
      <c r="S418">
        <f t="shared" si="52"/>
        <v>0.79465340036911658</v>
      </c>
      <c r="T418">
        <f t="shared" si="53"/>
        <v>2.5131960550094309E-5</v>
      </c>
      <c r="U418">
        <f t="shared" si="54"/>
        <v>7.0879830116927275E-3</v>
      </c>
    </row>
    <row r="419" spans="10:21" x14ac:dyDescent="0.35">
      <c r="J419">
        <f t="shared" si="55"/>
        <v>416</v>
      </c>
      <c r="K419">
        <f>demanda!D417</f>
        <v>0</v>
      </c>
      <c r="L419">
        <f>demanda!I417</f>
        <v>10</v>
      </c>
      <c r="M419">
        <v>14.416809279416043</v>
      </c>
      <c r="N419">
        <f t="shared" si="48"/>
        <v>-4.416809279416043</v>
      </c>
      <c r="O419">
        <v>7.4087557083441532E-4</v>
      </c>
      <c r="P419">
        <f t="shared" si="49"/>
        <v>-0.44502646882795449</v>
      </c>
      <c r="Q419">
        <f t="shared" si="50"/>
        <v>98.543305041978172</v>
      </c>
      <c r="R419">
        <f t="shared" si="51"/>
        <v>-0.44509838991165818</v>
      </c>
      <c r="S419">
        <f t="shared" si="52"/>
        <v>0.65629885256814913</v>
      </c>
      <c r="T419">
        <f t="shared" si="53"/>
        <v>7.3473498325511761E-5</v>
      </c>
      <c r="U419">
        <f t="shared" si="54"/>
        <v>-1.2119636640616644E-2</v>
      </c>
    </row>
    <row r="420" spans="10:21" x14ac:dyDescent="0.35">
      <c r="J420">
        <f t="shared" si="55"/>
        <v>417</v>
      </c>
      <c r="K420">
        <f>demanda!D418</f>
        <v>1</v>
      </c>
      <c r="L420">
        <f>demanda!I418</f>
        <v>11</v>
      </c>
      <c r="M420">
        <v>11.786175589530247</v>
      </c>
      <c r="N420">
        <f t="shared" si="48"/>
        <v>-0.78617558953024691</v>
      </c>
      <c r="O420">
        <v>5.2058796926701797E-4</v>
      </c>
      <c r="P420">
        <f t="shared" si="49"/>
        <v>-7.9213052761390276E-2</v>
      </c>
      <c r="Q420">
        <f t="shared" si="50"/>
        <v>98.553161284987851</v>
      </c>
      <c r="R420">
        <f t="shared" si="51"/>
        <v>-7.9213161855515926E-2</v>
      </c>
      <c r="S420">
        <f t="shared" si="52"/>
        <v>0.93687133485398588</v>
      </c>
      <c r="T420">
        <f t="shared" si="53"/>
        <v>1.6349705257494771E-6</v>
      </c>
      <c r="U420">
        <f t="shared" si="54"/>
        <v>-1.8078295720913319E-3</v>
      </c>
    </row>
    <row r="421" spans="10:21" x14ac:dyDescent="0.35">
      <c r="J421">
        <f t="shared" si="55"/>
        <v>418</v>
      </c>
      <c r="K421">
        <f>demanda!D419</f>
        <v>1</v>
      </c>
      <c r="L421">
        <f>demanda!I419</f>
        <v>20</v>
      </c>
      <c r="M421">
        <v>11.786175589530247</v>
      </c>
      <c r="N421">
        <f t="shared" si="48"/>
        <v>8.2138244104697531</v>
      </c>
      <c r="O421">
        <v>5.2058796926701797E-4</v>
      </c>
      <c r="P421">
        <f t="shared" si="49"/>
        <v>0.82760405571496498</v>
      </c>
      <c r="Q421">
        <f t="shared" si="50"/>
        <v>98.518289721788548</v>
      </c>
      <c r="R421">
        <f t="shared" si="51"/>
        <v>0.82775165224325964</v>
      </c>
      <c r="S421">
        <f t="shared" si="52"/>
        <v>0.40791408457502731</v>
      </c>
      <c r="T421">
        <f t="shared" si="53"/>
        <v>1.7846853020780289E-4</v>
      </c>
      <c r="U421">
        <f t="shared" si="54"/>
        <v>1.8891228177487809E-2</v>
      </c>
    </row>
    <row r="422" spans="10:21" x14ac:dyDescent="0.35">
      <c r="J422">
        <f t="shared" si="55"/>
        <v>419</v>
      </c>
      <c r="K422">
        <f>demanda!D420</f>
        <v>1</v>
      </c>
      <c r="L422">
        <f>demanda!I420</f>
        <v>4</v>
      </c>
      <c r="M422">
        <v>11.786175589530247</v>
      </c>
      <c r="N422">
        <f t="shared" si="48"/>
        <v>-7.7861755895302469</v>
      </c>
      <c r="O422">
        <v>5.2058796926701797E-4</v>
      </c>
      <c r="P422">
        <f t="shared" si="49"/>
        <v>-0.7845152482429999</v>
      </c>
      <c r="Q422">
        <f t="shared" si="50"/>
        <v>98.52185903620547</v>
      </c>
      <c r="R422">
        <f t="shared" si="51"/>
        <v>-0.784640946599786</v>
      </c>
      <c r="S422">
        <f t="shared" si="52"/>
        <v>0.43276096337473069</v>
      </c>
      <c r="T422">
        <f t="shared" si="53"/>
        <v>1.6036855085321727E-4</v>
      </c>
      <c r="U422">
        <f t="shared" si="54"/>
        <v>-1.7907341071981879E-2</v>
      </c>
    </row>
    <row r="423" spans="10:21" x14ac:dyDescent="0.35">
      <c r="J423">
        <f t="shared" si="55"/>
        <v>420</v>
      </c>
      <c r="K423">
        <f>demanda!D421</f>
        <v>1</v>
      </c>
      <c r="L423">
        <f>demanda!I421</f>
        <v>4</v>
      </c>
      <c r="M423">
        <v>11.786175589530247</v>
      </c>
      <c r="N423">
        <f t="shared" si="48"/>
        <v>-7.7861755895302469</v>
      </c>
      <c r="O423">
        <v>5.2058796926701797E-4</v>
      </c>
      <c r="P423">
        <f t="shared" si="49"/>
        <v>-0.7845152482429999</v>
      </c>
      <c r="Q423">
        <f t="shared" si="50"/>
        <v>98.52185903620547</v>
      </c>
      <c r="R423">
        <f t="shared" si="51"/>
        <v>-0.784640946599786</v>
      </c>
      <c r="S423">
        <f t="shared" si="52"/>
        <v>0.43276096337473069</v>
      </c>
      <c r="T423">
        <f t="shared" si="53"/>
        <v>1.6036855085321727E-4</v>
      </c>
      <c r="U423">
        <f t="shared" si="54"/>
        <v>-1.7907341071981879E-2</v>
      </c>
    </row>
    <row r="424" spans="10:21" x14ac:dyDescent="0.35">
      <c r="J424">
        <f t="shared" si="55"/>
        <v>421</v>
      </c>
      <c r="K424">
        <f>demanda!D422</f>
        <v>2</v>
      </c>
      <c r="L424">
        <f>demanda!I422</f>
        <v>3</v>
      </c>
      <c r="M424">
        <v>9.1555418996444509</v>
      </c>
      <c r="N424">
        <f t="shared" si="48"/>
        <v>-6.1555418996444509</v>
      </c>
      <c r="O424">
        <v>7.3144910189317154E-4</v>
      </c>
      <c r="P424">
        <f t="shared" si="49"/>
        <v>-0.62021674517118131</v>
      </c>
      <c r="Q424">
        <f t="shared" si="50"/>
        <v>98.533713924458709</v>
      </c>
      <c r="R424">
        <f t="shared" si="51"/>
        <v>-0.62034424251421916</v>
      </c>
      <c r="S424">
        <f t="shared" si="52"/>
        <v>0.53510483257501296</v>
      </c>
      <c r="T424">
        <f t="shared" si="53"/>
        <v>1.4088885884323287E-4</v>
      </c>
      <c r="U424">
        <f t="shared" si="54"/>
        <v>-1.6783545165498539E-2</v>
      </c>
    </row>
    <row r="425" spans="10:21" x14ac:dyDescent="0.35">
      <c r="J425">
        <f t="shared" si="55"/>
        <v>422</v>
      </c>
      <c r="K425">
        <f>demanda!D423</f>
        <v>0</v>
      </c>
      <c r="L425">
        <f>demanda!I423</f>
        <v>13</v>
      </c>
      <c r="M425">
        <v>14.416809279416043</v>
      </c>
      <c r="N425">
        <f t="shared" si="48"/>
        <v>-1.416809279416043</v>
      </c>
      <c r="O425">
        <v>7.4087557083441532E-4</v>
      </c>
      <c r="P425">
        <f t="shared" si="49"/>
        <v>-0.14275409933583605</v>
      </c>
      <c r="Q425">
        <f t="shared" si="50"/>
        <v>98.552436340855238</v>
      </c>
      <c r="R425">
        <f t="shared" si="51"/>
        <v>-0.14277055533334676</v>
      </c>
      <c r="S425">
        <f t="shared" si="52"/>
        <v>0.88648638054980111</v>
      </c>
      <c r="T425">
        <f t="shared" si="53"/>
        <v>7.5602509372950483E-6</v>
      </c>
      <c r="U425">
        <f t="shared" si="54"/>
        <v>-3.8875163173756836E-3</v>
      </c>
    </row>
    <row r="426" spans="10:21" x14ac:dyDescent="0.35">
      <c r="J426">
        <f t="shared" si="55"/>
        <v>423</v>
      </c>
      <c r="K426">
        <f>demanda!D424</f>
        <v>4</v>
      </c>
      <c r="L426">
        <f>demanda!I424</f>
        <v>2</v>
      </c>
      <c r="M426">
        <v>3.8942745198728588</v>
      </c>
      <c r="N426">
        <f t="shared" si="48"/>
        <v>-1.8942745198728588</v>
      </c>
      <c r="O426">
        <v>2.4466175697261316E-3</v>
      </c>
      <c r="P426">
        <f t="shared" si="49"/>
        <v>-0.19086228253017132</v>
      </c>
      <c r="Q426">
        <f t="shared" si="50"/>
        <v>98.551608270054842</v>
      </c>
      <c r="R426">
        <f t="shared" si="51"/>
        <v>-0.19104821608300357</v>
      </c>
      <c r="S426">
        <f t="shared" si="52"/>
        <v>0.84850802764464628</v>
      </c>
      <c r="T426">
        <f t="shared" si="53"/>
        <v>4.4782056131641625E-5</v>
      </c>
      <c r="U426">
        <f t="shared" si="54"/>
        <v>-9.4614556750527434E-3</v>
      </c>
    </row>
    <row r="427" spans="10:21" x14ac:dyDescent="0.35">
      <c r="J427">
        <f t="shared" si="55"/>
        <v>424</v>
      </c>
      <c r="K427">
        <f>demanda!D425</f>
        <v>9</v>
      </c>
      <c r="L427">
        <f>demanda!I425</f>
        <v>2</v>
      </c>
      <c r="M427">
        <v>-9.2588939295561232</v>
      </c>
      <c r="N427">
        <f t="shared" si="48"/>
        <v>11.258893929556123</v>
      </c>
      <c r="O427">
        <v>1.4279641587695676E-2</v>
      </c>
      <c r="P427">
        <f t="shared" si="49"/>
        <v>1.1344175153157858</v>
      </c>
      <c r="Q427">
        <f t="shared" si="50"/>
        <v>98.48643519179646</v>
      </c>
      <c r="R427">
        <f t="shared" si="51"/>
        <v>1.1426958641048592</v>
      </c>
      <c r="S427">
        <f t="shared" si="52"/>
        <v>0.25330743107762382</v>
      </c>
      <c r="T427">
        <f t="shared" si="53"/>
        <v>9.4563971950246285E-3</v>
      </c>
      <c r="U427">
        <f t="shared" si="54"/>
        <v>0.13753475110429464</v>
      </c>
    </row>
    <row r="428" spans="10:21" x14ac:dyDescent="0.35">
      <c r="J428">
        <f t="shared" si="55"/>
        <v>425</v>
      </c>
      <c r="K428">
        <f>demanda!D426</f>
        <v>0</v>
      </c>
      <c r="L428">
        <f>demanda!I426</f>
        <v>4</v>
      </c>
      <c r="M428">
        <v>14.416809279416043</v>
      </c>
      <c r="N428">
        <f t="shared" si="48"/>
        <v>-10.416809279416043</v>
      </c>
      <c r="O428">
        <v>7.4087557083441532E-4</v>
      </c>
      <c r="P428">
        <f t="shared" si="49"/>
        <v>-1.0495712078121913</v>
      </c>
      <c r="Q428">
        <f t="shared" si="50"/>
        <v>98.49686724248096</v>
      </c>
      <c r="R428">
        <f t="shared" si="51"/>
        <v>-1.049988258586362</v>
      </c>
      <c r="S428">
        <f t="shared" si="52"/>
        <v>0.29385572056513598</v>
      </c>
      <c r="T428">
        <f t="shared" si="53"/>
        <v>4.0867949778204384E-4</v>
      </c>
      <c r="U428">
        <f t="shared" si="54"/>
        <v>-2.8590254333443563E-2</v>
      </c>
    </row>
    <row r="429" spans="10:21" x14ac:dyDescent="0.35">
      <c r="J429">
        <f t="shared" si="55"/>
        <v>426</v>
      </c>
      <c r="K429">
        <f>demanda!D427</f>
        <v>0</v>
      </c>
      <c r="L429">
        <f>demanda!I427</f>
        <v>12</v>
      </c>
      <c r="M429">
        <v>14.416809279416043</v>
      </c>
      <c r="N429">
        <f t="shared" si="48"/>
        <v>-2.416809279416043</v>
      </c>
      <c r="O429">
        <v>7.4087557083441532E-4</v>
      </c>
      <c r="P429">
        <f t="shared" si="49"/>
        <v>-0.24351155583320885</v>
      </c>
      <c r="Q429">
        <f t="shared" si="50"/>
        <v>98.55043610055337</v>
      </c>
      <c r="R429">
        <f t="shared" si="51"/>
        <v>-0.24354209816225414</v>
      </c>
      <c r="S429">
        <f t="shared" si="52"/>
        <v>0.80761150818210881</v>
      </c>
      <c r="T429">
        <f t="shared" si="53"/>
        <v>2.199875915262289E-5</v>
      </c>
      <c r="U429">
        <f t="shared" si="54"/>
        <v>-6.6314365617133417E-3</v>
      </c>
    </row>
    <row r="430" spans="10:21" x14ac:dyDescent="0.35">
      <c r="J430">
        <f t="shared" si="55"/>
        <v>427</v>
      </c>
      <c r="K430">
        <f>demanda!D428</f>
        <v>0</v>
      </c>
      <c r="L430">
        <f>demanda!I428</f>
        <v>6</v>
      </c>
      <c r="M430">
        <v>14.416809279416043</v>
      </c>
      <c r="N430">
        <f t="shared" si="48"/>
        <v>-8.416809279416043</v>
      </c>
      <c r="O430">
        <v>7.4087557083441532E-4</v>
      </c>
      <c r="P430">
        <f t="shared" si="49"/>
        <v>-0.84805629481744571</v>
      </c>
      <c r="Q430">
        <f t="shared" si="50"/>
        <v>98.51652061294196</v>
      </c>
      <c r="R430">
        <f t="shared" si="51"/>
        <v>-0.8483086443975183</v>
      </c>
      <c r="S430">
        <f t="shared" si="52"/>
        <v>0.39637190285902191</v>
      </c>
      <c r="T430">
        <f t="shared" si="53"/>
        <v>2.6681386764022222E-4</v>
      </c>
      <c r="U430">
        <f t="shared" si="54"/>
        <v>-2.3098696293268058E-2</v>
      </c>
    </row>
    <row r="431" spans="10:21" x14ac:dyDescent="0.35">
      <c r="J431">
        <f t="shared" si="55"/>
        <v>428</v>
      </c>
      <c r="K431">
        <f>demanda!D429</f>
        <v>0</v>
      </c>
      <c r="L431">
        <f>demanda!I429</f>
        <v>9</v>
      </c>
      <c r="M431">
        <v>14.416809279416043</v>
      </c>
      <c r="N431">
        <f t="shared" si="48"/>
        <v>-5.416809279416043</v>
      </c>
      <c r="O431">
        <v>7.4087557083441532E-4</v>
      </c>
      <c r="P431">
        <f t="shared" si="49"/>
        <v>-0.54578392532532727</v>
      </c>
      <c r="Q431">
        <f t="shared" si="50"/>
        <v>98.538174223704843</v>
      </c>
      <c r="R431">
        <f t="shared" si="51"/>
        <v>-0.54588634131956315</v>
      </c>
      <c r="S431">
        <f t="shared" si="52"/>
        <v>0.58520751823074413</v>
      </c>
      <c r="T431">
        <f t="shared" si="53"/>
        <v>1.1050972928307278E-4</v>
      </c>
      <c r="U431">
        <f t="shared" si="54"/>
        <v>-1.4864003676090257E-2</v>
      </c>
    </row>
    <row r="432" spans="10:21" x14ac:dyDescent="0.35">
      <c r="J432">
        <f t="shared" si="55"/>
        <v>429</v>
      </c>
      <c r="K432">
        <f>demanda!D430</f>
        <v>1</v>
      </c>
      <c r="L432">
        <f>demanda!I430</f>
        <v>15</v>
      </c>
      <c r="M432">
        <v>11.786175589530247</v>
      </c>
      <c r="N432">
        <f t="shared" si="48"/>
        <v>3.2138244104697531</v>
      </c>
      <c r="O432">
        <v>5.2058796926701797E-4</v>
      </c>
      <c r="P432">
        <f t="shared" si="49"/>
        <v>0.32381677322810093</v>
      </c>
      <c r="Q432">
        <f t="shared" si="50"/>
        <v>98.548095772403954</v>
      </c>
      <c r="R432">
        <f t="shared" si="51"/>
        <v>0.3238255414227269</v>
      </c>
      <c r="S432">
        <f t="shared" si="52"/>
        <v>0.74610540567370975</v>
      </c>
      <c r="T432">
        <f t="shared" si="53"/>
        <v>2.7322164893932259E-5</v>
      </c>
      <c r="U432">
        <f t="shared" si="54"/>
        <v>7.390456033686617E-3</v>
      </c>
    </row>
    <row r="433" spans="10:21" x14ac:dyDescent="0.35">
      <c r="J433">
        <f t="shared" si="55"/>
        <v>430</v>
      </c>
      <c r="K433">
        <f>demanda!D431</f>
        <v>0</v>
      </c>
      <c r="L433">
        <f>demanda!I431</f>
        <v>14</v>
      </c>
      <c r="M433">
        <v>14.416809279416043</v>
      </c>
      <c r="N433">
        <f t="shared" si="48"/>
        <v>-0.41680927941604295</v>
      </c>
      <c r="O433">
        <v>7.4087557083441532E-4</v>
      </c>
      <c r="P433">
        <f t="shared" si="49"/>
        <v>-4.1996642838463258E-2</v>
      </c>
      <c r="Q433">
        <f t="shared" si="50"/>
        <v>98.553393055166637</v>
      </c>
      <c r="R433">
        <f t="shared" si="51"/>
        <v>-4.2001280140228352E-2</v>
      </c>
      <c r="S433">
        <f t="shared" si="52"/>
        <v>0.96650204701357412</v>
      </c>
      <c r="T433">
        <f t="shared" si="53"/>
        <v>6.5431696937827154E-7</v>
      </c>
      <c r="U433">
        <f t="shared" si="54"/>
        <v>-1.1436578187608104E-3</v>
      </c>
    </row>
    <row r="434" spans="10:21" x14ac:dyDescent="0.35">
      <c r="J434">
        <f t="shared" si="55"/>
        <v>431</v>
      </c>
      <c r="K434">
        <f>demanda!D432</f>
        <v>0</v>
      </c>
      <c r="L434">
        <f>demanda!I432</f>
        <v>15</v>
      </c>
      <c r="M434">
        <v>14.416809279416043</v>
      </c>
      <c r="N434">
        <f t="shared" si="48"/>
        <v>0.58319072058395705</v>
      </c>
      <c r="O434">
        <v>7.4087557083441532E-4</v>
      </c>
      <c r="P434">
        <f t="shared" si="49"/>
        <v>5.8760813658909554E-2</v>
      </c>
      <c r="Q434">
        <f t="shared" si="50"/>
        <v>98.553306243487526</v>
      </c>
      <c r="R434">
        <f t="shared" si="51"/>
        <v>5.8767327956256402E-2</v>
      </c>
      <c r="S434">
        <f t="shared" si="52"/>
        <v>0.95314355069247325</v>
      </c>
      <c r="T434">
        <f t="shared" si="53"/>
        <v>1.2809572488725558E-6</v>
      </c>
      <c r="U434">
        <f t="shared" si="54"/>
        <v>1.6001825154010173E-3</v>
      </c>
    </row>
    <row r="435" spans="10:21" x14ac:dyDescent="0.35">
      <c r="J435">
        <f t="shared" si="55"/>
        <v>432</v>
      </c>
      <c r="K435">
        <f>demanda!D433</f>
        <v>1</v>
      </c>
      <c r="L435">
        <f>demanda!I433</f>
        <v>15</v>
      </c>
      <c r="M435">
        <v>11.786175589530247</v>
      </c>
      <c r="N435">
        <f t="shared" si="48"/>
        <v>3.2138244104697531</v>
      </c>
      <c r="O435">
        <v>5.2058796926701797E-4</v>
      </c>
      <c r="P435">
        <f t="shared" si="49"/>
        <v>0.32381677322810093</v>
      </c>
      <c r="Q435">
        <f t="shared" si="50"/>
        <v>98.548095772403954</v>
      </c>
      <c r="R435">
        <f t="shared" si="51"/>
        <v>0.3238255414227269</v>
      </c>
      <c r="S435">
        <f t="shared" si="52"/>
        <v>0.74610540567370975</v>
      </c>
      <c r="T435">
        <f t="shared" si="53"/>
        <v>2.7322164893932259E-5</v>
      </c>
      <c r="U435">
        <f t="shared" si="54"/>
        <v>7.390456033686617E-3</v>
      </c>
    </row>
    <row r="436" spans="10:21" x14ac:dyDescent="0.35">
      <c r="J436">
        <f t="shared" si="55"/>
        <v>433</v>
      </c>
      <c r="K436">
        <f>demanda!D434</f>
        <v>0</v>
      </c>
      <c r="L436">
        <f>demanda!I434</f>
        <v>15</v>
      </c>
      <c r="M436">
        <v>14.416809279416043</v>
      </c>
      <c r="N436">
        <f t="shared" si="48"/>
        <v>0.58319072058395705</v>
      </c>
      <c r="O436">
        <v>7.4087557083441532E-4</v>
      </c>
      <c r="P436">
        <f t="shared" si="49"/>
        <v>5.8760813658909554E-2</v>
      </c>
      <c r="Q436">
        <f t="shared" si="50"/>
        <v>98.553306243487526</v>
      </c>
      <c r="R436">
        <f t="shared" si="51"/>
        <v>5.8767327956256402E-2</v>
      </c>
      <c r="S436">
        <f t="shared" si="52"/>
        <v>0.95314355069247325</v>
      </c>
      <c r="T436">
        <f t="shared" si="53"/>
        <v>1.2809572488725558E-6</v>
      </c>
      <c r="U436">
        <f t="shared" si="54"/>
        <v>1.6001825154010173E-3</v>
      </c>
    </row>
    <row r="437" spans="10:21" x14ac:dyDescent="0.35">
      <c r="J437">
        <f t="shared" si="55"/>
        <v>434</v>
      </c>
      <c r="K437">
        <f>demanda!D435</f>
        <v>0</v>
      </c>
      <c r="L437">
        <f>demanda!I435</f>
        <v>15</v>
      </c>
      <c r="M437">
        <v>14.416809279416043</v>
      </c>
      <c r="N437">
        <f t="shared" si="48"/>
        <v>0.58319072058395705</v>
      </c>
      <c r="O437">
        <v>7.4087557083441532E-4</v>
      </c>
      <c r="P437">
        <f t="shared" si="49"/>
        <v>5.8760813658909554E-2</v>
      </c>
      <c r="Q437">
        <f t="shared" si="50"/>
        <v>98.553306243487526</v>
      </c>
      <c r="R437">
        <f t="shared" si="51"/>
        <v>5.8767327956256402E-2</v>
      </c>
      <c r="S437">
        <f t="shared" si="52"/>
        <v>0.95314355069247325</v>
      </c>
      <c r="T437">
        <f t="shared" si="53"/>
        <v>1.2809572488725558E-6</v>
      </c>
      <c r="U437">
        <f t="shared" si="54"/>
        <v>1.6001825154010173E-3</v>
      </c>
    </row>
    <row r="438" spans="10:21" x14ac:dyDescent="0.35">
      <c r="J438">
        <f t="shared" si="55"/>
        <v>435</v>
      </c>
      <c r="K438">
        <f>demanda!D436</f>
        <v>0</v>
      </c>
      <c r="L438">
        <f>demanda!I436</f>
        <v>15</v>
      </c>
      <c r="M438">
        <v>14.416809279416043</v>
      </c>
      <c r="N438">
        <f t="shared" si="48"/>
        <v>0.58319072058395705</v>
      </c>
      <c r="O438">
        <v>7.4087557083441532E-4</v>
      </c>
      <c r="P438">
        <f t="shared" si="49"/>
        <v>5.8760813658909554E-2</v>
      </c>
      <c r="Q438">
        <f t="shared" si="50"/>
        <v>98.553306243487526</v>
      </c>
      <c r="R438">
        <f t="shared" si="51"/>
        <v>5.8767327956256402E-2</v>
      </c>
      <c r="S438">
        <f t="shared" si="52"/>
        <v>0.95314355069247325</v>
      </c>
      <c r="T438">
        <f t="shared" si="53"/>
        <v>1.2809572488725558E-6</v>
      </c>
      <c r="U438">
        <f t="shared" si="54"/>
        <v>1.6001825154010173E-3</v>
      </c>
    </row>
    <row r="439" spans="10:21" x14ac:dyDescent="0.35">
      <c r="J439">
        <f t="shared" si="55"/>
        <v>436</v>
      </c>
      <c r="K439">
        <f>demanda!D437</f>
        <v>0</v>
      </c>
      <c r="L439">
        <f>demanda!I437</f>
        <v>15</v>
      </c>
      <c r="M439">
        <v>14.416809279416043</v>
      </c>
      <c r="N439">
        <f t="shared" si="48"/>
        <v>0.58319072058395705</v>
      </c>
      <c r="O439">
        <v>7.4087557083441532E-4</v>
      </c>
      <c r="P439">
        <f t="shared" si="49"/>
        <v>5.8760813658909554E-2</v>
      </c>
      <c r="Q439">
        <f t="shared" si="50"/>
        <v>98.553306243487526</v>
      </c>
      <c r="R439">
        <f t="shared" si="51"/>
        <v>5.8767327956256402E-2</v>
      </c>
      <c r="S439">
        <f t="shared" si="52"/>
        <v>0.95314355069247325</v>
      </c>
      <c r="T439">
        <f t="shared" si="53"/>
        <v>1.2809572488725558E-6</v>
      </c>
      <c r="U439">
        <f t="shared" si="54"/>
        <v>1.6001825154010173E-3</v>
      </c>
    </row>
    <row r="440" spans="10:21" x14ac:dyDescent="0.35">
      <c r="J440">
        <f t="shared" si="55"/>
        <v>437</v>
      </c>
      <c r="K440">
        <f>demanda!D438</f>
        <v>0</v>
      </c>
      <c r="L440">
        <f>demanda!I438</f>
        <v>15</v>
      </c>
      <c r="M440">
        <v>14.416809279416043</v>
      </c>
      <c r="N440">
        <f t="shared" si="48"/>
        <v>0.58319072058395705</v>
      </c>
      <c r="O440">
        <v>7.4087557083441532E-4</v>
      </c>
      <c r="P440">
        <f t="shared" si="49"/>
        <v>5.8760813658909554E-2</v>
      </c>
      <c r="Q440">
        <f t="shared" si="50"/>
        <v>98.553306243487526</v>
      </c>
      <c r="R440">
        <f t="shared" si="51"/>
        <v>5.8767327956256402E-2</v>
      </c>
      <c r="S440">
        <f t="shared" si="52"/>
        <v>0.95314355069247325</v>
      </c>
      <c r="T440">
        <f t="shared" si="53"/>
        <v>1.2809572488725558E-6</v>
      </c>
      <c r="U440">
        <f t="shared" si="54"/>
        <v>1.6001825154010173E-3</v>
      </c>
    </row>
    <row r="441" spans="10:21" x14ac:dyDescent="0.35">
      <c r="J441">
        <f t="shared" si="55"/>
        <v>438</v>
      </c>
      <c r="K441">
        <f>demanda!D439</f>
        <v>0</v>
      </c>
      <c r="L441">
        <f>demanda!I439</f>
        <v>15</v>
      </c>
      <c r="M441">
        <v>14.416809279416043</v>
      </c>
      <c r="N441">
        <f t="shared" si="48"/>
        <v>0.58319072058395705</v>
      </c>
      <c r="O441">
        <v>7.4087557083441532E-4</v>
      </c>
      <c r="P441">
        <f t="shared" si="49"/>
        <v>5.8760813658909554E-2</v>
      </c>
      <c r="Q441">
        <f t="shared" si="50"/>
        <v>98.553306243487526</v>
      </c>
      <c r="R441">
        <f t="shared" si="51"/>
        <v>5.8767327956256402E-2</v>
      </c>
      <c r="S441">
        <f t="shared" si="52"/>
        <v>0.95314355069247325</v>
      </c>
      <c r="T441">
        <f t="shared" si="53"/>
        <v>1.2809572488725558E-6</v>
      </c>
      <c r="U441">
        <f t="shared" si="54"/>
        <v>1.6001825154010173E-3</v>
      </c>
    </row>
    <row r="442" spans="10:21" x14ac:dyDescent="0.35">
      <c r="J442">
        <f t="shared" si="55"/>
        <v>439</v>
      </c>
      <c r="K442">
        <f>demanda!D440</f>
        <v>0</v>
      </c>
      <c r="L442">
        <f>demanda!I440</f>
        <v>15</v>
      </c>
      <c r="M442">
        <v>14.416809279416043</v>
      </c>
      <c r="N442">
        <f t="shared" si="48"/>
        <v>0.58319072058395705</v>
      </c>
      <c r="O442">
        <v>7.4087557083441532E-4</v>
      </c>
      <c r="P442">
        <f t="shared" si="49"/>
        <v>5.8760813658909554E-2</v>
      </c>
      <c r="Q442">
        <f t="shared" si="50"/>
        <v>98.553306243487526</v>
      </c>
      <c r="R442">
        <f t="shared" si="51"/>
        <v>5.8767327956256402E-2</v>
      </c>
      <c r="S442">
        <f t="shared" si="52"/>
        <v>0.95314355069247325</v>
      </c>
      <c r="T442">
        <f t="shared" si="53"/>
        <v>1.2809572488725558E-6</v>
      </c>
      <c r="U442">
        <f t="shared" si="54"/>
        <v>1.6001825154010173E-3</v>
      </c>
    </row>
    <row r="443" spans="10:21" x14ac:dyDescent="0.35">
      <c r="J443">
        <f t="shared" si="55"/>
        <v>440</v>
      </c>
      <c r="K443">
        <f>demanda!D441</f>
        <v>0</v>
      </c>
      <c r="L443">
        <f>demanda!I441</f>
        <v>15</v>
      </c>
      <c r="M443">
        <v>14.416809279416043</v>
      </c>
      <c r="N443">
        <f t="shared" si="48"/>
        <v>0.58319072058395705</v>
      </c>
      <c r="O443">
        <v>7.4087557083441532E-4</v>
      </c>
      <c r="P443">
        <f t="shared" si="49"/>
        <v>5.8760813658909554E-2</v>
      </c>
      <c r="Q443">
        <f t="shared" si="50"/>
        <v>98.553306243487526</v>
      </c>
      <c r="R443">
        <f t="shared" si="51"/>
        <v>5.8767327956256402E-2</v>
      </c>
      <c r="S443">
        <f t="shared" si="52"/>
        <v>0.95314355069247325</v>
      </c>
      <c r="T443">
        <f t="shared" si="53"/>
        <v>1.2809572488725558E-6</v>
      </c>
      <c r="U443">
        <f t="shared" si="54"/>
        <v>1.6001825154010173E-3</v>
      </c>
    </row>
    <row r="444" spans="10:21" x14ac:dyDescent="0.35">
      <c r="J444">
        <f t="shared" si="55"/>
        <v>441</v>
      </c>
      <c r="K444">
        <f>demanda!D442</f>
        <v>0</v>
      </c>
      <c r="L444">
        <f>demanda!I442</f>
        <v>15</v>
      </c>
      <c r="M444">
        <v>14.416809279416043</v>
      </c>
      <c r="N444">
        <f t="shared" si="48"/>
        <v>0.58319072058395705</v>
      </c>
      <c r="O444">
        <v>7.4087557083441532E-4</v>
      </c>
      <c r="P444">
        <f t="shared" si="49"/>
        <v>5.8760813658909554E-2</v>
      </c>
      <c r="Q444">
        <f t="shared" si="50"/>
        <v>98.553306243487526</v>
      </c>
      <c r="R444">
        <f t="shared" si="51"/>
        <v>5.8767327956256402E-2</v>
      </c>
      <c r="S444">
        <f t="shared" si="52"/>
        <v>0.95314355069247325</v>
      </c>
      <c r="T444">
        <f t="shared" si="53"/>
        <v>1.2809572488725558E-6</v>
      </c>
      <c r="U444">
        <f t="shared" si="54"/>
        <v>1.6001825154010173E-3</v>
      </c>
    </row>
    <row r="445" spans="10:21" x14ac:dyDescent="0.35">
      <c r="J445">
        <f t="shared" si="55"/>
        <v>442</v>
      </c>
      <c r="K445">
        <f>demanda!D443</f>
        <v>2</v>
      </c>
      <c r="L445">
        <f>demanda!I443</f>
        <v>15</v>
      </c>
      <c r="M445">
        <v>9.1555418996444509</v>
      </c>
      <c r="N445">
        <f t="shared" si="48"/>
        <v>5.8444581003555491</v>
      </c>
      <c r="O445">
        <v>7.3144910189317154E-4</v>
      </c>
      <c r="P445">
        <f t="shared" si="49"/>
        <v>0.58887273279729235</v>
      </c>
      <c r="Q445">
        <f t="shared" si="50"/>
        <v>98.535661650263577</v>
      </c>
      <c r="R445">
        <f t="shared" si="51"/>
        <v>0.58898796551937516</v>
      </c>
      <c r="S445">
        <f t="shared" si="52"/>
        <v>0.55593867021574073</v>
      </c>
      <c r="T445">
        <f t="shared" si="53"/>
        <v>1.2700843561873917E-4</v>
      </c>
      <c r="U445">
        <f t="shared" si="54"/>
        <v>1.593519443521384E-2</v>
      </c>
    </row>
    <row r="446" spans="10:21" x14ac:dyDescent="0.35">
      <c r="J446">
        <f t="shared" si="55"/>
        <v>443</v>
      </c>
      <c r="K446">
        <f>demanda!D444</f>
        <v>0</v>
      </c>
      <c r="L446">
        <f>demanda!I444</f>
        <v>15</v>
      </c>
      <c r="M446">
        <v>14.416809279416043</v>
      </c>
      <c r="N446">
        <f t="shared" si="48"/>
        <v>0.58319072058395705</v>
      </c>
      <c r="O446">
        <v>7.4087557083441532E-4</v>
      </c>
      <c r="P446">
        <f t="shared" si="49"/>
        <v>5.8760813658909554E-2</v>
      </c>
      <c r="Q446">
        <f t="shared" si="50"/>
        <v>98.553306243487526</v>
      </c>
      <c r="R446">
        <f t="shared" si="51"/>
        <v>5.8767327956256402E-2</v>
      </c>
      <c r="S446">
        <f t="shared" si="52"/>
        <v>0.95314355069247325</v>
      </c>
      <c r="T446">
        <f t="shared" si="53"/>
        <v>1.2809572488725558E-6</v>
      </c>
      <c r="U446">
        <f t="shared" si="54"/>
        <v>1.6001825154010173E-3</v>
      </c>
    </row>
    <row r="447" spans="10:21" x14ac:dyDescent="0.35">
      <c r="J447">
        <f t="shared" si="55"/>
        <v>444</v>
      </c>
      <c r="K447">
        <f>demanda!D445</f>
        <v>0</v>
      </c>
      <c r="L447">
        <f>demanda!I445</f>
        <v>15</v>
      </c>
      <c r="M447">
        <v>14.416809279416043</v>
      </c>
      <c r="N447">
        <f t="shared" si="48"/>
        <v>0.58319072058395705</v>
      </c>
      <c r="O447">
        <v>7.4087557083441532E-4</v>
      </c>
      <c r="P447">
        <f t="shared" si="49"/>
        <v>5.8760813658909554E-2</v>
      </c>
      <c r="Q447">
        <f t="shared" si="50"/>
        <v>98.553306243487526</v>
      </c>
      <c r="R447">
        <f t="shared" si="51"/>
        <v>5.8767327956256402E-2</v>
      </c>
      <c r="S447">
        <f t="shared" si="52"/>
        <v>0.95314355069247325</v>
      </c>
      <c r="T447">
        <f t="shared" si="53"/>
        <v>1.2809572488725558E-6</v>
      </c>
      <c r="U447">
        <f t="shared" si="54"/>
        <v>1.6001825154010173E-3</v>
      </c>
    </row>
    <row r="448" spans="10:21" x14ac:dyDescent="0.35">
      <c r="J448">
        <f t="shared" si="55"/>
        <v>445</v>
      </c>
      <c r="K448">
        <f>demanda!D446</f>
        <v>0</v>
      </c>
      <c r="L448">
        <f>demanda!I446</f>
        <v>15</v>
      </c>
      <c r="M448">
        <v>14.416809279416043</v>
      </c>
      <c r="N448">
        <f t="shared" si="48"/>
        <v>0.58319072058395705</v>
      </c>
      <c r="O448">
        <v>7.4087557083441532E-4</v>
      </c>
      <c r="P448">
        <f t="shared" si="49"/>
        <v>5.8760813658909554E-2</v>
      </c>
      <c r="Q448">
        <f t="shared" si="50"/>
        <v>98.553306243487526</v>
      </c>
      <c r="R448">
        <f t="shared" si="51"/>
        <v>5.8767327956256402E-2</v>
      </c>
      <c r="S448">
        <f t="shared" si="52"/>
        <v>0.95314355069247325</v>
      </c>
      <c r="T448">
        <f t="shared" si="53"/>
        <v>1.2809572488725558E-6</v>
      </c>
      <c r="U448">
        <f t="shared" si="54"/>
        <v>1.6001825154010173E-3</v>
      </c>
    </row>
    <row r="449" spans="10:21" x14ac:dyDescent="0.35">
      <c r="J449">
        <f t="shared" si="55"/>
        <v>446</v>
      </c>
      <c r="K449">
        <f>demanda!D447</f>
        <v>0</v>
      </c>
      <c r="L449">
        <f>demanda!I447</f>
        <v>15</v>
      </c>
      <c r="M449">
        <v>14.416809279416043</v>
      </c>
      <c r="N449">
        <f t="shared" si="48"/>
        <v>0.58319072058395705</v>
      </c>
      <c r="O449">
        <v>7.4087557083441532E-4</v>
      </c>
      <c r="P449">
        <f t="shared" si="49"/>
        <v>5.8760813658909554E-2</v>
      </c>
      <c r="Q449">
        <f t="shared" si="50"/>
        <v>98.553306243487526</v>
      </c>
      <c r="R449">
        <f t="shared" si="51"/>
        <v>5.8767327956256402E-2</v>
      </c>
      <c r="S449">
        <f t="shared" si="52"/>
        <v>0.95314355069247325</v>
      </c>
      <c r="T449">
        <f t="shared" si="53"/>
        <v>1.2809572488725558E-6</v>
      </c>
      <c r="U449">
        <f t="shared" si="54"/>
        <v>1.6001825154010173E-3</v>
      </c>
    </row>
    <row r="450" spans="10:21" x14ac:dyDescent="0.35">
      <c r="J450">
        <f t="shared" si="55"/>
        <v>447</v>
      </c>
      <c r="K450">
        <f>demanda!D448</f>
        <v>0</v>
      </c>
      <c r="L450">
        <f>demanda!I448</f>
        <v>15</v>
      </c>
      <c r="M450">
        <v>14.416809279416043</v>
      </c>
      <c r="N450">
        <f t="shared" si="48"/>
        <v>0.58319072058395705</v>
      </c>
      <c r="O450">
        <v>7.4087557083441532E-4</v>
      </c>
      <c r="P450">
        <f t="shared" si="49"/>
        <v>5.8760813658909554E-2</v>
      </c>
      <c r="Q450">
        <f t="shared" si="50"/>
        <v>98.553306243487526</v>
      </c>
      <c r="R450">
        <f t="shared" si="51"/>
        <v>5.8767327956256402E-2</v>
      </c>
      <c r="S450">
        <f t="shared" si="52"/>
        <v>0.95314355069247325</v>
      </c>
      <c r="T450">
        <f t="shared" si="53"/>
        <v>1.2809572488725558E-6</v>
      </c>
      <c r="U450">
        <f t="shared" si="54"/>
        <v>1.6001825154010173E-3</v>
      </c>
    </row>
    <row r="451" spans="10:21" x14ac:dyDescent="0.35">
      <c r="J451">
        <f t="shared" si="55"/>
        <v>448</v>
      </c>
      <c r="K451">
        <f>demanda!D449</f>
        <v>0</v>
      </c>
      <c r="L451">
        <f>demanda!I449</f>
        <v>15</v>
      </c>
      <c r="M451">
        <v>14.416809279416043</v>
      </c>
      <c r="N451">
        <f t="shared" si="48"/>
        <v>0.58319072058395705</v>
      </c>
      <c r="O451">
        <v>7.4087557083441532E-4</v>
      </c>
      <c r="P451">
        <f t="shared" si="49"/>
        <v>5.8760813658909554E-2</v>
      </c>
      <c r="Q451">
        <f t="shared" si="50"/>
        <v>98.553306243487526</v>
      </c>
      <c r="R451">
        <f t="shared" si="51"/>
        <v>5.8767327956256402E-2</v>
      </c>
      <c r="S451">
        <f t="shared" si="52"/>
        <v>0.95314355069247325</v>
      </c>
      <c r="T451">
        <f t="shared" si="53"/>
        <v>1.2809572488725558E-6</v>
      </c>
      <c r="U451">
        <f t="shared" si="54"/>
        <v>1.6001825154010173E-3</v>
      </c>
    </row>
    <row r="452" spans="10:21" x14ac:dyDescent="0.35">
      <c r="J452">
        <f t="shared" si="55"/>
        <v>449</v>
      </c>
      <c r="K452">
        <f>demanda!D450</f>
        <v>0</v>
      </c>
      <c r="L452">
        <f>demanda!I450</f>
        <v>15</v>
      </c>
      <c r="M452">
        <v>14.416809279416043</v>
      </c>
      <c r="N452">
        <f t="shared" si="48"/>
        <v>0.58319072058395705</v>
      </c>
      <c r="O452">
        <v>7.4087557083441532E-4</v>
      </c>
      <c r="P452">
        <f t="shared" si="49"/>
        <v>5.8760813658909554E-2</v>
      </c>
      <c r="Q452">
        <f t="shared" si="50"/>
        <v>98.553306243487526</v>
      </c>
      <c r="R452">
        <f t="shared" si="51"/>
        <v>5.8767327956256402E-2</v>
      </c>
      <c r="S452">
        <f t="shared" si="52"/>
        <v>0.95314355069247325</v>
      </c>
      <c r="T452">
        <f t="shared" si="53"/>
        <v>1.2809572488725558E-6</v>
      </c>
      <c r="U452">
        <f t="shared" si="54"/>
        <v>1.6001825154010173E-3</v>
      </c>
    </row>
    <row r="453" spans="10:21" x14ac:dyDescent="0.35">
      <c r="J453">
        <f t="shared" si="55"/>
        <v>450</v>
      </c>
      <c r="K453">
        <f>demanda!D451</f>
        <v>0</v>
      </c>
      <c r="L453">
        <f>demanda!I451</f>
        <v>15</v>
      </c>
      <c r="M453">
        <v>14.416809279416043</v>
      </c>
      <c r="N453">
        <f t="shared" ref="N453:N516" si="56">L453-M453</f>
        <v>0.58319072058395705</v>
      </c>
      <c r="O453">
        <v>7.4087557083441532E-4</v>
      </c>
      <c r="P453">
        <f t="shared" ref="P453:P516" si="57">N453/SQRT($X$6)</f>
        <v>5.8760813658909554E-2</v>
      </c>
      <c r="Q453">
        <f t="shared" ref="Q453:Q516" si="58">($X$6-N453^2/((1-O453)*$X$5))*$X$5/($X$5-1)</f>
        <v>98.553306243487526</v>
      </c>
      <c r="R453">
        <f t="shared" ref="R453:R516" si="59">N453/SQRT(Q453*(1-O453))</f>
        <v>5.8767327956256402E-2</v>
      </c>
      <c r="S453">
        <f t="shared" ref="S453:S516" si="60">_xlfn.T.DIST.2T(ABS(R453),$X$5)</f>
        <v>0.95314355069247325</v>
      </c>
      <c r="T453">
        <f t="shared" ref="T453:T516" si="61">(N453^2/$X$6)*(O453/(1-O453)^2)/($X$7+1)</f>
        <v>1.2809572488725558E-6</v>
      </c>
      <c r="U453">
        <f t="shared" ref="U453:U516" si="62">R453*SQRT(O453/(1-O453))</f>
        <v>1.6001825154010173E-3</v>
      </c>
    </row>
    <row r="454" spans="10:21" x14ac:dyDescent="0.35">
      <c r="J454">
        <f t="shared" ref="J454:J517" si="63">J453+1</f>
        <v>451</v>
      </c>
      <c r="K454">
        <f>demanda!D452</f>
        <v>0</v>
      </c>
      <c r="L454">
        <f>demanda!I452</f>
        <v>15</v>
      </c>
      <c r="M454">
        <v>14.416809279416043</v>
      </c>
      <c r="N454">
        <f t="shared" si="56"/>
        <v>0.58319072058395705</v>
      </c>
      <c r="O454">
        <v>7.4087557083441532E-4</v>
      </c>
      <c r="P454">
        <f t="shared" si="57"/>
        <v>5.8760813658909554E-2</v>
      </c>
      <c r="Q454">
        <f t="shared" si="58"/>
        <v>98.553306243487526</v>
      </c>
      <c r="R454">
        <f t="shared" si="59"/>
        <v>5.8767327956256402E-2</v>
      </c>
      <c r="S454">
        <f t="shared" si="60"/>
        <v>0.95314355069247325</v>
      </c>
      <c r="T454">
        <f t="shared" si="61"/>
        <v>1.2809572488725558E-6</v>
      </c>
      <c r="U454">
        <f t="shared" si="62"/>
        <v>1.6001825154010173E-3</v>
      </c>
    </row>
    <row r="455" spans="10:21" x14ac:dyDescent="0.35">
      <c r="J455">
        <f t="shared" si="63"/>
        <v>452</v>
      </c>
      <c r="K455">
        <f>demanda!D453</f>
        <v>0</v>
      </c>
      <c r="L455">
        <f>demanda!I453</f>
        <v>15</v>
      </c>
      <c r="M455">
        <v>14.416809279416043</v>
      </c>
      <c r="N455">
        <f t="shared" si="56"/>
        <v>0.58319072058395705</v>
      </c>
      <c r="O455">
        <v>7.4087557083441532E-4</v>
      </c>
      <c r="P455">
        <f t="shared" si="57"/>
        <v>5.8760813658909554E-2</v>
      </c>
      <c r="Q455">
        <f t="shared" si="58"/>
        <v>98.553306243487526</v>
      </c>
      <c r="R455">
        <f t="shared" si="59"/>
        <v>5.8767327956256402E-2</v>
      </c>
      <c r="S455">
        <f t="shared" si="60"/>
        <v>0.95314355069247325</v>
      </c>
      <c r="T455">
        <f t="shared" si="61"/>
        <v>1.2809572488725558E-6</v>
      </c>
      <c r="U455">
        <f t="shared" si="62"/>
        <v>1.6001825154010173E-3</v>
      </c>
    </row>
    <row r="456" spans="10:21" x14ac:dyDescent="0.35">
      <c r="J456">
        <f t="shared" si="63"/>
        <v>453</v>
      </c>
      <c r="K456">
        <f>demanda!D454</f>
        <v>0</v>
      </c>
      <c r="L456">
        <f>demanda!I454</f>
        <v>4</v>
      </c>
      <c r="M456">
        <v>14.416809279416043</v>
      </c>
      <c r="N456">
        <f t="shared" si="56"/>
        <v>-10.416809279416043</v>
      </c>
      <c r="O456">
        <v>7.4087557083441532E-4</v>
      </c>
      <c r="P456">
        <f t="shared" si="57"/>
        <v>-1.0495712078121913</v>
      </c>
      <c r="Q456">
        <f t="shared" si="58"/>
        <v>98.49686724248096</v>
      </c>
      <c r="R456">
        <f t="shared" si="59"/>
        <v>-1.049988258586362</v>
      </c>
      <c r="S456">
        <f t="shared" si="60"/>
        <v>0.29385572056513598</v>
      </c>
      <c r="T456">
        <f t="shared" si="61"/>
        <v>4.0867949778204384E-4</v>
      </c>
      <c r="U456">
        <f t="shared" si="62"/>
        <v>-2.8590254333443563E-2</v>
      </c>
    </row>
    <row r="457" spans="10:21" x14ac:dyDescent="0.35">
      <c r="J457">
        <f t="shared" si="63"/>
        <v>454</v>
      </c>
      <c r="K457">
        <f>demanda!D455</f>
        <v>1</v>
      </c>
      <c r="L457">
        <f>demanda!I455</f>
        <v>4</v>
      </c>
      <c r="M457">
        <v>11.786175589530247</v>
      </c>
      <c r="N457">
        <f t="shared" si="56"/>
        <v>-7.7861755895302469</v>
      </c>
      <c r="O457">
        <v>5.2058796926701797E-4</v>
      </c>
      <c r="P457">
        <f t="shared" si="57"/>
        <v>-0.7845152482429999</v>
      </c>
      <c r="Q457">
        <f t="shared" si="58"/>
        <v>98.52185903620547</v>
      </c>
      <c r="R457">
        <f t="shared" si="59"/>
        <v>-0.784640946599786</v>
      </c>
      <c r="S457">
        <f t="shared" si="60"/>
        <v>0.43276096337473069</v>
      </c>
      <c r="T457">
        <f t="shared" si="61"/>
        <v>1.6036855085321727E-4</v>
      </c>
      <c r="U457">
        <f t="shared" si="62"/>
        <v>-1.7907341071981879E-2</v>
      </c>
    </row>
    <row r="458" spans="10:21" x14ac:dyDescent="0.35">
      <c r="J458">
        <f t="shared" si="63"/>
        <v>455</v>
      </c>
      <c r="K458">
        <f>demanda!D456</f>
        <v>0</v>
      </c>
      <c r="L458">
        <f>demanda!I456</f>
        <v>9</v>
      </c>
      <c r="M458">
        <v>14.416809279416043</v>
      </c>
      <c r="N458">
        <f t="shared" si="56"/>
        <v>-5.416809279416043</v>
      </c>
      <c r="O458">
        <v>7.4087557083441532E-4</v>
      </c>
      <c r="P458">
        <f t="shared" si="57"/>
        <v>-0.54578392532532727</v>
      </c>
      <c r="Q458">
        <f t="shared" si="58"/>
        <v>98.538174223704843</v>
      </c>
      <c r="R458">
        <f t="shared" si="59"/>
        <v>-0.54588634131956315</v>
      </c>
      <c r="S458">
        <f t="shared" si="60"/>
        <v>0.58520751823074413</v>
      </c>
      <c r="T458">
        <f t="shared" si="61"/>
        <v>1.1050972928307278E-4</v>
      </c>
      <c r="U458">
        <f t="shared" si="62"/>
        <v>-1.4864003676090257E-2</v>
      </c>
    </row>
    <row r="459" spans="10:21" x14ac:dyDescent="0.35">
      <c r="J459">
        <f t="shared" si="63"/>
        <v>456</v>
      </c>
      <c r="K459">
        <f>demanda!D457</f>
        <v>0</v>
      </c>
      <c r="L459">
        <f>demanda!I457</f>
        <v>4</v>
      </c>
      <c r="M459">
        <v>14.416809279416043</v>
      </c>
      <c r="N459">
        <f t="shared" si="56"/>
        <v>-10.416809279416043</v>
      </c>
      <c r="O459">
        <v>7.4087557083441532E-4</v>
      </c>
      <c r="P459">
        <f t="shared" si="57"/>
        <v>-1.0495712078121913</v>
      </c>
      <c r="Q459">
        <f t="shared" si="58"/>
        <v>98.49686724248096</v>
      </c>
      <c r="R459">
        <f t="shared" si="59"/>
        <v>-1.049988258586362</v>
      </c>
      <c r="S459">
        <f t="shared" si="60"/>
        <v>0.29385572056513598</v>
      </c>
      <c r="T459">
        <f t="shared" si="61"/>
        <v>4.0867949778204384E-4</v>
      </c>
      <c r="U459">
        <f t="shared" si="62"/>
        <v>-2.8590254333443563E-2</v>
      </c>
    </row>
    <row r="460" spans="10:21" x14ac:dyDescent="0.35">
      <c r="J460">
        <f t="shared" si="63"/>
        <v>457</v>
      </c>
      <c r="K460">
        <f>demanda!D458</f>
        <v>6</v>
      </c>
      <c r="L460">
        <f>demanda!I458</f>
        <v>2</v>
      </c>
      <c r="M460">
        <v>-1.3669928598987333</v>
      </c>
      <c r="N460">
        <f t="shared" si="56"/>
        <v>3.3669928598987333</v>
      </c>
      <c r="O460">
        <v>5.8863809743332956E-3</v>
      </c>
      <c r="P460">
        <f t="shared" si="57"/>
        <v>0.33924963660821145</v>
      </c>
      <c r="Q460">
        <f t="shared" si="58"/>
        <v>98.547538045230482</v>
      </c>
      <c r="R460">
        <f t="shared" si="59"/>
        <v>0.34017413892280718</v>
      </c>
      <c r="S460">
        <f t="shared" si="60"/>
        <v>0.73376262303153728</v>
      </c>
      <c r="T460">
        <f t="shared" si="61"/>
        <v>3.4275603188736416E-4</v>
      </c>
      <c r="U460">
        <f t="shared" si="62"/>
        <v>2.617625216767119E-2</v>
      </c>
    </row>
    <row r="461" spans="10:21" x14ac:dyDescent="0.35">
      <c r="J461">
        <f t="shared" si="63"/>
        <v>458</v>
      </c>
      <c r="K461">
        <f>demanda!D459</f>
        <v>5</v>
      </c>
      <c r="L461">
        <f>demanda!I459</f>
        <v>2</v>
      </c>
      <c r="M461">
        <v>1.2636408299870627</v>
      </c>
      <c r="N461">
        <f t="shared" si="56"/>
        <v>0.73635917001293727</v>
      </c>
      <c r="O461">
        <v>3.9509249049329382E-3</v>
      </c>
      <c r="P461">
        <f t="shared" si="57"/>
        <v>7.4193677039020078E-2</v>
      </c>
      <c r="Q461">
        <f t="shared" si="58"/>
        <v>98.553199876422468</v>
      </c>
      <c r="R461">
        <f t="shared" si="59"/>
        <v>7.4321414457959423E-2</v>
      </c>
      <c r="S461">
        <f t="shared" si="60"/>
        <v>0.94076238398569867</v>
      </c>
      <c r="T461">
        <f t="shared" si="61"/>
        <v>1.0960770814463366E-5</v>
      </c>
      <c r="U461">
        <f t="shared" si="62"/>
        <v>4.680831262592092E-3</v>
      </c>
    </row>
    <row r="462" spans="10:21" x14ac:dyDescent="0.35">
      <c r="J462">
        <f t="shared" si="63"/>
        <v>459</v>
      </c>
      <c r="K462">
        <f>demanda!D460</f>
        <v>2</v>
      </c>
      <c r="L462">
        <f>demanda!I460</f>
        <v>3</v>
      </c>
      <c r="M462">
        <v>9.1555418996444509</v>
      </c>
      <c r="N462">
        <f t="shared" si="56"/>
        <v>-6.1555418996444509</v>
      </c>
      <c r="O462">
        <v>7.3144910189317154E-4</v>
      </c>
      <c r="P462">
        <f t="shared" si="57"/>
        <v>-0.62021674517118131</v>
      </c>
      <c r="Q462">
        <f t="shared" si="58"/>
        <v>98.533713924458709</v>
      </c>
      <c r="R462">
        <f t="shared" si="59"/>
        <v>-0.62034424251421916</v>
      </c>
      <c r="S462">
        <f t="shared" si="60"/>
        <v>0.53510483257501296</v>
      </c>
      <c r="T462">
        <f t="shared" si="61"/>
        <v>1.4088885884323287E-4</v>
      </c>
      <c r="U462">
        <f t="shared" si="62"/>
        <v>-1.6783545165498539E-2</v>
      </c>
    </row>
    <row r="463" spans="10:21" x14ac:dyDescent="0.35">
      <c r="J463">
        <f t="shared" si="63"/>
        <v>460</v>
      </c>
      <c r="K463">
        <f>demanda!D461</f>
        <v>0</v>
      </c>
      <c r="L463">
        <f>demanda!I461</f>
        <v>17</v>
      </c>
      <c r="M463">
        <v>14.416809279416043</v>
      </c>
      <c r="N463">
        <f t="shared" si="56"/>
        <v>2.583190720583957</v>
      </c>
      <c r="O463">
        <v>7.4087557083441532E-4</v>
      </c>
      <c r="P463">
        <f t="shared" si="57"/>
        <v>0.26027572665365517</v>
      </c>
      <c r="Q463">
        <f t="shared" si="58"/>
        <v>98.550002042157871</v>
      </c>
      <c r="R463">
        <f t="shared" si="59"/>
        <v>0.26030894487816103</v>
      </c>
      <c r="S463">
        <f t="shared" si="60"/>
        <v>0.79465340036911658</v>
      </c>
      <c r="T463">
        <f t="shared" si="61"/>
        <v>2.5131960550094309E-5</v>
      </c>
      <c r="U463">
        <f t="shared" si="62"/>
        <v>7.0879830116927275E-3</v>
      </c>
    </row>
    <row r="464" spans="10:21" x14ac:dyDescent="0.35">
      <c r="J464">
        <f t="shared" si="63"/>
        <v>461</v>
      </c>
      <c r="K464">
        <f>demanda!D462</f>
        <v>1</v>
      </c>
      <c r="L464">
        <f>demanda!I462</f>
        <v>3</v>
      </c>
      <c r="M464">
        <v>11.786175589530247</v>
      </c>
      <c r="N464">
        <f t="shared" si="56"/>
        <v>-8.7861755895302469</v>
      </c>
      <c r="O464">
        <v>5.2058796926701797E-4</v>
      </c>
      <c r="P464">
        <f t="shared" si="57"/>
        <v>-0.88527270474037267</v>
      </c>
      <c r="Q464">
        <f t="shared" si="58"/>
        <v>98.513214102399758</v>
      </c>
      <c r="R464">
        <f t="shared" si="59"/>
        <v>-0.88545339538896362</v>
      </c>
      <c r="S464">
        <f t="shared" si="60"/>
        <v>0.37602308055069167</v>
      </c>
      <c r="T464">
        <f t="shared" si="61"/>
        <v>2.0420697614382047E-4</v>
      </c>
      <c r="U464">
        <f t="shared" si="62"/>
        <v>-2.0208116875988336E-2</v>
      </c>
    </row>
    <row r="465" spans="10:21" x14ac:dyDescent="0.35">
      <c r="J465">
        <f t="shared" si="63"/>
        <v>462</v>
      </c>
      <c r="K465">
        <f>demanda!D463</f>
        <v>3</v>
      </c>
      <c r="L465">
        <f>demanda!I463</f>
        <v>8</v>
      </c>
      <c r="M465">
        <v>6.5249082097586548</v>
      </c>
      <c r="N465">
        <f t="shared" si="56"/>
        <v>1.4750917902413452</v>
      </c>
      <c r="O465">
        <v>1.3734589687128761E-3</v>
      </c>
      <c r="P465">
        <f t="shared" si="57"/>
        <v>0.14862649688487412</v>
      </c>
      <c r="Q465">
        <f t="shared" si="58"/>
        <v>98.55234767997355</v>
      </c>
      <c r="R465">
        <f t="shared" si="59"/>
        <v>0.14869076866180669</v>
      </c>
      <c r="S465">
        <f t="shared" si="60"/>
        <v>0.88181326852130626</v>
      </c>
      <c r="T465">
        <f t="shared" si="61"/>
        <v>1.5211497435160166E-5</v>
      </c>
      <c r="U465">
        <f t="shared" si="62"/>
        <v>5.514298850176646E-3</v>
      </c>
    </row>
    <row r="466" spans="10:21" x14ac:dyDescent="0.35">
      <c r="J466">
        <f t="shared" si="63"/>
        <v>463</v>
      </c>
      <c r="K466">
        <f>demanda!D464</f>
        <v>0</v>
      </c>
      <c r="L466">
        <f>demanda!I464</f>
        <v>15</v>
      </c>
      <c r="M466">
        <v>14.416809279416043</v>
      </c>
      <c r="N466">
        <f t="shared" si="56"/>
        <v>0.58319072058395705</v>
      </c>
      <c r="O466">
        <v>7.4087557083441532E-4</v>
      </c>
      <c r="P466">
        <f t="shared" si="57"/>
        <v>5.8760813658909554E-2</v>
      </c>
      <c r="Q466">
        <f t="shared" si="58"/>
        <v>98.553306243487526</v>
      </c>
      <c r="R466">
        <f t="shared" si="59"/>
        <v>5.8767327956256402E-2</v>
      </c>
      <c r="S466">
        <f t="shared" si="60"/>
        <v>0.95314355069247325</v>
      </c>
      <c r="T466">
        <f t="shared" si="61"/>
        <v>1.2809572488725558E-6</v>
      </c>
      <c r="U466">
        <f t="shared" si="62"/>
        <v>1.6001825154010173E-3</v>
      </c>
    </row>
    <row r="467" spans="10:21" x14ac:dyDescent="0.35">
      <c r="J467">
        <f t="shared" si="63"/>
        <v>464</v>
      </c>
      <c r="K467">
        <f>demanda!D465</f>
        <v>2</v>
      </c>
      <c r="L467">
        <f>demanda!I465</f>
        <v>7</v>
      </c>
      <c r="M467">
        <v>9.1555418996444509</v>
      </c>
      <c r="N467">
        <f t="shared" si="56"/>
        <v>-2.1555418996444509</v>
      </c>
      <c r="O467">
        <v>7.3144910189317154E-4</v>
      </c>
      <c r="P467">
        <f t="shared" si="57"/>
        <v>-0.21718691918169009</v>
      </c>
      <c r="Q467">
        <f t="shared" si="58"/>
        <v>98.551059424737957</v>
      </c>
      <c r="R467">
        <f t="shared" si="59"/>
        <v>-0.21721244829655789</v>
      </c>
      <c r="S467">
        <f t="shared" si="60"/>
        <v>0.82806587463373482</v>
      </c>
      <c r="T467">
        <f t="shared" si="61"/>
        <v>1.7276549392569864E-5</v>
      </c>
      <c r="U467">
        <f t="shared" si="62"/>
        <v>-5.8767288976817314E-3</v>
      </c>
    </row>
    <row r="468" spans="10:21" x14ac:dyDescent="0.35">
      <c r="J468">
        <f t="shared" si="63"/>
        <v>465</v>
      </c>
      <c r="K468">
        <f>demanda!D466</f>
        <v>0</v>
      </c>
      <c r="L468">
        <f>demanda!I466</f>
        <v>14</v>
      </c>
      <c r="M468">
        <v>14.416809279416043</v>
      </c>
      <c r="N468">
        <f t="shared" si="56"/>
        <v>-0.41680927941604295</v>
      </c>
      <c r="O468">
        <v>7.4087557083441532E-4</v>
      </c>
      <c r="P468">
        <f t="shared" si="57"/>
        <v>-4.1996642838463258E-2</v>
      </c>
      <c r="Q468">
        <f t="shared" si="58"/>
        <v>98.553393055166637</v>
      </c>
      <c r="R468">
        <f t="shared" si="59"/>
        <v>-4.2001280140228352E-2</v>
      </c>
      <c r="S468">
        <f t="shared" si="60"/>
        <v>0.96650204701357412</v>
      </c>
      <c r="T468">
        <f t="shared" si="61"/>
        <v>6.5431696937827154E-7</v>
      </c>
      <c r="U468">
        <f t="shared" si="62"/>
        <v>-1.1436578187608104E-3</v>
      </c>
    </row>
    <row r="469" spans="10:21" x14ac:dyDescent="0.35">
      <c r="J469">
        <f t="shared" si="63"/>
        <v>466</v>
      </c>
      <c r="K469">
        <f>demanda!D467</f>
        <v>9</v>
      </c>
      <c r="L469">
        <f>demanda!I467</f>
        <v>1</v>
      </c>
      <c r="M469">
        <v>-9.2588939295561232</v>
      </c>
      <c r="N469">
        <f t="shared" si="56"/>
        <v>10.258893929556123</v>
      </c>
      <c r="O469">
        <v>1.4279641587695676E-2</v>
      </c>
      <c r="P469">
        <f t="shared" si="57"/>
        <v>1.0336600588184131</v>
      </c>
      <c r="Q469">
        <f t="shared" si="58"/>
        <v>98.497816581458551</v>
      </c>
      <c r="R469">
        <f t="shared" si="59"/>
        <v>1.0411429785924986</v>
      </c>
      <c r="S469">
        <f t="shared" si="60"/>
        <v>0.29794034508579298</v>
      </c>
      <c r="T469">
        <f t="shared" si="61"/>
        <v>7.8511871390236302E-3</v>
      </c>
      <c r="U469">
        <f t="shared" si="62"/>
        <v>0.12531185674402961</v>
      </c>
    </row>
    <row r="470" spans="10:21" x14ac:dyDescent="0.35">
      <c r="J470">
        <f t="shared" si="63"/>
        <v>467</v>
      </c>
      <c r="K470">
        <f>demanda!D468</f>
        <v>4</v>
      </c>
      <c r="L470">
        <f>demanda!I468</f>
        <v>3</v>
      </c>
      <c r="M470">
        <v>3.8942745198728588</v>
      </c>
      <c r="N470">
        <f t="shared" si="56"/>
        <v>-0.89427451987285878</v>
      </c>
      <c r="O470">
        <v>2.4466175697261316E-3</v>
      </c>
      <c r="P470">
        <f t="shared" si="57"/>
        <v>-9.0104826032798527E-2</v>
      </c>
      <c r="Q470">
        <f t="shared" si="58"/>
        <v>98.553065719630368</v>
      </c>
      <c r="R470">
        <f t="shared" si="59"/>
        <v>-9.0191937130002245E-2</v>
      </c>
      <c r="S470">
        <f t="shared" si="60"/>
        <v>0.92814410376796586</v>
      </c>
      <c r="T470">
        <f t="shared" si="61"/>
        <v>9.9806748742546123E-6</v>
      </c>
      <c r="U470">
        <f t="shared" si="62"/>
        <v>-4.4666578568412878E-3</v>
      </c>
    </row>
    <row r="471" spans="10:21" x14ac:dyDescent="0.35">
      <c r="J471">
        <f t="shared" si="63"/>
        <v>468</v>
      </c>
      <c r="K471">
        <f>demanda!D469</f>
        <v>0</v>
      </c>
      <c r="L471">
        <f>demanda!I469</f>
        <v>22</v>
      </c>
      <c r="M471">
        <v>14.416809279416043</v>
      </c>
      <c r="N471">
        <f t="shared" si="56"/>
        <v>7.583190720583957</v>
      </c>
      <c r="O471">
        <v>7.4087557083441532E-4</v>
      </c>
      <c r="P471">
        <f t="shared" si="57"/>
        <v>0.76406300914051917</v>
      </c>
      <c r="Q471">
        <f t="shared" si="58"/>
        <v>98.523479834000298</v>
      </c>
      <c r="R471">
        <f t="shared" si="59"/>
        <v>0.76426337212539786</v>
      </c>
      <c r="S471">
        <f t="shared" si="60"/>
        <v>0.44480426948631324</v>
      </c>
      <c r="T471">
        <f t="shared" si="61"/>
        <v>2.1657951813284224E-4</v>
      </c>
      <c r="U471">
        <f t="shared" si="62"/>
        <v>2.081021764587964E-2</v>
      </c>
    </row>
    <row r="472" spans="10:21" x14ac:dyDescent="0.35">
      <c r="J472">
        <f t="shared" si="63"/>
        <v>469</v>
      </c>
      <c r="K472">
        <f>demanda!D470</f>
        <v>1</v>
      </c>
      <c r="L472">
        <f>demanda!I470</f>
        <v>3</v>
      </c>
      <c r="M472">
        <v>11.786175589530247</v>
      </c>
      <c r="N472">
        <f t="shared" si="56"/>
        <v>-8.7861755895302469</v>
      </c>
      <c r="O472">
        <v>5.2058796926701797E-4</v>
      </c>
      <c r="P472">
        <f t="shared" si="57"/>
        <v>-0.88527270474037267</v>
      </c>
      <c r="Q472">
        <f t="shared" si="58"/>
        <v>98.513214102399758</v>
      </c>
      <c r="R472">
        <f t="shared" si="59"/>
        <v>-0.88545339538896362</v>
      </c>
      <c r="S472">
        <f t="shared" si="60"/>
        <v>0.37602308055069167</v>
      </c>
      <c r="T472">
        <f t="shared" si="61"/>
        <v>2.0420697614382047E-4</v>
      </c>
      <c r="U472">
        <f t="shared" si="62"/>
        <v>-2.0208116875988336E-2</v>
      </c>
    </row>
    <row r="473" spans="10:21" x14ac:dyDescent="0.35">
      <c r="J473">
        <f t="shared" si="63"/>
        <v>470</v>
      </c>
      <c r="K473">
        <f>demanda!D471</f>
        <v>0</v>
      </c>
      <c r="L473">
        <f>demanda!I471</f>
        <v>3</v>
      </c>
      <c r="M473">
        <v>14.416809279416043</v>
      </c>
      <c r="N473">
        <f t="shared" si="56"/>
        <v>-11.416809279416043</v>
      </c>
      <c r="O473">
        <v>7.4087557083441532E-4</v>
      </c>
      <c r="P473">
        <f t="shared" si="57"/>
        <v>-1.150328664309564</v>
      </c>
      <c r="Q473">
        <f t="shared" si="58"/>
        <v>98.485475268264722</v>
      </c>
      <c r="R473">
        <f t="shared" si="59"/>
        <v>-1.1508523061099405</v>
      </c>
      <c r="S473">
        <f t="shared" si="60"/>
        <v>0.24993638008158123</v>
      </c>
      <c r="T473">
        <f t="shared" si="61"/>
        <v>4.9091117422407117E-4</v>
      </c>
      <c r="U473">
        <f t="shared" si="62"/>
        <v>-3.1336693399040466E-2</v>
      </c>
    </row>
    <row r="474" spans="10:21" x14ac:dyDescent="0.35">
      <c r="J474">
        <f t="shared" si="63"/>
        <v>471</v>
      </c>
      <c r="K474">
        <f>demanda!D472</f>
        <v>2</v>
      </c>
      <c r="L474">
        <f>demanda!I472</f>
        <v>4</v>
      </c>
      <c r="M474">
        <v>9.1555418996444509</v>
      </c>
      <c r="N474">
        <f t="shared" si="56"/>
        <v>-5.1555418996444509</v>
      </c>
      <c r="O474">
        <v>7.3144910189317154E-4</v>
      </c>
      <c r="P474">
        <f t="shared" si="57"/>
        <v>-0.51945928867380853</v>
      </c>
      <c r="Q474">
        <f t="shared" si="58"/>
        <v>98.539615573748293</v>
      </c>
      <c r="R474">
        <f t="shared" si="59"/>
        <v>-0.51955051447259837</v>
      </c>
      <c r="S474">
        <f t="shared" si="60"/>
        <v>0.60343681513546954</v>
      </c>
      <c r="T474">
        <f t="shared" si="61"/>
        <v>9.8830890695332879E-5</v>
      </c>
      <c r="U474">
        <f t="shared" si="62"/>
        <v>-1.4056549457229766E-2</v>
      </c>
    </row>
    <row r="475" spans="10:21" x14ac:dyDescent="0.35">
      <c r="J475">
        <f t="shared" si="63"/>
        <v>472</v>
      </c>
      <c r="K475">
        <f>demanda!D473</f>
        <v>0</v>
      </c>
      <c r="L475">
        <f>demanda!I473</f>
        <v>9</v>
      </c>
      <c r="M475">
        <v>14.416809279416043</v>
      </c>
      <c r="N475">
        <f t="shared" si="56"/>
        <v>-5.416809279416043</v>
      </c>
      <c r="O475">
        <v>7.4087557083441532E-4</v>
      </c>
      <c r="P475">
        <f t="shared" si="57"/>
        <v>-0.54578392532532727</v>
      </c>
      <c r="Q475">
        <f t="shared" si="58"/>
        <v>98.538174223704843</v>
      </c>
      <c r="R475">
        <f t="shared" si="59"/>
        <v>-0.54588634131956315</v>
      </c>
      <c r="S475">
        <f t="shared" si="60"/>
        <v>0.58520751823074413</v>
      </c>
      <c r="T475">
        <f t="shared" si="61"/>
        <v>1.1050972928307278E-4</v>
      </c>
      <c r="U475">
        <f t="shared" si="62"/>
        <v>-1.4864003676090257E-2</v>
      </c>
    </row>
    <row r="476" spans="10:21" x14ac:dyDescent="0.35">
      <c r="J476">
        <f t="shared" si="63"/>
        <v>473</v>
      </c>
      <c r="K476">
        <f>demanda!D474</f>
        <v>1</v>
      </c>
      <c r="L476">
        <f>demanda!I474</f>
        <v>4</v>
      </c>
      <c r="M476">
        <v>11.786175589530247</v>
      </c>
      <c r="N476">
        <f t="shared" si="56"/>
        <v>-7.7861755895302469</v>
      </c>
      <c r="O476">
        <v>5.2058796926701797E-4</v>
      </c>
      <c r="P476">
        <f t="shared" si="57"/>
        <v>-0.7845152482429999</v>
      </c>
      <c r="Q476">
        <f t="shared" si="58"/>
        <v>98.52185903620547</v>
      </c>
      <c r="R476">
        <f t="shared" si="59"/>
        <v>-0.784640946599786</v>
      </c>
      <c r="S476">
        <f t="shared" si="60"/>
        <v>0.43276096337473069</v>
      </c>
      <c r="T476">
        <f t="shared" si="61"/>
        <v>1.6036855085321727E-4</v>
      </c>
      <c r="U476">
        <f t="shared" si="62"/>
        <v>-1.7907341071981879E-2</v>
      </c>
    </row>
    <row r="477" spans="10:21" x14ac:dyDescent="0.35">
      <c r="J477">
        <f t="shared" si="63"/>
        <v>474</v>
      </c>
      <c r="K477">
        <f>demanda!D475</f>
        <v>0</v>
      </c>
      <c r="L477">
        <f>demanda!I475</f>
        <v>3</v>
      </c>
      <c r="M477">
        <v>14.416809279416043</v>
      </c>
      <c r="N477">
        <f t="shared" si="56"/>
        <v>-11.416809279416043</v>
      </c>
      <c r="O477">
        <v>7.4087557083441532E-4</v>
      </c>
      <c r="P477">
        <f t="shared" si="57"/>
        <v>-1.150328664309564</v>
      </c>
      <c r="Q477">
        <f t="shared" si="58"/>
        <v>98.485475268264722</v>
      </c>
      <c r="R477">
        <f t="shared" si="59"/>
        <v>-1.1508523061099405</v>
      </c>
      <c r="S477">
        <f t="shared" si="60"/>
        <v>0.24993638008158123</v>
      </c>
      <c r="T477">
        <f t="shared" si="61"/>
        <v>4.9091117422407117E-4</v>
      </c>
      <c r="U477">
        <f t="shared" si="62"/>
        <v>-3.1336693399040466E-2</v>
      </c>
    </row>
    <row r="478" spans="10:21" x14ac:dyDescent="0.35">
      <c r="J478">
        <f t="shared" si="63"/>
        <v>475</v>
      </c>
      <c r="K478">
        <f>demanda!D476</f>
        <v>0</v>
      </c>
      <c r="L478">
        <f>demanda!I476</f>
        <v>11</v>
      </c>
      <c r="M478">
        <v>14.416809279416043</v>
      </c>
      <c r="N478">
        <f t="shared" si="56"/>
        <v>-3.416809279416043</v>
      </c>
      <c r="O478">
        <v>7.4087557083441532E-4</v>
      </c>
      <c r="P478">
        <f t="shared" si="57"/>
        <v>-0.34426901233058166</v>
      </c>
      <c r="Q478">
        <f t="shared" si="58"/>
        <v>98.547392334261005</v>
      </c>
      <c r="R478">
        <f t="shared" si="59"/>
        <v>-0.34431750934619676</v>
      </c>
      <c r="S478">
        <f t="shared" si="60"/>
        <v>0.73064524437297085</v>
      </c>
      <c r="T478">
        <f t="shared" si="61"/>
        <v>4.3969841615361785E-5</v>
      </c>
      <c r="U478">
        <f t="shared" si="62"/>
        <v>-9.3754621379472432E-3</v>
      </c>
    </row>
    <row r="479" spans="10:21" x14ac:dyDescent="0.35">
      <c r="J479">
        <f t="shared" si="63"/>
        <v>476</v>
      </c>
      <c r="K479">
        <f>demanda!D477</f>
        <v>2</v>
      </c>
      <c r="L479">
        <f>demanda!I477</f>
        <v>8</v>
      </c>
      <c r="M479">
        <v>9.1555418996444509</v>
      </c>
      <c r="N479">
        <f t="shared" si="56"/>
        <v>-1.1555418996444509</v>
      </c>
      <c r="O479">
        <v>7.3144910189317154E-4</v>
      </c>
      <c r="P479">
        <f t="shared" si="57"/>
        <v>-0.11642946268431729</v>
      </c>
      <c r="Q479">
        <f t="shared" si="58"/>
        <v>98.552787009441474</v>
      </c>
      <c r="R479">
        <f t="shared" si="59"/>
        <v>-0.11644212771865178</v>
      </c>
      <c r="S479">
        <f t="shared" si="60"/>
        <v>0.90731433340227419</v>
      </c>
      <c r="T479">
        <f t="shared" si="61"/>
        <v>4.964956671961163E-6</v>
      </c>
      <c r="U479">
        <f t="shared" si="62"/>
        <v>-3.1503664833126038E-3</v>
      </c>
    </row>
    <row r="480" spans="10:21" x14ac:dyDescent="0.35">
      <c r="J480">
        <f t="shared" si="63"/>
        <v>477</v>
      </c>
      <c r="K480">
        <f>demanda!D478</f>
        <v>0</v>
      </c>
      <c r="L480">
        <f>demanda!I478</f>
        <v>11</v>
      </c>
      <c r="M480">
        <v>14.416809279416043</v>
      </c>
      <c r="N480">
        <f t="shared" si="56"/>
        <v>-3.416809279416043</v>
      </c>
      <c r="O480">
        <v>7.4087557083441532E-4</v>
      </c>
      <c r="P480">
        <f t="shared" si="57"/>
        <v>-0.34426901233058166</v>
      </c>
      <c r="Q480">
        <f t="shared" si="58"/>
        <v>98.547392334261005</v>
      </c>
      <c r="R480">
        <f t="shared" si="59"/>
        <v>-0.34431750934619676</v>
      </c>
      <c r="S480">
        <f t="shared" si="60"/>
        <v>0.73064524437297085</v>
      </c>
      <c r="T480">
        <f t="shared" si="61"/>
        <v>4.3969841615361785E-5</v>
      </c>
      <c r="U480">
        <f t="shared" si="62"/>
        <v>-9.3754621379472432E-3</v>
      </c>
    </row>
    <row r="481" spans="10:21" x14ac:dyDescent="0.35">
      <c r="J481">
        <f t="shared" si="63"/>
        <v>478</v>
      </c>
      <c r="K481">
        <f>demanda!D479</f>
        <v>0</v>
      </c>
      <c r="L481">
        <f>demanda!I479</f>
        <v>8</v>
      </c>
      <c r="M481">
        <v>14.416809279416043</v>
      </c>
      <c r="N481">
        <f t="shared" si="56"/>
        <v>-6.416809279416043</v>
      </c>
      <c r="O481">
        <v>7.4087557083441532E-4</v>
      </c>
      <c r="P481">
        <f t="shared" si="57"/>
        <v>-0.64654138182270005</v>
      </c>
      <c r="Q481">
        <f t="shared" si="58"/>
        <v>98.531999879441045</v>
      </c>
      <c r="R481">
        <f t="shared" si="59"/>
        <v>-0.64668296559256133</v>
      </c>
      <c r="S481">
        <f t="shared" si="60"/>
        <v>0.51791448613837154</v>
      </c>
      <c r="T481">
        <f t="shared" si="61"/>
        <v>1.5507853448804487E-4</v>
      </c>
      <c r="U481">
        <f t="shared" si="62"/>
        <v>-1.7608606866032061E-2</v>
      </c>
    </row>
    <row r="482" spans="10:21" x14ac:dyDescent="0.35">
      <c r="J482">
        <f t="shared" si="63"/>
        <v>479</v>
      </c>
      <c r="K482">
        <f>demanda!D480</f>
        <v>3</v>
      </c>
      <c r="L482">
        <f>demanda!I480</f>
        <v>2</v>
      </c>
      <c r="M482">
        <v>6.5249082097586548</v>
      </c>
      <c r="N482">
        <f t="shared" si="56"/>
        <v>-4.5249082097586548</v>
      </c>
      <c r="O482">
        <v>1.3734589687128761E-3</v>
      </c>
      <c r="P482">
        <f t="shared" si="57"/>
        <v>-0.45591824209936271</v>
      </c>
      <c r="Q482">
        <f t="shared" si="58"/>
        <v>98.542793943857959</v>
      </c>
      <c r="R482">
        <f t="shared" si="59"/>
        <v>-0.45613750825631832</v>
      </c>
      <c r="S482">
        <f t="shared" si="60"/>
        <v>0.64834271460897308</v>
      </c>
      <c r="T482">
        <f t="shared" si="61"/>
        <v>1.4313749884792331E-4</v>
      </c>
      <c r="U482">
        <f t="shared" si="62"/>
        <v>-1.6916171460658679E-2</v>
      </c>
    </row>
    <row r="483" spans="10:21" x14ac:dyDescent="0.35">
      <c r="J483">
        <f t="shared" si="63"/>
        <v>480</v>
      </c>
      <c r="K483">
        <f>demanda!D481</f>
        <v>0</v>
      </c>
      <c r="L483">
        <f>demanda!I481</f>
        <v>28</v>
      </c>
      <c r="M483">
        <v>14.416809279416043</v>
      </c>
      <c r="N483">
        <f t="shared" si="56"/>
        <v>13.583190720583957</v>
      </c>
      <c r="O483">
        <v>7.4087557083441532E-4</v>
      </c>
      <c r="P483">
        <f t="shared" si="57"/>
        <v>1.3686077481247561</v>
      </c>
      <c r="Q483">
        <f t="shared" si="58"/>
        <v>98.457216826525212</v>
      </c>
      <c r="R483">
        <f t="shared" si="59"/>
        <v>1.3694272318804395</v>
      </c>
      <c r="S483">
        <f t="shared" si="60"/>
        <v>0.17102599994876813</v>
      </c>
      <c r="T483">
        <f t="shared" si="61"/>
        <v>6.9489153739670493E-4</v>
      </c>
      <c r="U483">
        <f t="shared" si="62"/>
        <v>3.7288295874201023E-2</v>
      </c>
    </row>
    <row r="484" spans="10:21" x14ac:dyDescent="0.35">
      <c r="J484">
        <f t="shared" si="63"/>
        <v>481</v>
      </c>
      <c r="K484">
        <f>demanda!D482</f>
        <v>0</v>
      </c>
      <c r="L484">
        <f>demanda!I482</f>
        <v>3</v>
      </c>
      <c r="M484">
        <v>14.416809279416043</v>
      </c>
      <c r="N484">
        <f t="shared" si="56"/>
        <v>-11.416809279416043</v>
      </c>
      <c r="O484">
        <v>7.4087557083441532E-4</v>
      </c>
      <c r="P484">
        <f t="shared" si="57"/>
        <v>-1.150328664309564</v>
      </c>
      <c r="Q484">
        <f t="shared" si="58"/>
        <v>98.485475268264722</v>
      </c>
      <c r="R484">
        <f t="shared" si="59"/>
        <v>-1.1508523061099405</v>
      </c>
      <c r="S484">
        <f t="shared" si="60"/>
        <v>0.24993638008158123</v>
      </c>
      <c r="T484">
        <f t="shared" si="61"/>
        <v>4.9091117422407117E-4</v>
      </c>
      <c r="U484">
        <f t="shared" si="62"/>
        <v>-3.1336693399040466E-2</v>
      </c>
    </row>
    <row r="485" spans="10:21" x14ac:dyDescent="0.35">
      <c r="J485">
        <f t="shared" si="63"/>
        <v>482</v>
      </c>
      <c r="K485">
        <f>demanda!D483</f>
        <v>0</v>
      </c>
      <c r="L485">
        <f>demanda!I483</f>
        <v>2</v>
      </c>
      <c r="M485">
        <v>14.416809279416043</v>
      </c>
      <c r="N485">
        <f t="shared" si="56"/>
        <v>-12.416809279416043</v>
      </c>
      <c r="O485">
        <v>7.4087557083441532E-4</v>
      </c>
      <c r="P485">
        <f t="shared" si="57"/>
        <v>-1.2510861208069368</v>
      </c>
      <c r="Q485">
        <f t="shared" si="58"/>
        <v>98.473039768058015</v>
      </c>
      <c r="R485">
        <f t="shared" si="59"/>
        <v>-1.2517346575747474</v>
      </c>
      <c r="S485">
        <f t="shared" si="60"/>
        <v>0.21081911987933932</v>
      </c>
      <c r="T485">
        <f t="shared" si="61"/>
        <v>5.8067542491350977E-4</v>
      </c>
      <c r="U485">
        <f t="shared" si="62"/>
        <v>-3.4083630864815417E-2</v>
      </c>
    </row>
    <row r="486" spans="10:21" x14ac:dyDescent="0.35">
      <c r="J486">
        <f t="shared" si="63"/>
        <v>483</v>
      </c>
      <c r="K486">
        <f>demanda!D484</f>
        <v>0</v>
      </c>
      <c r="L486">
        <f>demanda!I484</f>
        <v>2</v>
      </c>
      <c r="M486">
        <v>14.416809279416043</v>
      </c>
      <c r="N486">
        <f t="shared" si="56"/>
        <v>-12.416809279416043</v>
      </c>
      <c r="O486">
        <v>7.4087557083441532E-4</v>
      </c>
      <c r="P486">
        <f t="shared" si="57"/>
        <v>-1.2510861208069368</v>
      </c>
      <c r="Q486">
        <f t="shared" si="58"/>
        <v>98.473039768058015</v>
      </c>
      <c r="R486">
        <f t="shared" si="59"/>
        <v>-1.2517346575747474</v>
      </c>
      <c r="S486">
        <f t="shared" si="60"/>
        <v>0.21081911987933932</v>
      </c>
      <c r="T486">
        <f t="shared" si="61"/>
        <v>5.8067542491350977E-4</v>
      </c>
      <c r="U486">
        <f t="shared" si="62"/>
        <v>-3.4083630864815417E-2</v>
      </c>
    </row>
    <row r="487" spans="10:21" x14ac:dyDescent="0.35">
      <c r="J487">
        <f t="shared" si="63"/>
        <v>484</v>
      </c>
      <c r="K487">
        <f>demanda!D485</f>
        <v>3</v>
      </c>
      <c r="L487">
        <f>demanda!I485</f>
        <v>4</v>
      </c>
      <c r="M487">
        <v>6.5249082097586548</v>
      </c>
      <c r="N487">
        <f t="shared" si="56"/>
        <v>-2.5249082097586548</v>
      </c>
      <c r="O487">
        <v>1.3734589687128761E-3</v>
      </c>
      <c r="P487">
        <f t="shared" si="57"/>
        <v>-0.2544033291046171</v>
      </c>
      <c r="Q487">
        <f t="shared" si="58"/>
        <v>98.550155270625524</v>
      </c>
      <c r="R487">
        <f t="shared" si="59"/>
        <v>-0.25451617384299874</v>
      </c>
      <c r="S487">
        <f t="shared" si="60"/>
        <v>0.79912408038987892</v>
      </c>
      <c r="T487">
        <f t="shared" si="61"/>
        <v>4.4568197050885148E-5</v>
      </c>
      <c r="U487">
        <f t="shared" si="62"/>
        <v>-9.4389063786870474E-3</v>
      </c>
    </row>
    <row r="488" spans="10:21" x14ac:dyDescent="0.35">
      <c r="J488">
        <f t="shared" si="63"/>
        <v>485</v>
      </c>
      <c r="K488">
        <f>demanda!D486</f>
        <v>5</v>
      </c>
      <c r="L488">
        <f>demanda!I486</f>
        <v>2</v>
      </c>
      <c r="M488">
        <v>1.2636408299870627</v>
      </c>
      <c r="N488">
        <f t="shared" si="56"/>
        <v>0.73635917001293727</v>
      </c>
      <c r="O488">
        <v>3.9509249049329382E-3</v>
      </c>
      <c r="P488">
        <f t="shared" si="57"/>
        <v>7.4193677039020078E-2</v>
      </c>
      <c r="Q488">
        <f t="shared" si="58"/>
        <v>98.553199876422468</v>
      </c>
      <c r="R488">
        <f t="shared" si="59"/>
        <v>7.4321414457959423E-2</v>
      </c>
      <c r="S488">
        <f t="shared" si="60"/>
        <v>0.94076238398569867</v>
      </c>
      <c r="T488">
        <f t="shared" si="61"/>
        <v>1.0960770814463366E-5</v>
      </c>
      <c r="U488">
        <f t="shared" si="62"/>
        <v>4.680831262592092E-3</v>
      </c>
    </row>
    <row r="489" spans="10:21" x14ac:dyDescent="0.35">
      <c r="J489">
        <f t="shared" si="63"/>
        <v>486</v>
      </c>
      <c r="K489">
        <f>demanda!D487</f>
        <v>0</v>
      </c>
      <c r="L489">
        <f>demanda!I487</f>
        <v>14</v>
      </c>
      <c r="M489">
        <v>14.416809279416043</v>
      </c>
      <c r="N489">
        <f t="shared" si="56"/>
        <v>-0.41680927941604295</v>
      </c>
      <c r="O489">
        <v>7.4087557083441532E-4</v>
      </c>
      <c r="P489">
        <f t="shared" si="57"/>
        <v>-4.1996642838463258E-2</v>
      </c>
      <c r="Q489">
        <f t="shared" si="58"/>
        <v>98.553393055166637</v>
      </c>
      <c r="R489">
        <f t="shared" si="59"/>
        <v>-4.2001280140228352E-2</v>
      </c>
      <c r="S489">
        <f t="shared" si="60"/>
        <v>0.96650204701357412</v>
      </c>
      <c r="T489">
        <f t="shared" si="61"/>
        <v>6.5431696937827154E-7</v>
      </c>
      <c r="U489">
        <f t="shared" si="62"/>
        <v>-1.1436578187608104E-3</v>
      </c>
    </row>
    <row r="490" spans="10:21" x14ac:dyDescent="0.35">
      <c r="J490">
        <f t="shared" si="63"/>
        <v>487</v>
      </c>
      <c r="K490">
        <f>demanda!D488</f>
        <v>2</v>
      </c>
      <c r="L490">
        <f>demanda!I488</f>
        <v>4</v>
      </c>
      <c r="M490">
        <v>9.1555418996444509</v>
      </c>
      <c r="N490">
        <f t="shared" si="56"/>
        <v>-5.1555418996444509</v>
      </c>
      <c r="O490">
        <v>7.3144910189317154E-4</v>
      </c>
      <c r="P490">
        <f t="shared" si="57"/>
        <v>-0.51945928867380853</v>
      </c>
      <c r="Q490">
        <f t="shared" si="58"/>
        <v>98.539615573748293</v>
      </c>
      <c r="R490">
        <f t="shared" si="59"/>
        <v>-0.51955051447259837</v>
      </c>
      <c r="S490">
        <f t="shared" si="60"/>
        <v>0.60343681513546954</v>
      </c>
      <c r="T490">
        <f t="shared" si="61"/>
        <v>9.8830890695332879E-5</v>
      </c>
      <c r="U490">
        <f t="shared" si="62"/>
        <v>-1.4056549457229766E-2</v>
      </c>
    </row>
    <row r="491" spans="10:21" x14ac:dyDescent="0.35">
      <c r="J491">
        <f t="shared" si="63"/>
        <v>488</v>
      </c>
      <c r="K491">
        <f>demanda!D489</f>
        <v>2</v>
      </c>
      <c r="L491">
        <f>demanda!I489</f>
        <v>3</v>
      </c>
      <c r="M491">
        <v>9.1555418996444509</v>
      </c>
      <c r="N491">
        <f t="shared" si="56"/>
        <v>-6.1555418996444509</v>
      </c>
      <c r="O491">
        <v>7.3144910189317154E-4</v>
      </c>
      <c r="P491">
        <f t="shared" si="57"/>
        <v>-0.62021674517118131</v>
      </c>
      <c r="Q491">
        <f t="shared" si="58"/>
        <v>98.533713924458709</v>
      </c>
      <c r="R491">
        <f t="shared" si="59"/>
        <v>-0.62034424251421916</v>
      </c>
      <c r="S491">
        <f t="shared" si="60"/>
        <v>0.53510483257501296</v>
      </c>
      <c r="T491">
        <f t="shared" si="61"/>
        <v>1.4088885884323287E-4</v>
      </c>
      <c r="U491">
        <f t="shared" si="62"/>
        <v>-1.6783545165498539E-2</v>
      </c>
    </row>
    <row r="492" spans="10:21" x14ac:dyDescent="0.35">
      <c r="J492">
        <f t="shared" si="63"/>
        <v>489</v>
      </c>
      <c r="K492">
        <f>demanda!D490</f>
        <v>1</v>
      </c>
      <c r="L492">
        <f>demanda!I490</f>
        <v>20</v>
      </c>
      <c r="M492">
        <v>11.786175589530247</v>
      </c>
      <c r="N492">
        <f t="shared" si="56"/>
        <v>8.2138244104697531</v>
      </c>
      <c r="O492">
        <v>5.2058796926701797E-4</v>
      </c>
      <c r="P492">
        <f t="shared" si="57"/>
        <v>0.82760405571496498</v>
      </c>
      <c r="Q492">
        <f t="shared" si="58"/>
        <v>98.518289721788548</v>
      </c>
      <c r="R492">
        <f t="shared" si="59"/>
        <v>0.82775165224325964</v>
      </c>
      <c r="S492">
        <f t="shared" si="60"/>
        <v>0.40791408457502731</v>
      </c>
      <c r="T492">
        <f t="shared" si="61"/>
        <v>1.7846853020780289E-4</v>
      </c>
      <c r="U492">
        <f t="shared" si="62"/>
        <v>1.8891228177487809E-2</v>
      </c>
    </row>
    <row r="493" spans="10:21" x14ac:dyDescent="0.35">
      <c r="J493">
        <f t="shared" si="63"/>
        <v>490</v>
      </c>
      <c r="K493">
        <f>demanda!D491</f>
        <v>0</v>
      </c>
      <c r="L493">
        <f>demanda!I491</f>
        <v>14</v>
      </c>
      <c r="M493">
        <v>14.416809279416043</v>
      </c>
      <c r="N493">
        <f t="shared" si="56"/>
        <v>-0.41680927941604295</v>
      </c>
      <c r="O493">
        <v>7.4087557083441532E-4</v>
      </c>
      <c r="P493">
        <f t="shared" si="57"/>
        <v>-4.1996642838463258E-2</v>
      </c>
      <c r="Q493">
        <f t="shared" si="58"/>
        <v>98.553393055166637</v>
      </c>
      <c r="R493">
        <f t="shared" si="59"/>
        <v>-4.2001280140228352E-2</v>
      </c>
      <c r="S493">
        <f t="shared" si="60"/>
        <v>0.96650204701357412</v>
      </c>
      <c r="T493">
        <f t="shared" si="61"/>
        <v>6.5431696937827154E-7</v>
      </c>
      <c r="U493">
        <f t="shared" si="62"/>
        <v>-1.1436578187608104E-3</v>
      </c>
    </row>
    <row r="494" spans="10:21" x14ac:dyDescent="0.35">
      <c r="J494">
        <f t="shared" si="63"/>
        <v>491</v>
      </c>
      <c r="K494">
        <f>demanda!D492</f>
        <v>0</v>
      </c>
      <c r="L494">
        <f>demanda!I492</f>
        <v>23</v>
      </c>
      <c r="M494">
        <v>14.416809279416043</v>
      </c>
      <c r="N494">
        <f t="shared" si="56"/>
        <v>8.583190720583957</v>
      </c>
      <c r="O494">
        <v>7.4087557083441532E-4</v>
      </c>
      <c r="P494">
        <f t="shared" si="57"/>
        <v>0.86482046563789194</v>
      </c>
      <c r="Q494">
        <f t="shared" si="58"/>
        <v>98.515044814397314</v>
      </c>
      <c r="R494">
        <f t="shared" si="59"/>
        <v>0.86508428320119957</v>
      </c>
      <c r="S494">
        <f t="shared" si="60"/>
        <v>0.38710065879826105</v>
      </c>
      <c r="T494">
        <f t="shared" si="61"/>
        <v>2.7746675239162511E-4</v>
      </c>
      <c r="U494">
        <f t="shared" si="62"/>
        <v>2.3555482144044106E-2</v>
      </c>
    </row>
    <row r="495" spans="10:21" x14ac:dyDescent="0.35">
      <c r="J495">
        <f t="shared" si="63"/>
        <v>492</v>
      </c>
      <c r="K495">
        <f>demanda!D493</f>
        <v>0</v>
      </c>
      <c r="L495">
        <f>demanda!I493</f>
        <v>46</v>
      </c>
      <c r="M495">
        <v>14.416809279416043</v>
      </c>
      <c r="N495">
        <f t="shared" si="56"/>
        <v>31.583190720583957</v>
      </c>
      <c r="O495">
        <v>7.4087557083441532E-4</v>
      </c>
      <c r="P495">
        <f t="shared" si="57"/>
        <v>3.1822419650774667</v>
      </c>
      <c r="Q495">
        <f t="shared" si="58"/>
        <v>98.033026190155354</v>
      </c>
      <c r="R495">
        <f t="shared" si="59"/>
        <v>3.1910288968790863</v>
      </c>
      <c r="S495">
        <f t="shared" si="60"/>
        <v>1.4405877484352176E-3</v>
      </c>
      <c r="T495">
        <f t="shared" si="61"/>
        <v>3.7568636326290824E-3</v>
      </c>
      <c r="U495">
        <f t="shared" si="62"/>
        <v>8.6888902805418403E-2</v>
      </c>
    </row>
    <row r="496" spans="10:21" x14ac:dyDescent="0.35">
      <c r="J496">
        <f t="shared" si="63"/>
        <v>493</v>
      </c>
      <c r="K496">
        <f>demanda!D494</f>
        <v>0</v>
      </c>
      <c r="L496">
        <f>demanda!I494</f>
        <v>21</v>
      </c>
      <c r="M496">
        <v>14.416809279416043</v>
      </c>
      <c r="N496">
        <f t="shared" si="56"/>
        <v>6.583190720583957</v>
      </c>
      <c r="O496">
        <v>7.4087557083441532E-4</v>
      </c>
      <c r="P496">
        <f t="shared" si="57"/>
        <v>0.66330555264314639</v>
      </c>
      <c r="Q496">
        <f t="shared" si="58"/>
        <v>98.530871327612786</v>
      </c>
      <c r="R496">
        <f t="shared" si="59"/>
        <v>0.66345460704039183</v>
      </c>
      <c r="S496">
        <f t="shared" si="60"/>
        <v>0.507119133075143</v>
      </c>
      <c r="T496">
        <f t="shared" si="61"/>
        <v>1.6322485812147056E-4</v>
      </c>
      <c r="U496">
        <f t="shared" si="62"/>
        <v>1.8065283872333419E-2</v>
      </c>
    </row>
    <row r="497" spans="10:21" x14ac:dyDescent="0.35">
      <c r="J497">
        <f t="shared" si="63"/>
        <v>494</v>
      </c>
      <c r="K497">
        <f>demanda!D495</f>
        <v>0</v>
      </c>
      <c r="L497">
        <f>demanda!I495</f>
        <v>28</v>
      </c>
      <c r="M497">
        <v>14.416809279416043</v>
      </c>
      <c r="N497">
        <f t="shared" si="56"/>
        <v>13.583190720583957</v>
      </c>
      <c r="O497">
        <v>7.4087557083441532E-4</v>
      </c>
      <c r="P497">
        <f t="shared" si="57"/>
        <v>1.3686077481247561</v>
      </c>
      <c r="Q497">
        <f t="shared" si="58"/>
        <v>98.457216826525212</v>
      </c>
      <c r="R497">
        <f t="shared" si="59"/>
        <v>1.3694272318804395</v>
      </c>
      <c r="S497">
        <f t="shared" si="60"/>
        <v>0.17102599994876813</v>
      </c>
      <c r="T497">
        <f t="shared" si="61"/>
        <v>6.9489153739670493E-4</v>
      </c>
      <c r="U497">
        <f t="shared" si="62"/>
        <v>3.7288295874201023E-2</v>
      </c>
    </row>
    <row r="498" spans="10:21" x14ac:dyDescent="0.35">
      <c r="J498">
        <f t="shared" si="63"/>
        <v>495</v>
      </c>
      <c r="K498">
        <f>demanda!D496</f>
        <v>0</v>
      </c>
      <c r="L498">
        <f>demanda!I496</f>
        <v>32</v>
      </c>
      <c r="M498">
        <v>14.416809279416043</v>
      </c>
      <c r="N498">
        <f t="shared" si="56"/>
        <v>17.583190720583957</v>
      </c>
      <c r="O498">
        <v>7.4087557083441532E-4</v>
      </c>
      <c r="P498">
        <f t="shared" si="57"/>
        <v>1.7716375741142472</v>
      </c>
      <c r="Q498">
        <f t="shared" si="58"/>
        <v>98.392170968398787</v>
      </c>
      <c r="R498">
        <f t="shared" si="59"/>
        <v>1.7732842385483347</v>
      </c>
      <c r="S498">
        <f t="shared" si="60"/>
        <v>7.6340197833702841E-2</v>
      </c>
      <c r="T498">
        <f t="shared" si="61"/>
        <v>1.1644177018541677E-3</v>
      </c>
      <c r="U498">
        <f t="shared" si="62"/>
        <v>4.8284966018421152E-2</v>
      </c>
    </row>
    <row r="499" spans="10:21" x14ac:dyDescent="0.35">
      <c r="J499">
        <f t="shared" si="63"/>
        <v>496</v>
      </c>
      <c r="K499">
        <f>demanda!D497</f>
        <v>0</v>
      </c>
      <c r="L499">
        <f>demanda!I497</f>
        <v>64</v>
      </c>
      <c r="M499">
        <v>14.416809279416043</v>
      </c>
      <c r="N499">
        <f t="shared" si="56"/>
        <v>49.583190720583957</v>
      </c>
      <c r="O499">
        <v>7.4087557083441532E-4</v>
      </c>
      <c r="P499">
        <f t="shared" si="57"/>
        <v>4.9958761820301767</v>
      </c>
      <c r="Q499">
        <f t="shared" si="58"/>
        <v>97.270733132868585</v>
      </c>
      <c r="R499">
        <f t="shared" si="59"/>
        <v>5.029262623477126</v>
      </c>
      <c r="S499">
        <f t="shared" si="60"/>
        <v>5.382368278869992E-7</v>
      </c>
      <c r="T499">
        <f t="shared" si="61"/>
        <v>9.2593897840226418E-3</v>
      </c>
      <c r="U499">
        <f t="shared" si="62"/>
        <v>0.13694238610675474</v>
      </c>
    </row>
    <row r="500" spans="10:21" x14ac:dyDescent="0.35">
      <c r="J500">
        <f t="shared" si="63"/>
        <v>497</v>
      </c>
      <c r="K500">
        <f>demanda!D498</f>
        <v>1</v>
      </c>
      <c r="L500">
        <f>demanda!I498</f>
        <v>24</v>
      </c>
      <c r="M500">
        <v>11.786175589530247</v>
      </c>
      <c r="N500">
        <f t="shared" si="56"/>
        <v>12.213824410469753</v>
      </c>
      <c r="O500">
        <v>5.2058796926701797E-4</v>
      </c>
      <c r="P500">
        <f t="shared" si="57"/>
        <v>1.2306338817044562</v>
      </c>
      <c r="Q500">
        <f t="shared" si="58"/>
        <v>98.475665553387771</v>
      </c>
      <c r="R500">
        <f t="shared" si="59"/>
        <v>1.2311197075839402</v>
      </c>
      <c r="S500">
        <f t="shared" si="60"/>
        <v>0.21842895613878141</v>
      </c>
      <c r="T500">
        <f t="shared" si="61"/>
        <v>3.9461552034181306E-4</v>
      </c>
      <c r="U500">
        <f t="shared" si="62"/>
        <v>2.8097030367431282E-2</v>
      </c>
    </row>
    <row r="501" spans="10:21" x14ac:dyDescent="0.35">
      <c r="J501">
        <f t="shared" si="63"/>
        <v>498</v>
      </c>
      <c r="K501">
        <f>demanda!D499</f>
        <v>5</v>
      </c>
      <c r="L501">
        <f>demanda!I499</f>
        <v>4</v>
      </c>
      <c r="M501">
        <v>1.2636408299870627</v>
      </c>
      <c r="N501">
        <f t="shared" si="56"/>
        <v>2.7363591700129373</v>
      </c>
      <c r="O501">
        <v>3.9509249049329382E-3</v>
      </c>
      <c r="P501">
        <f t="shared" si="57"/>
        <v>0.27570859003376569</v>
      </c>
      <c r="Q501">
        <f t="shared" si="58"/>
        <v>98.549564325626974</v>
      </c>
      <c r="R501">
        <f t="shared" si="59"/>
        <v>0.27618836492875143</v>
      </c>
      <c r="S501">
        <f t="shared" si="60"/>
        <v>0.78243313331472275</v>
      </c>
      <c r="T501">
        <f t="shared" si="61"/>
        <v>1.513588784422617E-4</v>
      </c>
      <c r="U501">
        <f t="shared" si="62"/>
        <v>1.7394598075820691E-2</v>
      </c>
    </row>
    <row r="502" spans="10:21" x14ac:dyDescent="0.35">
      <c r="J502">
        <f t="shared" si="63"/>
        <v>499</v>
      </c>
      <c r="K502">
        <f>demanda!D500</f>
        <v>2</v>
      </c>
      <c r="L502">
        <f>demanda!I500</f>
        <v>5</v>
      </c>
      <c r="M502">
        <v>9.1555418996444509</v>
      </c>
      <c r="N502">
        <f t="shared" si="56"/>
        <v>-4.1555418996444509</v>
      </c>
      <c r="O502">
        <v>7.3144910189317154E-4</v>
      </c>
      <c r="P502">
        <f t="shared" si="57"/>
        <v>-0.4187018321764357</v>
      </c>
      <c r="Q502">
        <f t="shared" si="58"/>
        <v>98.544473706891381</v>
      </c>
      <c r="R502">
        <f t="shared" si="59"/>
        <v>-0.41876504056165376</v>
      </c>
      <c r="S502">
        <f t="shared" si="60"/>
        <v>0.67543472022045181</v>
      </c>
      <c r="T502">
        <f t="shared" si="61"/>
        <v>6.420951640425571E-5</v>
      </c>
      <c r="U502">
        <f t="shared" si="62"/>
        <v>-1.1329777066218591E-2</v>
      </c>
    </row>
    <row r="503" spans="10:21" x14ac:dyDescent="0.35">
      <c r="J503">
        <f t="shared" si="63"/>
        <v>500</v>
      </c>
      <c r="K503">
        <f>demanda!D501</f>
        <v>1</v>
      </c>
      <c r="L503">
        <f>demanda!I501</f>
        <v>32</v>
      </c>
      <c r="M503">
        <v>11.786175589530247</v>
      </c>
      <c r="N503">
        <f t="shared" si="56"/>
        <v>20.213824410469755</v>
      </c>
      <c r="O503">
        <v>5.2058796926701797E-4</v>
      </c>
      <c r="P503">
        <f t="shared" si="57"/>
        <v>2.0366935336834389</v>
      </c>
      <c r="Q503">
        <f t="shared" si="58"/>
        <v>98.340339008830341</v>
      </c>
      <c r="R503">
        <f t="shared" si="59"/>
        <v>2.0388989957576906</v>
      </c>
      <c r="S503">
        <f t="shared" si="60"/>
        <v>4.1596891973058964E-2</v>
      </c>
      <c r="T503">
        <f t="shared" si="61"/>
        <v>1.0808558949642702E-3</v>
      </c>
      <c r="U503">
        <f t="shared" si="62"/>
        <v>4.6532442496882889E-2</v>
      </c>
    </row>
    <row r="504" spans="10:21" x14ac:dyDescent="0.35">
      <c r="J504">
        <f t="shared" si="63"/>
        <v>501</v>
      </c>
      <c r="K504">
        <f>demanda!D502</f>
        <v>2</v>
      </c>
      <c r="L504">
        <f>demanda!I502</f>
        <v>4</v>
      </c>
      <c r="M504">
        <v>9.1555418996444509</v>
      </c>
      <c r="N504">
        <f t="shared" si="56"/>
        <v>-5.1555418996444509</v>
      </c>
      <c r="O504">
        <v>7.3144910189317154E-4</v>
      </c>
      <c r="P504">
        <f t="shared" si="57"/>
        <v>-0.51945928867380853</v>
      </c>
      <c r="Q504">
        <f t="shared" si="58"/>
        <v>98.539615573748293</v>
      </c>
      <c r="R504">
        <f t="shared" si="59"/>
        <v>-0.51955051447259837</v>
      </c>
      <c r="S504">
        <f t="shared" si="60"/>
        <v>0.60343681513546954</v>
      </c>
      <c r="T504">
        <f t="shared" si="61"/>
        <v>9.8830890695332879E-5</v>
      </c>
      <c r="U504">
        <f t="shared" si="62"/>
        <v>-1.4056549457229766E-2</v>
      </c>
    </row>
    <row r="505" spans="10:21" x14ac:dyDescent="0.35">
      <c r="J505">
        <f t="shared" si="63"/>
        <v>502</v>
      </c>
      <c r="K505">
        <f>demanda!D503</f>
        <v>0</v>
      </c>
      <c r="L505">
        <f>demanda!I503</f>
        <v>4</v>
      </c>
      <c r="M505">
        <v>14.416809279416043</v>
      </c>
      <c r="N505">
        <f t="shared" si="56"/>
        <v>-10.416809279416043</v>
      </c>
      <c r="O505">
        <v>7.4087557083441532E-4</v>
      </c>
      <c r="P505">
        <f t="shared" si="57"/>
        <v>-1.0495712078121913</v>
      </c>
      <c r="Q505">
        <f t="shared" si="58"/>
        <v>98.49686724248096</v>
      </c>
      <c r="R505">
        <f t="shared" si="59"/>
        <v>-1.049988258586362</v>
      </c>
      <c r="S505">
        <f t="shared" si="60"/>
        <v>0.29385572056513598</v>
      </c>
      <c r="T505">
        <f t="shared" si="61"/>
        <v>4.0867949778204384E-4</v>
      </c>
      <c r="U505">
        <f t="shared" si="62"/>
        <v>-2.8590254333443563E-2</v>
      </c>
    </row>
    <row r="506" spans="10:21" x14ac:dyDescent="0.35">
      <c r="J506">
        <f t="shared" si="63"/>
        <v>503</v>
      </c>
      <c r="K506">
        <f>demanda!D504</f>
        <v>3</v>
      </c>
      <c r="L506">
        <f>demanda!I504</f>
        <v>4</v>
      </c>
      <c r="M506">
        <v>6.5249082097586548</v>
      </c>
      <c r="N506">
        <f t="shared" si="56"/>
        <v>-2.5249082097586548</v>
      </c>
      <c r="O506">
        <v>1.3734589687128761E-3</v>
      </c>
      <c r="P506">
        <f t="shared" si="57"/>
        <v>-0.2544033291046171</v>
      </c>
      <c r="Q506">
        <f t="shared" si="58"/>
        <v>98.550155270625524</v>
      </c>
      <c r="R506">
        <f t="shared" si="59"/>
        <v>-0.25451617384299874</v>
      </c>
      <c r="S506">
        <f t="shared" si="60"/>
        <v>0.79912408038987892</v>
      </c>
      <c r="T506">
        <f t="shared" si="61"/>
        <v>4.4568197050885148E-5</v>
      </c>
      <c r="U506">
        <f t="shared" si="62"/>
        <v>-9.4389063786870474E-3</v>
      </c>
    </row>
    <row r="507" spans="10:21" x14ac:dyDescent="0.35">
      <c r="J507">
        <f t="shared" si="63"/>
        <v>504</v>
      </c>
      <c r="K507">
        <f>demanda!D505</f>
        <v>0</v>
      </c>
      <c r="L507">
        <f>demanda!I505</f>
        <v>11</v>
      </c>
      <c r="M507">
        <v>14.416809279416043</v>
      </c>
      <c r="N507">
        <f t="shared" si="56"/>
        <v>-3.416809279416043</v>
      </c>
      <c r="O507">
        <v>7.4087557083441532E-4</v>
      </c>
      <c r="P507">
        <f t="shared" si="57"/>
        <v>-0.34426901233058166</v>
      </c>
      <c r="Q507">
        <f t="shared" si="58"/>
        <v>98.547392334261005</v>
      </c>
      <c r="R507">
        <f t="shared" si="59"/>
        <v>-0.34431750934619676</v>
      </c>
      <c r="S507">
        <f t="shared" si="60"/>
        <v>0.73064524437297085</v>
      </c>
      <c r="T507">
        <f t="shared" si="61"/>
        <v>4.3969841615361785E-5</v>
      </c>
      <c r="U507">
        <f t="shared" si="62"/>
        <v>-9.3754621379472432E-3</v>
      </c>
    </row>
    <row r="508" spans="10:21" x14ac:dyDescent="0.35">
      <c r="J508">
        <f t="shared" si="63"/>
        <v>505</v>
      </c>
      <c r="K508">
        <f>demanda!D506</f>
        <v>0</v>
      </c>
      <c r="L508">
        <f>demanda!I506</f>
        <v>7</v>
      </c>
      <c r="M508">
        <v>14.416809279416043</v>
      </c>
      <c r="N508">
        <f t="shared" si="56"/>
        <v>-7.416809279416043</v>
      </c>
      <c r="O508">
        <v>7.4087557083441532E-4</v>
      </c>
      <c r="P508">
        <f t="shared" si="57"/>
        <v>-0.74729883832007293</v>
      </c>
      <c r="Q508">
        <f t="shared" si="58"/>
        <v>98.524782009186751</v>
      </c>
      <c r="R508">
        <f t="shared" si="59"/>
        <v>-0.74748986544241569</v>
      </c>
      <c r="S508">
        <f t="shared" si="60"/>
        <v>0.45485950007005715</v>
      </c>
      <c r="T508">
        <f t="shared" si="61"/>
        <v>2.0717991394042799E-4</v>
      </c>
      <c r="U508">
        <f t="shared" si="62"/>
        <v>-2.0353489850869988E-2</v>
      </c>
    </row>
    <row r="509" spans="10:21" x14ac:dyDescent="0.35">
      <c r="J509">
        <f t="shared" si="63"/>
        <v>506</v>
      </c>
      <c r="K509">
        <f>demanda!D507</f>
        <v>0</v>
      </c>
      <c r="L509">
        <f>demanda!I507</f>
        <v>12</v>
      </c>
      <c r="M509">
        <v>14.416809279416043</v>
      </c>
      <c r="N509">
        <f t="shared" si="56"/>
        <v>-2.416809279416043</v>
      </c>
      <c r="O509">
        <v>7.4087557083441532E-4</v>
      </c>
      <c r="P509">
        <f t="shared" si="57"/>
        <v>-0.24351155583320885</v>
      </c>
      <c r="Q509">
        <f t="shared" si="58"/>
        <v>98.55043610055337</v>
      </c>
      <c r="R509">
        <f t="shared" si="59"/>
        <v>-0.24354209816225414</v>
      </c>
      <c r="S509">
        <f t="shared" si="60"/>
        <v>0.80761150818210881</v>
      </c>
      <c r="T509">
        <f t="shared" si="61"/>
        <v>2.199875915262289E-5</v>
      </c>
      <c r="U509">
        <f t="shared" si="62"/>
        <v>-6.6314365617133417E-3</v>
      </c>
    </row>
    <row r="510" spans="10:21" x14ac:dyDescent="0.35">
      <c r="J510">
        <f t="shared" si="63"/>
        <v>507</v>
      </c>
      <c r="K510">
        <f>demanda!D508</f>
        <v>1</v>
      </c>
      <c r="L510">
        <f>demanda!I508</f>
        <v>21</v>
      </c>
      <c r="M510">
        <v>11.786175589530247</v>
      </c>
      <c r="N510">
        <f t="shared" si="56"/>
        <v>9.2138244104697531</v>
      </c>
      <c r="O510">
        <v>5.2058796926701797E-4</v>
      </c>
      <c r="P510">
        <f t="shared" si="57"/>
        <v>0.92836151221233776</v>
      </c>
      <c r="Q510">
        <f t="shared" si="58"/>
        <v>98.509198623680717</v>
      </c>
      <c r="R510">
        <f t="shared" si="59"/>
        <v>0.92856992242783054</v>
      </c>
      <c r="S510">
        <f t="shared" si="60"/>
        <v>0.3532287954293104</v>
      </c>
      <c r="T510">
        <f t="shared" si="61"/>
        <v>2.2456945291772932E-4</v>
      </c>
      <c r="U510">
        <f t="shared" si="62"/>
        <v>2.11921368393489E-2</v>
      </c>
    </row>
    <row r="511" spans="10:21" x14ac:dyDescent="0.35">
      <c r="J511">
        <f t="shared" si="63"/>
        <v>508</v>
      </c>
      <c r="K511">
        <f>demanda!D509</f>
        <v>1</v>
      </c>
      <c r="L511">
        <f>demanda!I509</f>
        <v>12</v>
      </c>
      <c r="M511">
        <v>11.786175589530247</v>
      </c>
      <c r="N511">
        <f t="shared" si="56"/>
        <v>0.21382441046975309</v>
      </c>
      <c r="O511">
        <v>5.2058796926701797E-4</v>
      </c>
      <c r="P511">
        <f t="shared" si="57"/>
        <v>2.1544403735982532E-2</v>
      </c>
      <c r="Q511">
        <f t="shared" si="58"/>
        <v>98.55345985083423</v>
      </c>
      <c r="R511">
        <f t="shared" si="59"/>
        <v>2.1544400773202785E-2</v>
      </c>
      <c r="S511">
        <f t="shared" si="60"/>
        <v>0.98281362479024093</v>
      </c>
      <c r="T511">
        <f t="shared" si="61"/>
        <v>1.2094429421903031E-7</v>
      </c>
      <c r="U511">
        <f t="shared" si="62"/>
        <v>4.9169360139701592E-4</v>
      </c>
    </row>
    <row r="512" spans="10:21" x14ac:dyDescent="0.35">
      <c r="J512">
        <f t="shared" si="63"/>
        <v>509</v>
      </c>
      <c r="K512">
        <f>demanda!D510</f>
        <v>5</v>
      </c>
      <c r="L512">
        <f>demanda!I510</f>
        <v>2</v>
      </c>
      <c r="M512">
        <v>1.2636408299870627</v>
      </c>
      <c r="N512">
        <f t="shared" si="56"/>
        <v>0.73635917001293727</v>
      </c>
      <c r="O512">
        <v>3.9509249049329382E-3</v>
      </c>
      <c r="P512">
        <f t="shared" si="57"/>
        <v>7.4193677039020078E-2</v>
      </c>
      <c r="Q512">
        <f t="shared" si="58"/>
        <v>98.553199876422468</v>
      </c>
      <c r="R512">
        <f t="shared" si="59"/>
        <v>7.4321414457959423E-2</v>
      </c>
      <c r="S512">
        <f t="shared" si="60"/>
        <v>0.94076238398569867</v>
      </c>
      <c r="T512">
        <f t="shared" si="61"/>
        <v>1.0960770814463366E-5</v>
      </c>
      <c r="U512">
        <f t="shared" si="62"/>
        <v>4.680831262592092E-3</v>
      </c>
    </row>
    <row r="513" spans="10:21" x14ac:dyDescent="0.35">
      <c r="J513">
        <f t="shared" si="63"/>
        <v>510</v>
      </c>
      <c r="K513">
        <f>demanda!D511</f>
        <v>0</v>
      </c>
      <c r="L513">
        <f>demanda!I511</f>
        <v>15</v>
      </c>
      <c r="M513">
        <v>14.416809279416043</v>
      </c>
      <c r="N513">
        <f t="shared" si="56"/>
        <v>0.58319072058395705</v>
      </c>
      <c r="O513">
        <v>7.4087557083441532E-4</v>
      </c>
      <c r="P513">
        <f t="shared" si="57"/>
        <v>5.8760813658909554E-2</v>
      </c>
      <c r="Q513">
        <f t="shared" si="58"/>
        <v>98.553306243487526</v>
      </c>
      <c r="R513">
        <f t="shared" si="59"/>
        <v>5.8767327956256402E-2</v>
      </c>
      <c r="S513">
        <f t="shared" si="60"/>
        <v>0.95314355069247325</v>
      </c>
      <c r="T513">
        <f t="shared" si="61"/>
        <v>1.2809572488725558E-6</v>
      </c>
      <c r="U513">
        <f t="shared" si="62"/>
        <v>1.6001825154010173E-3</v>
      </c>
    </row>
    <row r="514" spans="10:21" x14ac:dyDescent="0.35">
      <c r="J514">
        <f t="shared" si="63"/>
        <v>511</v>
      </c>
      <c r="K514">
        <f>demanda!D512</f>
        <v>1</v>
      </c>
      <c r="L514">
        <f>demanda!I512</f>
        <v>3</v>
      </c>
      <c r="M514">
        <v>11.786175589530247</v>
      </c>
      <c r="N514">
        <f t="shared" si="56"/>
        <v>-8.7861755895302469</v>
      </c>
      <c r="O514">
        <v>5.2058796926701797E-4</v>
      </c>
      <c r="P514">
        <f t="shared" si="57"/>
        <v>-0.88527270474037267</v>
      </c>
      <c r="Q514">
        <f t="shared" si="58"/>
        <v>98.513214102399758</v>
      </c>
      <c r="R514">
        <f t="shared" si="59"/>
        <v>-0.88545339538896362</v>
      </c>
      <c r="S514">
        <f t="shared" si="60"/>
        <v>0.37602308055069167</v>
      </c>
      <c r="T514">
        <f t="shared" si="61"/>
        <v>2.0420697614382047E-4</v>
      </c>
      <c r="U514">
        <f t="shared" si="62"/>
        <v>-2.0208116875988336E-2</v>
      </c>
    </row>
    <row r="515" spans="10:21" x14ac:dyDescent="0.35">
      <c r="J515">
        <f t="shared" si="63"/>
        <v>512</v>
      </c>
      <c r="K515">
        <f>demanda!D513</f>
        <v>4</v>
      </c>
      <c r="L515">
        <f>demanda!I513</f>
        <v>3</v>
      </c>
      <c r="M515">
        <v>3.8942745198728588</v>
      </c>
      <c r="N515">
        <f t="shared" si="56"/>
        <v>-0.89427451987285878</v>
      </c>
      <c r="O515">
        <v>2.4466175697261316E-3</v>
      </c>
      <c r="P515">
        <f t="shared" si="57"/>
        <v>-9.0104826032798527E-2</v>
      </c>
      <c r="Q515">
        <f t="shared" si="58"/>
        <v>98.553065719630368</v>
      </c>
      <c r="R515">
        <f t="shared" si="59"/>
        <v>-9.0191937130002245E-2</v>
      </c>
      <c r="S515">
        <f t="shared" si="60"/>
        <v>0.92814410376796586</v>
      </c>
      <c r="T515">
        <f t="shared" si="61"/>
        <v>9.9806748742546123E-6</v>
      </c>
      <c r="U515">
        <f t="shared" si="62"/>
        <v>-4.4666578568412878E-3</v>
      </c>
    </row>
    <row r="516" spans="10:21" x14ac:dyDescent="0.35">
      <c r="J516">
        <f t="shared" si="63"/>
        <v>513</v>
      </c>
      <c r="K516">
        <f>demanda!D514</f>
        <v>2</v>
      </c>
      <c r="L516">
        <f>demanda!I514</f>
        <v>3</v>
      </c>
      <c r="M516">
        <v>9.1555418996444509</v>
      </c>
      <c r="N516">
        <f t="shared" si="56"/>
        <v>-6.1555418996444509</v>
      </c>
      <c r="O516">
        <v>7.3144910189317154E-4</v>
      </c>
      <c r="P516">
        <f t="shared" si="57"/>
        <v>-0.62021674517118131</v>
      </c>
      <c r="Q516">
        <f t="shared" si="58"/>
        <v>98.533713924458709</v>
      </c>
      <c r="R516">
        <f t="shared" si="59"/>
        <v>-0.62034424251421916</v>
      </c>
      <c r="S516">
        <f t="shared" si="60"/>
        <v>0.53510483257501296</v>
      </c>
      <c r="T516">
        <f t="shared" si="61"/>
        <v>1.4088885884323287E-4</v>
      </c>
      <c r="U516">
        <f t="shared" si="62"/>
        <v>-1.6783545165498539E-2</v>
      </c>
    </row>
    <row r="517" spans="10:21" x14ac:dyDescent="0.35">
      <c r="J517">
        <f t="shared" si="63"/>
        <v>514</v>
      </c>
      <c r="K517">
        <f>demanda!D515</f>
        <v>1</v>
      </c>
      <c r="L517">
        <f>demanda!I515</f>
        <v>3</v>
      </c>
      <c r="M517">
        <v>11.786175589530247</v>
      </c>
      <c r="N517">
        <f t="shared" ref="N517:N580" si="64">L517-M517</f>
        <v>-8.7861755895302469</v>
      </c>
      <c r="O517">
        <v>5.2058796926701797E-4</v>
      </c>
      <c r="P517">
        <f t="shared" ref="P517:P580" si="65">N517/SQRT($X$6)</f>
        <v>-0.88527270474037267</v>
      </c>
      <c r="Q517">
        <f t="shared" ref="Q517:Q580" si="66">($X$6-N517^2/((1-O517)*$X$5))*$X$5/($X$5-1)</f>
        <v>98.513214102399758</v>
      </c>
      <c r="R517">
        <f t="shared" ref="R517:R580" si="67">N517/SQRT(Q517*(1-O517))</f>
        <v>-0.88545339538896362</v>
      </c>
      <c r="S517">
        <f t="shared" ref="S517:S580" si="68">_xlfn.T.DIST.2T(ABS(R517),$X$5)</f>
        <v>0.37602308055069167</v>
      </c>
      <c r="T517">
        <f t="shared" ref="T517:T580" si="69">(N517^2/$X$6)*(O517/(1-O517)^2)/($X$7+1)</f>
        <v>2.0420697614382047E-4</v>
      </c>
      <c r="U517">
        <f t="shared" ref="U517:U580" si="70">R517*SQRT(O517/(1-O517))</f>
        <v>-2.0208116875988336E-2</v>
      </c>
    </row>
    <row r="518" spans="10:21" x14ac:dyDescent="0.35">
      <c r="J518">
        <f t="shared" ref="J518:J581" si="71">J517+1</f>
        <v>515</v>
      </c>
      <c r="K518">
        <f>demanda!D516</f>
        <v>0</v>
      </c>
      <c r="L518">
        <f>demanda!I516</f>
        <v>12</v>
      </c>
      <c r="M518">
        <v>14.416809279416043</v>
      </c>
      <c r="N518">
        <f t="shared" si="64"/>
        <v>-2.416809279416043</v>
      </c>
      <c r="O518">
        <v>7.4087557083441532E-4</v>
      </c>
      <c r="P518">
        <f t="shared" si="65"/>
        <v>-0.24351155583320885</v>
      </c>
      <c r="Q518">
        <f t="shared" si="66"/>
        <v>98.55043610055337</v>
      </c>
      <c r="R518">
        <f t="shared" si="67"/>
        <v>-0.24354209816225414</v>
      </c>
      <c r="S518">
        <f t="shared" si="68"/>
        <v>0.80761150818210881</v>
      </c>
      <c r="T518">
        <f t="shared" si="69"/>
        <v>2.199875915262289E-5</v>
      </c>
      <c r="U518">
        <f t="shared" si="70"/>
        <v>-6.6314365617133417E-3</v>
      </c>
    </row>
    <row r="519" spans="10:21" x14ac:dyDescent="0.35">
      <c r="J519">
        <f t="shared" si="71"/>
        <v>516</v>
      </c>
      <c r="K519">
        <f>demanda!D517</f>
        <v>4</v>
      </c>
      <c r="L519">
        <f>demanda!I517</f>
        <v>5</v>
      </c>
      <c r="M519">
        <v>3.8942745198728588</v>
      </c>
      <c r="N519">
        <f t="shared" si="64"/>
        <v>1.1057254801271412</v>
      </c>
      <c r="O519">
        <v>2.4466175697261316E-3</v>
      </c>
      <c r="P519">
        <f t="shared" si="65"/>
        <v>0.1114100869619471</v>
      </c>
      <c r="Q519">
        <f t="shared" si="66"/>
        <v>98.552844687754742</v>
      </c>
      <c r="R519">
        <f t="shared" si="67"/>
        <v>0.11151792050833784</v>
      </c>
      <c r="S519">
        <f t="shared" si="68"/>
        <v>0.91121731813581752</v>
      </c>
      <c r="T519">
        <f t="shared" si="69"/>
        <v>1.5258534707568431E-5</v>
      </c>
      <c r="U519">
        <f t="shared" si="70"/>
        <v>5.5228040517545651E-3</v>
      </c>
    </row>
    <row r="520" spans="10:21" x14ac:dyDescent="0.35">
      <c r="J520">
        <f t="shared" si="71"/>
        <v>517</v>
      </c>
      <c r="K520">
        <f>demanda!D518</f>
        <v>2</v>
      </c>
      <c r="L520">
        <f>demanda!I518</f>
        <v>2</v>
      </c>
      <c r="M520">
        <v>9.1555418996444509</v>
      </c>
      <c r="N520">
        <f t="shared" si="64"/>
        <v>-7.1555418996444509</v>
      </c>
      <c r="O520">
        <v>7.3144910189317154E-4</v>
      </c>
      <c r="P520">
        <f t="shared" si="65"/>
        <v>-0.72097420166855408</v>
      </c>
      <c r="Q520">
        <f t="shared" si="66"/>
        <v>98.526768759022602</v>
      </c>
      <c r="R520">
        <f t="shared" si="67"/>
        <v>-0.72114782718324122</v>
      </c>
      <c r="S520">
        <f t="shared" si="68"/>
        <v>0.47090641241117204</v>
      </c>
      <c r="T520">
        <f t="shared" si="69"/>
        <v>1.9038342084795563E-4</v>
      </c>
      <c r="U520">
        <f t="shared" si="70"/>
        <v>-1.9510807546913981E-2</v>
      </c>
    </row>
    <row r="521" spans="10:21" x14ac:dyDescent="0.35">
      <c r="J521">
        <f t="shared" si="71"/>
        <v>518</v>
      </c>
      <c r="K521">
        <f>demanda!D519</f>
        <v>0</v>
      </c>
      <c r="L521">
        <f>demanda!I519</f>
        <v>15</v>
      </c>
      <c r="M521">
        <v>14.416809279416043</v>
      </c>
      <c r="N521">
        <f t="shared" si="64"/>
        <v>0.58319072058395705</v>
      </c>
      <c r="O521">
        <v>7.4087557083441532E-4</v>
      </c>
      <c r="P521">
        <f t="shared" si="65"/>
        <v>5.8760813658909554E-2</v>
      </c>
      <c r="Q521">
        <f t="shared" si="66"/>
        <v>98.553306243487526</v>
      </c>
      <c r="R521">
        <f t="shared" si="67"/>
        <v>5.8767327956256402E-2</v>
      </c>
      <c r="S521">
        <f t="shared" si="68"/>
        <v>0.95314355069247325</v>
      </c>
      <c r="T521">
        <f t="shared" si="69"/>
        <v>1.2809572488725558E-6</v>
      </c>
      <c r="U521">
        <f t="shared" si="70"/>
        <v>1.6001825154010173E-3</v>
      </c>
    </row>
    <row r="522" spans="10:21" x14ac:dyDescent="0.35">
      <c r="J522">
        <f t="shared" si="71"/>
        <v>519</v>
      </c>
      <c r="K522">
        <f>demanda!D520</f>
        <v>0</v>
      </c>
      <c r="L522">
        <f>demanda!I520</f>
        <v>10</v>
      </c>
      <c r="M522">
        <v>14.416809279416043</v>
      </c>
      <c r="N522">
        <f t="shared" si="64"/>
        <v>-4.416809279416043</v>
      </c>
      <c r="O522">
        <v>7.4087557083441532E-4</v>
      </c>
      <c r="P522">
        <f t="shared" si="65"/>
        <v>-0.44502646882795449</v>
      </c>
      <c r="Q522">
        <f t="shared" si="66"/>
        <v>98.543305041978172</v>
      </c>
      <c r="R522">
        <f t="shared" si="67"/>
        <v>-0.44509838991165818</v>
      </c>
      <c r="S522">
        <f t="shared" si="68"/>
        <v>0.65629885256814913</v>
      </c>
      <c r="T522">
        <f t="shared" si="69"/>
        <v>7.3473498325511761E-5</v>
      </c>
      <c r="U522">
        <f t="shared" si="70"/>
        <v>-1.2119636640616644E-2</v>
      </c>
    </row>
    <row r="523" spans="10:21" x14ac:dyDescent="0.35">
      <c r="J523">
        <f t="shared" si="71"/>
        <v>520</v>
      </c>
      <c r="K523">
        <f>demanda!D521</f>
        <v>2</v>
      </c>
      <c r="L523">
        <f>demanda!I521</f>
        <v>9</v>
      </c>
      <c r="M523">
        <v>9.1555418996444509</v>
      </c>
      <c r="N523">
        <f t="shared" si="64"/>
        <v>-0.15554189964445087</v>
      </c>
      <c r="O523">
        <v>7.3144910189317154E-4</v>
      </c>
      <c r="P523">
        <f t="shared" si="65"/>
        <v>-1.5672006186944486E-2</v>
      </c>
      <c r="Q523">
        <f t="shared" si="66"/>
        <v>98.553471077998481</v>
      </c>
      <c r="R523">
        <f t="shared" si="67"/>
        <v>-1.5673656569471353E-2</v>
      </c>
      <c r="S523">
        <f t="shared" si="68"/>
        <v>0.98749637272587987</v>
      </c>
      <c r="T523">
        <f t="shared" si="69"/>
        <v>8.9957808175279303E-8</v>
      </c>
      <c r="U523">
        <f t="shared" si="70"/>
        <v>-4.2405410563023908E-4</v>
      </c>
    </row>
    <row r="524" spans="10:21" x14ac:dyDescent="0.35">
      <c r="J524">
        <f t="shared" si="71"/>
        <v>521</v>
      </c>
      <c r="K524">
        <f>demanda!D522</f>
        <v>0</v>
      </c>
      <c r="L524">
        <f>demanda!I522</f>
        <v>15</v>
      </c>
      <c r="M524">
        <v>14.416809279416043</v>
      </c>
      <c r="N524">
        <f t="shared" si="64"/>
        <v>0.58319072058395705</v>
      </c>
      <c r="O524">
        <v>7.4087557083441532E-4</v>
      </c>
      <c r="P524">
        <f t="shared" si="65"/>
        <v>5.8760813658909554E-2</v>
      </c>
      <c r="Q524">
        <f t="shared" si="66"/>
        <v>98.553306243487526</v>
      </c>
      <c r="R524">
        <f t="shared" si="67"/>
        <v>5.8767327956256402E-2</v>
      </c>
      <c r="S524">
        <f t="shared" si="68"/>
        <v>0.95314355069247325</v>
      </c>
      <c r="T524">
        <f t="shared" si="69"/>
        <v>1.2809572488725558E-6</v>
      </c>
      <c r="U524">
        <f t="shared" si="70"/>
        <v>1.6001825154010173E-3</v>
      </c>
    </row>
    <row r="525" spans="10:21" x14ac:dyDescent="0.35">
      <c r="J525">
        <f t="shared" si="71"/>
        <v>522</v>
      </c>
      <c r="K525">
        <f>demanda!D523</f>
        <v>0</v>
      </c>
      <c r="L525">
        <f>demanda!I523</f>
        <v>15</v>
      </c>
      <c r="M525">
        <v>14.416809279416043</v>
      </c>
      <c r="N525">
        <f t="shared" si="64"/>
        <v>0.58319072058395705</v>
      </c>
      <c r="O525">
        <v>7.4087557083441532E-4</v>
      </c>
      <c r="P525">
        <f t="shared" si="65"/>
        <v>5.8760813658909554E-2</v>
      </c>
      <c r="Q525">
        <f t="shared" si="66"/>
        <v>98.553306243487526</v>
      </c>
      <c r="R525">
        <f t="shared" si="67"/>
        <v>5.8767327956256402E-2</v>
      </c>
      <c r="S525">
        <f t="shared" si="68"/>
        <v>0.95314355069247325</v>
      </c>
      <c r="T525">
        <f t="shared" si="69"/>
        <v>1.2809572488725558E-6</v>
      </c>
      <c r="U525">
        <f t="shared" si="70"/>
        <v>1.6001825154010173E-3</v>
      </c>
    </row>
    <row r="526" spans="10:21" x14ac:dyDescent="0.35">
      <c r="J526">
        <f t="shared" si="71"/>
        <v>523</v>
      </c>
      <c r="K526">
        <f>demanda!D524</f>
        <v>0</v>
      </c>
      <c r="L526">
        <f>demanda!I524</f>
        <v>15</v>
      </c>
      <c r="M526">
        <v>14.416809279416043</v>
      </c>
      <c r="N526">
        <f t="shared" si="64"/>
        <v>0.58319072058395705</v>
      </c>
      <c r="O526">
        <v>7.4087557083441532E-4</v>
      </c>
      <c r="P526">
        <f t="shared" si="65"/>
        <v>5.8760813658909554E-2</v>
      </c>
      <c r="Q526">
        <f t="shared" si="66"/>
        <v>98.553306243487526</v>
      </c>
      <c r="R526">
        <f t="shared" si="67"/>
        <v>5.8767327956256402E-2</v>
      </c>
      <c r="S526">
        <f t="shared" si="68"/>
        <v>0.95314355069247325</v>
      </c>
      <c r="T526">
        <f t="shared" si="69"/>
        <v>1.2809572488725558E-6</v>
      </c>
      <c r="U526">
        <f t="shared" si="70"/>
        <v>1.6001825154010173E-3</v>
      </c>
    </row>
    <row r="527" spans="10:21" x14ac:dyDescent="0.35">
      <c r="J527">
        <f t="shared" si="71"/>
        <v>524</v>
      </c>
      <c r="K527">
        <f>demanda!D525</f>
        <v>0</v>
      </c>
      <c r="L527">
        <f>demanda!I525</f>
        <v>12</v>
      </c>
      <c r="M527">
        <v>14.416809279416043</v>
      </c>
      <c r="N527">
        <f t="shared" si="64"/>
        <v>-2.416809279416043</v>
      </c>
      <c r="O527">
        <v>7.4087557083441532E-4</v>
      </c>
      <c r="P527">
        <f t="shared" si="65"/>
        <v>-0.24351155583320885</v>
      </c>
      <c r="Q527">
        <f t="shared" si="66"/>
        <v>98.55043610055337</v>
      </c>
      <c r="R527">
        <f t="shared" si="67"/>
        <v>-0.24354209816225414</v>
      </c>
      <c r="S527">
        <f t="shared" si="68"/>
        <v>0.80761150818210881</v>
      </c>
      <c r="T527">
        <f t="shared" si="69"/>
        <v>2.199875915262289E-5</v>
      </c>
      <c r="U527">
        <f t="shared" si="70"/>
        <v>-6.6314365617133417E-3</v>
      </c>
    </row>
    <row r="528" spans="10:21" x14ac:dyDescent="0.35">
      <c r="J528">
        <f t="shared" si="71"/>
        <v>525</v>
      </c>
      <c r="K528">
        <f>demanda!D526</f>
        <v>0</v>
      </c>
      <c r="L528">
        <f>demanda!I526</f>
        <v>15</v>
      </c>
      <c r="M528">
        <v>14.416809279416043</v>
      </c>
      <c r="N528">
        <f t="shared" si="64"/>
        <v>0.58319072058395705</v>
      </c>
      <c r="O528">
        <v>7.4087557083441532E-4</v>
      </c>
      <c r="P528">
        <f t="shared" si="65"/>
        <v>5.8760813658909554E-2</v>
      </c>
      <c r="Q528">
        <f t="shared" si="66"/>
        <v>98.553306243487526</v>
      </c>
      <c r="R528">
        <f t="shared" si="67"/>
        <v>5.8767327956256402E-2</v>
      </c>
      <c r="S528">
        <f t="shared" si="68"/>
        <v>0.95314355069247325</v>
      </c>
      <c r="T528">
        <f t="shared" si="69"/>
        <v>1.2809572488725558E-6</v>
      </c>
      <c r="U528">
        <f t="shared" si="70"/>
        <v>1.6001825154010173E-3</v>
      </c>
    </row>
    <row r="529" spans="10:21" x14ac:dyDescent="0.35">
      <c r="J529">
        <f t="shared" si="71"/>
        <v>526</v>
      </c>
      <c r="K529">
        <f>demanda!D527</f>
        <v>0</v>
      </c>
      <c r="L529">
        <f>demanda!I527</f>
        <v>15</v>
      </c>
      <c r="M529">
        <v>14.416809279416043</v>
      </c>
      <c r="N529">
        <f t="shared" si="64"/>
        <v>0.58319072058395705</v>
      </c>
      <c r="O529">
        <v>7.4087557083441532E-4</v>
      </c>
      <c r="P529">
        <f t="shared" si="65"/>
        <v>5.8760813658909554E-2</v>
      </c>
      <c r="Q529">
        <f t="shared" si="66"/>
        <v>98.553306243487526</v>
      </c>
      <c r="R529">
        <f t="shared" si="67"/>
        <v>5.8767327956256402E-2</v>
      </c>
      <c r="S529">
        <f t="shared" si="68"/>
        <v>0.95314355069247325</v>
      </c>
      <c r="T529">
        <f t="shared" si="69"/>
        <v>1.2809572488725558E-6</v>
      </c>
      <c r="U529">
        <f t="shared" si="70"/>
        <v>1.6001825154010173E-3</v>
      </c>
    </row>
    <row r="530" spans="10:21" x14ac:dyDescent="0.35">
      <c r="J530">
        <f t="shared" si="71"/>
        <v>527</v>
      </c>
      <c r="K530">
        <f>demanda!D528</f>
        <v>0</v>
      </c>
      <c r="L530">
        <f>demanda!I528</f>
        <v>15</v>
      </c>
      <c r="M530">
        <v>14.416809279416043</v>
      </c>
      <c r="N530">
        <f t="shared" si="64"/>
        <v>0.58319072058395705</v>
      </c>
      <c r="O530">
        <v>7.4087557083441532E-4</v>
      </c>
      <c r="P530">
        <f t="shared" si="65"/>
        <v>5.8760813658909554E-2</v>
      </c>
      <c r="Q530">
        <f t="shared" si="66"/>
        <v>98.553306243487526</v>
      </c>
      <c r="R530">
        <f t="shared" si="67"/>
        <v>5.8767327956256402E-2</v>
      </c>
      <c r="S530">
        <f t="shared" si="68"/>
        <v>0.95314355069247325</v>
      </c>
      <c r="T530">
        <f t="shared" si="69"/>
        <v>1.2809572488725558E-6</v>
      </c>
      <c r="U530">
        <f t="shared" si="70"/>
        <v>1.6001825154010173E-3</v>
      </c>
    </row>
    <row r="531" spans="10:21" x14ac:dyDescent="0.35">
      <c r="J531">
        <f t="shared" si="71"/>
        <v>528</v>
      </c>
      <c r="K531">
        <f>demanda!D529</f>
        <v>0</v>
      </c>
      <c r="L531">
        <f>demanda!I529</f>
        <v>15</v>
      </c>
      <c r="M531">
        <v>14.416809279416043</v>
      </c>
      <c r="N531">
        <f t="shared" si="64"/>
        <v>0.58319072058395705</v>
      </c>
      <c r="O531">
        <v>7.4087557083441532E-4</v>
      </c>
      <c r="P531">
        <f t="shared" si="65"/>
        <v>5.8760813658909554E-2</v>
      </c>
      <c r="Q531">
        <f t="shared" si="66"/>
        <v>98.553306243487526</v>
      </c>
      <c r="R531">
        <f t="shared" si="67"/>
        <v>5.8767327956256402E-2</v>
      </c>
      <c r="S531">
        <f t="shared" si="68"/>
        <v>0.95314355069247325</v>
      </c>
      <c r="T531">
        <f t="shared" si="69"/>
        <v>1.2809572488725558E-6</v>
      </c>
      <c r="U531">
        <f t="shared" si="70"/>
        <v>1.6001825154010173E-3</v>
      </c>
    </row>
    <row r="532" spans="10:21" x14ac:dyDescent="0.35">
      <c r="J532">
        <f t="shared" si="71"/>
        <v>529</v>
      </c>
      <c r="K532">
        <f>demanda!D530</f>
        <v>0</v>
      </c>
      <c r="L532">
        <f>demanda!I530</f>
        <v>15</v>
      </c>
      <c r="M532">
        <v>14.416809279416043</v>
      </c>
      <c r="N532">
        <f t="shared" si="64"/>
        <v>0.58319072058395705</v>
      </c>
      <c r="O532">
        <v>7.4087557083441532E-4</v>
      </c>
      <c r="P532">
        <f t="shared" si="65"/>
        <v>5.8760813658909554E-2</v>
      </c>
      <c r="Q532">
        <f t="shared" si="66"/>
        <v>98.553306243487526</v>
      </c>
      <c r="R532">
        <f t="shared" si="67"/>
        <v>5.8767327956256402E-2</v>
      </c>
      <c r="S532">
        <f t="shared" si="68"/>
        <v>0.95314355069247325</v>
      </c>
      <c r="T532">
        <f t="shared" si="69"/>
        <v>1.2809572488725558E-6</v>
      </c>
      <c r="U532">
        <f t="shared" si="70"/>
        <v>1.6001825154010173E-3</v>
      </c>
    </row>
    <row r="533" spans="10:21" x14ac:dyDescent="0.35">
      <c r="J533">
        <f t="shared" si="71"/>
        <v>530</v>
      </c>
      <c r="K533">
        <f>demanda!D531</f>
        <v>0</v>
      </c>
      <c r="L533">
        <f>demanda!I531</f>
        <v>15</v>
      </c>
      <c r="M533">
        <v>14.416809279416043</v>
      </c>
      <c r="N533">
        <f t="shared" si="64"/>
        <v>0.58319072058395705</v>
      </c>
      <c r="O533">
        <v>7.4087557083441532E-4</v>
      </c>
      <c r="P533">
        <f t="shared" si="65"/>
        <v>5.8760813658909554E-2</v>
      </c>
      <c r="Q533">
        <f t="shared" si="66"/>
        <v>98.553306243487526</v>
      </c>
      <c r="R533">
        <f t="shared" si="67"/>
        <v>5.8767327956256402E-2</v>
      </c>
      <c r="S533">
        <f t="shared" si="68"/>
        <v>0.95314355069247325</v>
      </c>
      <c r="T533">
        <f t="shared" si="69"/>
        <v>1.2809572488725558E-6</v>
      </c>
      <c r="U533">
        <f t="shared" si="70"/>
        <v>1.6001825154010173E-3</v>
      </c>
    </row>
    <row r="534" spans="10:21" x14ac:dyDescent="0.35">
      <c r="J534">
        <f t="shared" si="71"/>
        <v>531</v>
      </c>
      <c r="K534">
        <f>demanda!D532</f>
        <v>0</v>
      </c>
      <c r="L534">
        <f>demanda!I532</f>
        <v>15</v>
      </c>
      <c r="M534">
        <v>14.416809279416043</v>
      </c>
      <c r="N534">
        <f t="shared" si="64"/>
        <v>0.58319072058395705</v>
      </c>
      <c r="O534">
        <v>7.4087557083441532E-4</v>
      </c>
      <c r="P534">
        <f t="shared" si="65"/>
        <v>5.8760813658909554E-2</v>
      </c>
      <c r="Q534">
        <f t="shared" si="66"/>
        <v>98.553306243487526</v>
      </c>
      <c r="R534">
        <f t="shared" si="67"/>
        <v>5.8767327956256402E-2</v>
      </c>
      <c r="S534">
        <f t="shared" si="68"/>
        <v>0.95314355069247325</v>
      </c>
      <c r="T534">
        <f t="shared" si="69"/>
        <v>1.2809572488725558E-6</v>
      </c>
      <c r="U534">
        <f t="shared" si="70"/>
        <v>1.6001825154010173E-3</v>
      </c>
    </row>
    <row r="535" spans="10:21" x14ac:dyDescent="0.35">
      <c r="J535">
        <f t="shared" si="71"/>
        <v>532</v>
      </c>
      <c r="K535">
        <f>demanda!D533</f>
        <v>0</v>
      </c>
      <c r="L535">
        <f>demanda!I533</f>
        <v>15</v>
      </c>
      <c r="M535">
        <v>14.416809279416043</v>
      </c>
      <c r="N535">
        <f t="shared" si="64"/>
        <v>0.58319072058395705</v>
      </c>
      <c r="O535">
        <v>7.4087557083441532E-4</v>
      </c>
      <c r="P535">
        <f t="shared" si="65"/>
        <v>5.8760813658909554E-2</v>
      </c>
      <c r="Q535">
        <f t="shared" si="66"/>
        <v>98.553306243487526</v>
      </c>
      <c r="R535">
        <f t="shared" si="67"/>
        <v>5.8767327956256402E-2</v>
      </c>
      <c r="S535">
        <f t="shared" si="68"/>
        <v>0.95314355069247325</v>
      </c>
      <c r="T535">
        <f t="shared" si="69"/>
        <v>1.2809572488725558E-6</v>
      </c>
      <c r="U535">
        <f t="shared" si="70"/>
        <v>1.6001825154010173E-3</v>
      </c>
    </row>
    <row r="536" spans="10:21" x14ac:dyDescent="0.35">
      <c r="J536">
        <f t="shared" si="71"/>
        <v>533</v>
      </c>
      <c r="K536">
        <f>demanda!D534</f>
        <v>0</v>
      </c>
      <c r="L536">
        <f>demanda!I534</f>
        <v>15</v>
      </c>
      <c r="M536">
        <v>14.416809279416043</v>
      </c>
      <c r="N536">
        <f t="shared" si="64"/>
        <v>0.58319072058395705</v>
      </c>
      <c r="O536">
        <v>7.4087557083441532E-4</v>
      </c>
      <c r="P536">
        <f t="shared" si="65"/>
        <v>5.8760813658909554E-2</v>
      </c>
      <c r="Q536">
        <f t="shared" si="66"/>
        <v>98.553306243487526</v>
      </c>
      <c r="R536">
        <f t="shared" si="67"/>
        <v>5.8767327956256402E-2</v>
      </c>
      <c r="S536">
        <f t="shared" si="68"/>
        <v>0.95314355069247325</v>
      </c>
      <c r="T536">
        <f t="shared" si="69"/>
        <v>1.2809572488725558E-6</v>
      </c>
      <c r="U536">
        <f t="shared" si="70"/>
        <v>1.6001825154010173E-3</v>
      </c>
    </row>
    <row r="537" spans="10:21" x14ac:dyDescent="0.35">
      <c r="J537">
        <f t="shared" si="71"/>
        <v>534</v>
      </c>
      <c r="K537">
        <f>demanda!D535</f>
        <v>0</v>
      </c>
      <c r="L537">
        <f>demanda!I535</f>
        <v>15</v>
      </c>
      <c r="M537">
        <v>14.416809279416043</v>
      </c>
      <c r="N537">
        <f t="shared" si="64"/>
        <v>0.58319072058395705</v>
      </c>
      <c r="O537">
        <v>7.4087557083441532E-4</v>
      </c>
      <c r="P537">
        <f t="shared" si="65"/>
        <v>5.8760813658909554E-2</v>
      </c>
      <c r="Q537">
        <f t="shared" si="66"/>
        <v>98.553306243487526</v>
      </c>
      <c r="R537">
        <f t="shared" si="67"/>
        <v>5.8767327956256402E-2</v>
      </c>
      <c r="S537">
        <f t="shared" si="68"/>
        <v>0.95314355069247325</v>
      </c>
      <c r="T537">
        <f t="shared" si="69"/>
        <v>1.2809572488725558E-6</v>
      </c>
      <c r="U537">
        <f t="shared" si="70"/>
        <v>1.6001825154010173E-3</v>
      </c>
    </row>
    <row r="538" spans="10:21" x14ac:dyDescent="0.35">
      <c r="J538">
        <f t="shared" si="71"/>
        <v>535</v>
      </c>
      <c r="K538">
        <f>demanda!D536</f>
        <v>0</v>
      </c>
      <c r="L538">
        <f>demanda!I536</f>
        <v>15</v>
      </c>
      <c r="M538">
        <v>14.416809279416043</v>
      </c>
      <c r="N538">
        <f t="shared" si="64"/>
        <v>0.58319072058395705</v>
      </c>
      <c r="O538">
        <v>7.4087557083441532E-4</v>
      </c>
      <c r="P538">
        <f t="shared" si="65"/>
        <v>5.8760813658909554E-2</v>
      </c>
      <c r="Q538">
        <f t="shared" si="66"/>
        <v>98.553306243487526</v>
      </c>
      <c r="R538">
        <f t="shared" si="67"/>
        <v>5.8767327956256402E-2</v>
      </c>
      <c r="S538">
        <f t="shared" si="68"/>
        <v>0.95314355069247325</v>
      </c>
      <c r="T538">
        <f t="shared" si="69"/>
        <v>1.2809572488725558E-6</v>
      </c>
      <c r="U538">
        <f t="shared" si="70"/>
        <v>1.6001825154010173E-3</v>
      </c>
    </row>
    <row r="539" spans="10:21" x14ac:dyDescent="0.35">
      <c r="J539">
        <f t="shared" si="71"/>
        <v>536</v>
      </c>
      <c r="K539">
        <f>demanda!D537</f>
        <v>0</v>
      </c>
      <c r="L539">
        <f>demanda!I537</f>
        <v>15</v>
      </c>
      <c r="M539">
        <v>14.416809279416043</v>
      </c>
      <c r="N539">
        <f t="shared" si="64"/>
        <v>0.58319072058395705</v>
      </c>
      <c r="O539">
        <v>7.4087557083441532E-4</v>
      </c>
      <c r="P539">
        <f t="shared" si="65"/>
        <v>5.8760813658909554E-2</v>
      </c>
      <c r="Q539">
        <f t="shared" si="66"/>
        <v>98.553306243487526</v>
      </c>
      <c r="R539">
        <f t="shared" si="67"/>
        <v>5.8767327956256402E-2</v>
      </c>
      <c r="S539">
        <f t="shared" si="68"/>
        <v>0.95314355069247325</v>
      </c>
      <c r="T539">
        <f t="shared" si="69"/>
        <v>1.2809572488725558E-6</v>
      </c>
      <c r="U539">
        <f t="shared" si="70"/>
        <v>1.6001825154010173E-3</v>
      </c>
    </row>
    <row r="540" spans="10:21" x14ac:dyDescent="0.35">
      <c r="J540">
        <f t="shared" si="71"/>
        <v>537</v>
      </c>
      <c r="K540">
        <f>demanda!D538</f>
        <v>0</v>
      </c>
      <c r="L540">
        <f>demanda!I538</f>
        <v>15</v>
      </c>
      <c r="M540">
        <v>14.416809279416043</v>
      </c>
      <c r="N540">
        <f t="shared" si="64"/>
        <v>0.58319072058395705</v>
      </c>
      <c r="O540">
        <v>7.4087557083441532E-4</v>
      </c>
      <c r="P540">
        <f t="shared" si="65"/>
        <v>5.8760813658909554E-2</v>
      </c>
      <c r="Q540">
        <f t="shared" si="66"/>
        <v>98.553306243487526</v>
      </c>
      <c r="R540">
        <f t="shared" si="67"/>
        <v>5.8767327956256402E-2</v>
      </c>
      <c r="S540">
        <f t="shared" si="68"/>
        <v>0.95314355069247325</v>
      </c>
      <c r="T540">
        <f t="shared" si="69"/>
        <v>1.2809572488725558E-6</v>
      </c>
      <c r="U540">
        <f t="shared" si="70"/>
        <v>1.6001825154010173E-3</v>
      </c>
    </row>
    <row r="541" spans="10:21" x14ac:dyDescent="0.35">
      <c r="J541">
        <f t="shared" si="71"/>
        <v>538</v>
      </c>
      <c r="K541">
        <f>demanda!D539</f>
        <v>0</v>
      </c>
      <c r="L541">
        <f>demanda!I539</f>
        <v>15</v>
      </c>
      <c r="M541">
        <v>14.416809279416043</v>
      </c>
      <c r="N541">
        <f t="shared" si="64"/>
        <v>0.58319072058395705</v>
      </c>
      <c r="O541">
        <v>7.4087557083441532E-4</v>
      </c>
      <c r="P541">
        <f t="shared" si="65"/>
        <v>5.8760813658909554E-2</v>
      </c>
      <c r="Q541">
        <f t="shared" si="66"/>
        <v>98.553306243487526</v>
      </c>
      <c r="R541">
        <f t="shared" si="67"/>
        <v>5.8767327956256402E-2</v>
      </c>
      <c r="S541">
        <f t="shared" si="68"/>
        <v>0.95314355069247325</v>
      </c>
      <c r="T541">
        <f t="shared" si="69"/>
        <v>1.2809572488725558E-6</v>
      </c>
      <c r="U541">
        <f t="shared" si="70"/>
        <v>1.6001825154010173E-3</v>
      </c>
    </row>
    <row r="542" spans="10:21" x14ac:dyDescent="0.35">
      <c r="J542">
        <f t="shared" si="71"/>
        <v>539</v>
      </c>
      <c r="K542">
        <f>demanda!D540</f>
        <v>0</v>
      </c>
      <c r="L542">
        <f>demanda!I540</f>
        <v>15</v>
      </c>
      <c r="M542">
        <v>14.416809279416043</v>
      </c>
      <c r="N542">
        <f t="shared" si="64"/>
        <v>0.58319072058395705</v>
      </c>
      <c r="O542">
        <v>7.4087557083441532E-4</v>
      </c>
      <c r="P542">
        <f t="shared" si="65"/>
        <v>5.8760813658909554E-2</v>
      </c>
      <c r="Q542">
        <f t="shared" si="66"/>
        <v>98.553306243487526</v>
      </c>
      <c r="R542">
        <f t="shared" si="67"/>
        <v>5.8767327956256402E-2</v>
      </c>
      <c r="S542">
        <f t="shared" si="68"/>
        <v>0.95314355069247325</v>
      </c>
      <c r="T542">
        <f t="shared" si="69"/>
        <v>1.2809572488725558E-6</v>
      </c>
      <c r="U542">
        <f t="shared" si="70"/>
        <v>1.6001825154010173E-3</v>
      </c>
    </row>
    <row r="543" spans="10:21" x14ac:dyDescent="0.35">
      <c r="J543">
        <f t="shared" si="71"/>
        <v>540</v>
      </c>
      <c r="K543">
        <f>demanda!D541</f>
        <v>0</v>
      </c>
      <c r="L543">
        <f>demanda!I541</f>
        <v>15</v>
      </c>
      <c r="M543">
        <v>14.416809279416043</v>
      </c>
      <c r="N543">
        <f t="shared" si="64"/>
        <v>0.58319072058395705</v>
      </c>
      <c r="O543">
        <v>7.4087557083441532E-4</v>
      </c>
      <c r="P543">
        <f t="shared" si="65"/>
        <v>5.8760813658909554E-2</v>
      </c>
      <c r="Q543">
        <f t="shared" si="66"/>
        <v>98.553306243487526</v>
      </c>
      <c r="R543">
        <f t="shared" si="67"/>
        <v>5.8767327956256402E-2</v>
      </c>
      <c r="S543">
        <f t="shared" si="68"/>
        <v>0.95314355069247325</v>
      </c>
      <c r="T543">
        <f t="shared" si="69"/>
        <v>1.2809572488725558E-6</v>
      </c>
      <c r="U543">
        <f t="shared" si="70"/>
        <v>1.6001825154010173E-3</v>
      </c>
    </row>
    <row r="544" spans="10:21" x14ac:dyDescent="0.35">
      <c r="J544">
        <f t="shared" si="71"/>
        <v>541</v>
      </c>
      <c r="K544">
        <f>demanda!D542</f>
        <v>0</v>
      </c>
      <c r="L544">
        <f>demanda!I542</f>
        <v>15</v>
      </c>
      <c r="M544">
        <v>14.416809279416043</v>
      </c>
      <c r="N544">
        <f t="shared" si="64"/>
        <v>0.58319072058395705</v>
      </c>
      <c r="O544">
        <v>7.4087557083441532E-4</v>
      </c>
      <c r="P544">
        <f t="shared" si="65"/>
        <v>5.8760813658909554E-2</v>
      </c>
      <c r="Q544">
        <f t="shared" si="66"/>
        <v>98.553306243487526</v>
      </c>
      <c r="R544">
        <f t="shared" si="67"/>
        <v>5.8767327956256402E-2</v>
      </c>
      <c r="S544">
        <f t="shared" si="68"/>
        <v>0.95314355069247325</v>
      </c>
      <c r="T544">
        <f t="shared" si="69"/>
        <v>1.2809572488725558E-6</v>
      </c>
      <c r="U544">
        <f t="shared" si="70"/>
        <v>1.6001825154010173E-3</v>
      </c>
    </row>
    <row r="545" spans="10:21" x14ac:dyDescent="0.35">
      <c r="J545">
        <f t="shared" si="71"/>
        <v>542</v>
      </c>
      <c r="K545">
        <f>demanda!D543</f>
        <v>0</v>
      </c>
      <c r="L545">
        <f>demanda!I543</f>
        <v>15</v>
      </c>
      <c r="M545">
        <v>14.416809279416043</v>
      </c>
      <c r="N545">
        <f t="shared" si="64"/>
        <v>0.58319072058395705</v>
      </c>
      <c r="O545">
        <v>7.4087557083441532E-4</v>
      </c>
      <c r="P545">
        <f t="shared" si="65"/>
        <v>5.8760813658909554E-2</v>
      </c>
      <c r="Q545">
        <f t="shared" si="66"/>
        <v>98.553306243487526</v>
      </c>
      <c r="R545">
        <f t="shared" si="67"/>
        <v>5.8767327956256402E-2</v>
      </c>
      <c r="S545">
        <f t="shared" si="68"/>
        <v>0.95314355069247325</v>
      </c>
      <c r="T545">
        <f t="shared" si="69"/>
        <v>1.2809572488725558E-6</v>
      </c>
      <c r="U545">
        <f t="shared" si="70"/>
        <v>1.6001825154010173E-3</v>
      </c>
    </row>
    <row r="546" spans="10:21" x14ac:dyDescent="0.35">
      <c r="J546">
        <f t="shared" si="71"/>
        <v>543</v>
      </c>
      <c r="K546">
        <f>demanda!D544</f>
        <v>0</v>
      </c>
      <c r="L546">
        <f>demanda!I544</f>
        <v>15</v>
      </c>
      <c r="M546">
        <v>14.416809279416043</v>
      </c>
      <c r="N546">
        <f t="shared" si="64"/>
        <v>0.58319072058395705</v>
      </c>
      <c r="O546">
        <v>7.4087557083441532E-4</v>
      </c>
      <c r="P546">
        <f t="shared" si="65"/>
        <v>5.8760813658909554E-2</v>
      </c>
      <c r="Q546">
        <f t="shared" si="66"/>
        <v>98.553306243487526</v>
      </c>
      <c r="R546">
        <f t="shared" si="67"/>
        <v>5.8767327956256402E-2</v>
      </c>
      <c r="S546">
        <f t="shared" si="68"/>
        <v>0.95314355069247325</v>
      </c>
      <c r="T546">
        <f t="shared" si="69"/>
        <v>1.2809572488725558E-6</v>
      </c>
      <c r="U546">
        <f t="shared" si="70"/>
        <v>1.6001825154010173E-3</v>
      </c>
    </row>
    <row r="547" spans="10:21" x14ac:dyDescent="0.35">
      <c r="J547">
        <f t="shared" si="71"/>
        <v>544</v>
      </c>
      <c r="K547">
        <f>demanda!D545</f>
        <v>0</v>
      </c>
      <c r="L547">
        <f>demanda!I545</f>
        <v>15</v>
      </c>
      <c r="M547">
        <v>14.416809279416043</v>
      </c>
      <c r="N547">
        <f t="shared" si="64"/>
        <v>0.58319072058395705</v>
      </c>
      <c r="O547">
        <v>7.4087557083441532E-4</v>
      </c>
      <c r="P547">
        <f t="shared" si="65"/>
        <v>5.8760813658909554E-2</v>
      </c>
      <c r="Q547">
        <f t="shared" si="66"/>
        <v>98.553306243487526</v>
      </c>
      <c r="R547">
        <f t="shared" si="67"/>
        <v>5.8767327956256402E-2</v>
      </c>
      <c r="S547">
        <f t="shared" si="68"/>
        <v>0.95314355069247325</v>
      </c>
      <c r="T547">
        <f t="shared" si="69"/>
        <v>1.2809572488725558E-6</v>
      </c>
      <c r="U547">
        <f t="shared" si="70"/>
        <v>1.6001825154010173E-3</v>
      </c>
    </row>
    <row r="548" spans="10:21" x14ac:dyDescent="0.35">
      <c r="J548">
        <f t="shared" si="71"/>
        <v>545</v>
      </c>
      <c r="K548">
        <f>demanda!D546</f>
        <v>0</v>
      </c>
      <c r="L548">
        <f>demanda!I546</f>
        <v>5</v>
      </c>
      <c r="M548">
        <v>14.416809279416043</v>
      </c>
      <c r="N548">
        <f t="shared" si="64"/>
        <v>-9.416809279416043</v>
      </c>
      <c r="O548">
        <v>7.4087557083441532E-4</v>
      </c>
      <c r="P548">
        <f t="shared" si="65"/>
        <v>-0.94881375131481849</v>
      </c>
      <c r="Q548">
        <f t="shared" si="66"/>
        <v>98.507215690706701</v>
      </c>
      <c r="R548">
        <f t="shared" si="67"/>
        <v>-0.94914090693055775</v>
      </c>
      <c r="S548">
        <f t="shared" si="68"/>
        <v>0.34266846368408377</v>
      </c>
      <c r="T548">
        <f t="shared" si="69"/>
        <v>3.339803955874275E-4</v>
      </c>
      <c r="U548">
        <f t="shared" si="70"/>
        <v>-2.5844269881602652E-2</v>
      </c>
    </row>
    <row r="549" spans="10:21" x14ac:dyDescent="0.35">
      <c r="J549">
        <f t="shared" si="71"/>
        <v>546</v>
      </c>
      <c r="K549">
        <f>demanda!D547</f>
        <v>4</v>
      </c>
      <c r="L549">
        <f>demanda!I547</f>
        <v>3</v>
      </c>
      <c r="M549">
        <v>3.8942745198728588</v>
      </c>
      <c r="N549">
        <f t="shared" si="64"/>
        <v>-0.89427451987285878</v>
      </c>
      <c r="O549">
        <v>2.4466175697261316E-3</v>
      </c>
      <c r="P549">
        <f t="shared" si="65"/>
        <v>-9.0104826032798527E-2</v>
      </c>
      <c r="Q549">
        <f t="shared" si="66"/>
        <v>98.553065719630368</v>
      </c>
      <c r="R549">
        <f t="shared" si="67"/>
        <v>-9.0191937130002245E-2</v>
      </c>
      <c r="S549">
        <f t="shared" si="68"/>
        <v>0.92814410376796586</v>
      </c>
      <c r="T549">
        <f t="shared" si="69"/>
        <v>9.9806748742546123E-6</v>
      </c>
      <c r="U549">
        <f t="shared" si="70"/>
        <v>-4.4666578568412878E-3</v>
      </c>
    </row>
    <row r="550" spans="10:21" x14ac:dyDescent="0.35">
      <c r="J550">
        <f t="shared" si="71"/>
        <v>547</v>
      </c>
      <c r="K550">
        <f>demanda!D548</f>
        <v>3</v>
      </c>
      <c r="L550">
        <f>demanda!I548</f>
        <v>3</v>
      </c>
      <c r="M550">
        <v>6.5249082097586548</v>
      </c>
      <c r="N550">
        <f t="shared" si="64"/>
        <v>-3.5249082097586548</v>
      </c>
      <c r="O550">
        <v>1.3734589687128761E-3</v>
      </c>
      <c r="P550">
        <f t="shared" si="65"/>
        <v>-0.35516078560198994</v>
      </c>
      <c r="Q550">
        <f t="shared" si="66"/>
        <v>98.546996700749531</v>
      </c>
      <c r="R550">
        <f t="shared" si="67"/>
        <v>-0.35532401713098288</v>
      </c>
      <c r="S550">
        <f t="shared" si="68"/>
        <v>0.72238591463660118</v>
      </c>
      <c r="T550">
        <f t="shared" si="69"/>
        <v>8.6861935283639592E-5</v>
      </c>
      <c r="U550">
        <f t="shared" si="70"/>
        <v>-1.3177434192717408E-2</v>
      </c>
    </row>
    <row r="551" spans="10:21" x14ac:dyDescent="0.35">
      <c r="J551">
        <f t="shared" si="71"/>
        <v>548</v>
      </c>
      <c r="K551">
        <f>demanda!D549</f>
        <v>4</v>
      </c>
      <c r="L551">
        <f>demanda!I549</f>
        <v>2</v>
      </c>
      <c r="M551">
        <v>3.8942745198728588</v>
      </c>
      <c r="N551">
        <f t="shared" si="64"/>
        <v>-1.8942745198728588</v>
      </c>
      <c r="O551">
        <v>2.4466175697261316E-3</v>
      </c>
      <c r="P551">
        <f t="shared" si="65"/>
        <v>-0.19086228253017132</v>
      </c>
      <c r="Q551">
        <f t="shared" si="66"/>
        <v>98.551608270054842</v>
      </c>
      <c r="R551">
        <f t="shared" si="67"/>
        <v>-0.19104821608300357</v>
      </c>
      <c r="S551">
        <f t="shared" si="68"/>
        <v>0.84850802764464628</v>
      </c>
      <c r="T551">
        <f t="shared" si="69"/>
        <v>4.4782056131641625E-5</v>
      </c>
      <c r="U551">
        <f t="shared" si="70"/>
        <v>-9.4614556750527434E-3</v>
      </c>
    </row>
    <row r="552" spans="10:21" x14ac:dyDescent="0.35">
      <c r="J552">
        <f t="shared" si="71"/>
        <v>549</v>
      </c>
      <c r="K552">
        <f>demanda!D550</f>
        <v>0</v>
      </c>
      <c r="L552">
        <f>demanda!I550</f>
        <v>17</v>
      </c>
      <c r="M552">
        <v>14.416809279416043</v>
      </c>
      <c r="N552">
        <f t="shared" si="64"/>
        <v>2.583190720583957</v>
      </c>
      <c r="O552">
        <v>7.4087557083441532E-4</v>
      </c>
      <c r="P552">
        <f t="shared" si="65"/>
        <v>0.26027572665365517</v>
      </c>
      <c r="Q552">
        <f t="shared" si="66"/>
        <v>98.550002042157871</v>
      </c>
      <c r="R552">
        <f t="shared" si="67"/>
        <v>0.26030894487816103</v>
      </c>
      <c r="S552">
        <f t="shared" si="68"/>
        <v>0.79465340036911658</v>
      </c>
      <c r="T552">
        <f t="shared" si="69"/>
        <v>2.5131960550094309E-5</v>
      </c>
      <c r="U552">
        <f t="shared" si="70"/>
        <v>7.0879830116927275E-3</v>
      </c>
    </row>
    <row r="553" spans="10:21" x14ac:dyDescent="0.35">
      <c r="J553">
        <f t="shared" si="71"/>
        <v>550</v>
      </c>
      <c r="K553">
        <f>demanda!D551</f>
        <v>2</v>
      </c>
      <c r="L553">
        <f>demanda!I551</f>
        <v>2</v>
      </c>
      <c r="M553">
        <v>9.1555418996444509</v>
      </c>
      <c r="N553">
        <f t="shared" si="64"/>
        <v>-7.1555418996444509</v>
      </c>
      <c r="O553">
        <v>7.3144910189317154E-4</v>
      </c>
      <c r="P553">
        <f t="shared" si="65"/>
        <v>-0.72097420166855408</v>
      </c>
      <c r="Q553">
        <f t="shared" si="66"/>
        <v>98.526768759022602</v>
      </c>
      <c r="R553">
        <f t="shared" si="67"/>
        <v>-0.72114782718324122</v>
      </c>
      <c r="S553">
        <f t="shared" si="68"/>
        <v>0.47090641241117204</v>
      </c>
      <c r="T553">
        <f t="shared" si="69"/>
        <v>1.9038342084795563E-4</v>
      </c>
      <c r="U553">
        <f t="shared" si="70"/>
        <v>-1.9510807546913981E-2</v>
      </c>
    </row>
    <row r="554" spans="10:21" x14ac:dyDescent="0.35">
      <c r="J554">
        <f t="shared" si="71"/>
        <v>551</v>
      </c>
      <c r="K554">
        <f>demanda!D552</f>
        <v>1</v>
      </c>
      <c r="L554">
        <f>demanda!I552</f>
        <v>3</v>
      </c>
      <c r="M554">
        <v>11.786175589530247</v>
      </c>
      <c r="N554">
        <f t="shared" si="64"/>
        <v>-8.7861755895302469</v>
      </c>
      <c r="O554">
        <v>5.2058796926701797E-4</v>
      </c>
      <c r="P554">
        <f t="shared" si="65"/>
        <v>-0.88527270474037267</v>
      </c>
      <c r="Q554">
        <f t="shared" si="66"/>
        <v>98.513214102399758</v>
      </c>
      <c r="R554">
        <f t="shared" si="67"/>
        <v>-0.88545339538896362</v>
      </c>
      <c r="S554">
        <f t="shared" si="68"/>
        <v>0.37602308055069167</v>
      </c>
      <c r="T554">
        <f t="shared" si="69"/>
        <v>2.0420697614382047E-4</v>
      </c>
      <c r="U554">
        <f t="shared" si="70"/>
        <v>-2.0208116875988336E-2</v>
      </c>
    </row>
    <row r="555" spans="10:21" x14ac:dyDescent="0.35">
      <c r="J555">
        <f t="shared" si="71"/>
        <v>552</v>
      </c>
      <c r="K555">
        <f>demanda!D553</f>
        <v>2</v>
      </c>
      <c r="L555">
        <f>demanda!I553</f>
        <v>4</v>
      </c>
      <c r="M555">
        <v>9.1555418996444509</v>
      </c>
      <c r="N555">
        <f t="shared" si="64"/>
        <v>-5.1555418996444509</v>
      </c>
      <c r="O555">
        <v>7.3144910189317154E-4</v>
      </c>
      <c r="P555">
        <f t="shared" si="65"/>
        <v>-0.51945928867380853</v>
      </c>
      <c r="Q555">
        <f t="shared" si="66"/>
        <v>98.539615573748293</v>
      </c>
      <c r="R555">
        <f t="shared" si="67"/>
        <v>-0.51955051447259837</v>
      </c>
      <c r="S555">
        <f t="shared" si="68"/>
        <v>0.60343681513546954</v>
      </c>
      <c r="T555">
        <f t="shared" si="69"/>
        <v>9.8830890695332879E-5</v>
      </c>
      <c r="U555">
        <f t="shared" si="70"/>
        <v>-1.4056549457229766E-2</v>
      </c>
    </row>
    <row r="556" spans="10:21" x14ac:dyDescent="0.35">
      <c r="J556">
        <f t="shared" si="71"/>
        <v>553</v>
      </c>
      <c r="K556">
        <f>demanda!D554</f>
        <v>0</v>
      </c>
      <c r="L556">
        <f>demanda!I554</f>
        <v>11</v>
      </c>
      <c r="M556">
        <v>14.416809279416043</v>
      </c>
      <c r="N556">
        <f t="shared" si="64"/>
        <v>-3.416809279416043</v>
      </c>
      <c r="O556">
        <v>7.4087557083441532E-4</v>
      </c>
      <c r="P556">
        <f t="shared" si="65"/>
        <v>-0.34426901233058166</v>
      </c>
      <c r="Q556">
        <f t="shared" si="66"/>
        <v>98.547392334261005</v>
      </c>
      <c r="R556">
        <f t="shared" si="67"/>
        <v>-0.34431750934619676</v>
      </c>
      <c r="S556">
        <f t="shared" si="68"/>
        <v>0.73064524437297085</v>
      </c>
      <c r="T556">
        <f t="shared" si="69"/>
        <v>4.3969841615361785E-5</v>
      </c>
      <c r="U556">
        <f t="shared" si="70"/>
        <v>-9.3754621379472432E-3</v>
      </c>
    </row>
    <row r="557" spans="10:21" x14ac:dyDescent="0.35">
      <c r="J557">
        <f t="shared" si="71"/>
        <v>554</v>
      </c>
      <c r="K557">
        <f>demanda!D555</f>
        <v>3</v>
      </c>
      <c r="L557">
        <f>demanda!I555</f>
        <v>11</v>
      </c>
      <c r="M557">
        <v>6.5249082097586548</v>
      </c>
      <c r="N557">
        <f t="shared" si="64"/>
        <v>4.4750917902413452</v>
      </c>
      <c r="O557">
        <v>1.3734589687128761E-3</v>
      </c>
      <c r="P557">
        <f t="shared" si="65"/>
        <v>0.4508988663769925</v>
      </c>
      <c r="Q557">
        <f t="shared" si="66"/>
        <v>98.543028023320858</v>
      </c>
      <c r="R557">
        <f t="shared" si="67"/>
        <v>0.45111518275893658</v>
      </c>
      <c r="S557">
        <f t="shared" si="68"/>
        <v>0.65195750576320555</v>
      </c>
      <c r="T557">
        <f t="shared" si="69"/>
        <v>1.4000313870442385E-4</v>
      </c>
      <c r="U557">
        <f t="shared" si="70"/>
        <v>1.6729915084659874E-2</v>
      </c>
    </row>
    <row r="558" spans="10:21" x14ac:dyDescent="0.35">
      <c r="J558">
        <f t="shared" si="71"/>
        <v>555</v>
      </c>
      <c r="K558">
        <f>demanda!D556</f>
        <v>1</v>
      </c>
      <c r="L558">
        <f>demanda!I556</f>
        <v>14</v>
      </c>
      <c r="M558">
        <v>11.786175589530247</v>
      </c>
      <c r="N558">
        <f t="shared" si="64"/>
        <v>2.2138244104697531</v>
      </c>
      <c r="O558">
        <v>5.2058796926701797E-4</v>
      </c>
      <c r="P558">
        <f t="shared" si="65"/>
        <v>0.22305931673072815</v>
      </c>
      <c r="Q558">
        <f t="shared" si="66"/>
        <v>98.550927094542288</v>
      </c>
      <c r="R558">
        <f t="shared" si="67"/>
        <v>0.2230621523462217</v>
      </c>
      <c r="S558">
        <f t="shared" si="68"/>
        <v>0.82351087455410243</v>
      </c>
      <c r="T558">
        <f t="shared" si="69"/>
        <v>1.2964541478310422E-5</v>
      </c>
      <c r="U558">
        <f t="shared" si="70"/>
        <v>5.0907998870362093E-3</v>
      </c>
    </row>
    <row r="559" spans="10:21" x14ac:dyDescent="0.35">
      <c r="J559">
        <f t="shared" si="71"/>
        <v>556</v>
      </c>
      <c r="K559">
        <f>demanda!D557</f>
        <v>0</v>
      </c>
      <c r="L559">
        <f>demanda!I557</f>
        <v>25</v>
      </c>
      <c r="M559">
        <v>14.416809279416043</v>
      </c>
      <c r="N559">
        <f t="shared" si="64"/>
        <v>10.583190720583957</v>
      </c>
      <c r="O559">
        <v>7.4087557083441532E-4</v>
      </c>
      <c r="P559">
        <f t="shared" si="65"/>
        <v>1.0663353786326375</v>
      </c>
      <c r="Q559">
        <f t="shared" si="66"/>
        <v>98.49504419721994</v>
      </c>
      <c r="R559">
        <f t="shared" si="67"/>
        <v>1.0667689629874253</v>
      </c>
      <c r="S559">
        <f t="shared" si="68"/>
        <v>0.28621036416391138</v>
      </c>
      <c r="T559">
        <f t="shared" si="69"/>
        <v>4.2183894365142377E-4</v>
      </c>
      <c r="U559">
        <f t="shared" si="70"/>
        <v>2.9047178115969151E-2</v>
      </c>
    </row>
    <row r="560" spans="10:21" x14ac:dyDescent="0.35">
      <c r="J560">
        <f t="shared" si="71"/>
        <v>557</v>
      </c>
      <c r="K560">
        <f>demanda!D558</f>
        <v>3</v>
      </c>
      <c r="L560">
        <f>demanda!I558</f>
        <v>6</v>
      </c>
      <c r="M560">
        <v>6.5249082097586548</v>
      </c>
      <c r="N560">
        <f t="shared" si="64"/>
        <v>-0.52490820975865482</v>
      </c>
      <c r="O560">
        <v>1.3734589687128761E-3</v>
      </c>
      <c r="P560">
        <f t="shared" si="65"/>
        <v>-5.2888416109871501E-2</v>
      </c>
      <c r="Q560">
        <f t="shared" si="66"/>
        <v>98.553339849330712</v>
      </c>
      <c r="R560">
        <f t="shared" si="67"/>
        <v>-5.2911020743637571E-2</v>
      </c>
      <c r="S560">
        <f t="shared" si="68"/>
        <v>0.95780831059206073</v>
      </c>
      <c r="T560">
        <f t="shared" si="69"/>
        <v>1.9261965799640987E-6</v>
      </c>
      <c r="U560">
        <f t="shared" si="70"/>
        <v>-1.9622413918104777E-3</v>
      </c>
    </row>
    <row r="561" spans="10:21" x14ac:dyDescent="0.35">
      <c r="J561">
        <f t="shared" si="71"/>
        <v>558</v>
      </c>
      <c r="K561">
        <f>demanda!D559</f>
        <v>3</v>
      </c>
      <c r="L561">
        <f>demanda!I559</f>
        <v>4</v>
      </c>
      <c r="M561">
        <v>6.5249082097586548</v>
      </c>
      <c r="N561">
        <f t="shared" si="64"/>
        <v>-2.5249082097586548</v>
      </c>
      <c r="O561">
        <v>1.3734589687128761E-3</v>
      </c>
      <c r="P561">
        <f t="shared" si="65"/>
        <v>-0.2544033291046171</v>
      </c>
      <c r="Q561">
        <f t="shared" si="66"/>
        <v>98.550155270625524</v>
      </c>
      <c r="R561">
        <f t="shared" si="67"/>
        <v>-0.25451617384299874</v>
      </c>
      <c r="S561">
        <f t="shared" si="68"/>
        <v>0.79912408038987892</v>
      </c>
      <c r="T561">
        <f t="shared" si="69"/>
        <v>4.4568197050885148E-5</v>
      </c>
      <c r="U561">
        <f t="shared" si="70"/>
        <v>-9.4389063786870474E-3</v>
      </c>
    </row>
    <row r="562" spans="10:21" x14ac:dyDescent="0.35">
      <c r="J562">
        <f t="shared" si="71"/>
        <v>559</v>
      </c>
      <c r="K562">
        <f>demanda!D560</f>
        <v>4</v>
      </c>
      <c r="L562">
        <f>demanda!I560</f>
        <v>3</v>
      </c>
      <c r="M562">
        <v>3.8942745198728588</v>
      </c>
      <c r="N562">
        <f t="shared" si="64"/>
        <v>-0.89427451987285878</v>
      </c>
      <c r="O562">
        <v>2.4466175697261316E-3</v>
      </c>
      <c r="P562">
        <f t="shared" si="65"/>
        <v>-9.0104826032798527E-2</v>
      </c>
      <c r="Q562">
        <f t="shared" si="66"/>
        <v>98.553065719630368</v>
      </c>
      <c r="R562">
        <f t="shared" si="67"/>
        <v>-9.0191937130002245E-2</v>
      </c>
      <c r="S562">
        <f t="shared" si="68"/>
        <v>0.92814410376796586</v>
      </c>
      <c r="T562">
        <f t="shared" si="69"/>
        <v>9.9806748742546123E-6</v>
      </c>
      <c r="U562">
        <f t="shared" si="70"/>
        <v>-4.4666578568412878E-3</v>
      </c>
    </row>
    <row r="563" spans="10:21" x14ac:dyDescent="0.35">
      <c r="J563">
        <f t="shared" si="71"/>
        <v>560</v>
      </c>
      <c r="K563">
        <f>demanda!D561</f>
        <v>2</v>
      </c>
      <c r="L563">
        <f>demanda!I561</f>
        <v>3</v>
      </c>
      <c r="M563">
        <v>9.1555418996444509</v>
      </c>
      <c r="N563">
        <f t="shared" si="64"/>
        <v>-6.1555418996444509</v>
      </c>
      <c r="O563">
        <v>7.3144910189317154E-4</v>
      </c>
      <c r="P563">
        <f t="shared" si="65"/>
        <v>-0.62021674517118131</v>
      </c>
      <c r="Q563">
        <f t="shared" si="66"/>
        <v>98.533713924458709</v>
      </c>
      <c r="R563">
        <f t="shared" si="67"/>
        <v>-0.62034424251421916</v>
      </c>
      <c r="S563">
        <f t="shared" si="68"/>
        <v>0.53510483257501296</v>
      </c>
      <c r="T563">
        <f t="shared" si="69"/>
        <v>1.4088885884323287E-4</v>
      </c>
      <c r="U563">
        <f t="shared" si="70"/>
        <v>-1.6783545165498539E-2</v>
      </c>
    </row>
    <row r="564" spans="10:21" x14ac:dyDescent="0.35">
      <c r="J564">
        <f t="shared" si="71"/>
        <v>561</v>
      </c>
      <c r="K564">
        <f>demanda!D562</f>
        <v>0</v>
      </c>
      <c r="L564">
        <f>demanda!I562</f>
        <v>18</v>
      </c>
      <c r="M564">
        <v>14.416809279416043</v>
      </c>
      <c r="N564">
        <f t="shared" si="64"/>
        <v>3.583190720583957</v>
      </c>
      <c r="O564">
        <v>7.4087557083441532E-4</v>
      </c>
      <c r="P564">
        <f t="shared" si="65"/>
        <v>0.36103318315102795</v>
      </c>
      <c r="Q564">
        <f t="shared" si="66"/>
        <v>98.546784652507341</v>
      </c>
      <c r="R564">
        <f t="shared" si="67"/>
        <v>0.3610851550254302</v>
      </c>
      <c r="S564">
        <f t="shared" si="68"/>
        <v>0.7180755365508017</v>
      </c>
      <c r="T564">
        <f t="shared" si="69"/>
        <v>4.8356323571821784E-5</v>
      </c>
      <c r="U564">
        <f t="shared" si="70"/>
        <v>9.8320303429934326E-3</v>
      </c>
    </row>
    <row r="565" spans="10:21" x14ac:dyDescent="0.35">
      <c r="J565">
        <f t="shared" si="71"/>
        <v>562</v>
      </c>
      <c r="K565">
        <f>demanda!D563</f>
        <v>0</v>
      </c>
      <c r="L565">
        <f>demanda!I563</f>
        <v>4</v>
      </c>
      <c r="M565">
        <v>14.416809279416043</v>
      </c>
      <c r="N565">
        <f t="shared" si="64"/>
        <v>-10.416809279416043</v>
      </c>
      <c r="O565">
        <v>7.4087557083441532E-4</v>
      </c>
      <c r="P565">
        <f t="shared" si="65"/>
        <v>-1.0495712078121913</v>
      </c>
      <c r="Q565">
        <f t="shared" si="66"/>
        <v>98.49686724248096</v>
      </c>
      <c r="R565">
        <f t="shared" si="67"/>
        <v>-1.049988258586362</v>
      </c>
      <c r="S565">
        <f t="shared" si="68"/>
        <v>0.29385572056513598</v>
      </c>
      <c r="T565">
        <f t="shared" si="69"/>
        <v>4.0867949778204384E-4</v>
      </c>
      <c r="U565">
        <f t="shared" si="70"/>
        <v>-2.8590254333443563E-2</v>
      </c>
    </row>
    <row r="566" spans="10:21" x14ac:dyDescent="0.35">
      <c r="J566">
        <f t="shared" si="71"/>
        <v>563</v>
      </c>
      <c r="K566">
        <f>demanda!D564</f>
        <v>3</v>
      </c>
      <c r="L566">
        <f>demanda!I564</f>
        <v>4</v>
      </c>
      <c r="M566">
        <v>6.5249082097586548</v>
      </c>
      <c r="N566">
        <f t="shared" si="64"/>
        <v>-2.5249082097586548</v>
      </c>
      <c r="O566">
        <v>1.3734589687128761E-3</v>
      </c>
      <c r="P566">
        <f t="shared" si="65"/>
        <v>-0.2544033291046171</v>
      </c>
      <c r="Q566">
        <f t="shared" si="66"/>
        <v>98.550155270625524</v>
      </c>
      <c r="R566">
        <f t="shared" si="67"/>
        <v>-0.25451617384299874</v>
      </c>
      <c r="S566">
        <f t="shared" si="68"/>
        <v>0.79912408038987892</v>
      </c>
      <c r="T566">
        <f t="shared" si="69"/>
        <v>4.4568197050885148E-5</v>
      </c>
      <c r="U566">
        <f t="shared" si="70"/>
        <v>-9.4389063786870474E-3</v>
      </c>
    </row>
    <row r="567" spans="10:21" x14ac:dyDescent="0.35">
      <c r="J567">
        <f t="shared" si="71"/>
        <v>564</v>
      </c>
      <c r="K567">
        <f>demanda!D565</f>
        <v>5</v>
      </c>
      <c r="L567">
        <f>demanda!I565</f>
        <v>2</v>
      </c>
      <c r="M567">
        <v>1.2636408299870627</v>
      </c>
      <c r="N567">
        <f t="shared" si="64"/>
        <v>0.73635917001293727</v>
      </c>
      <c r="O567">
        <v>3.9509249049329382E-3</v>
      </c>
      <c r="P567">
        <f t="shared" si="65"/>
        <v>7.4193677039020078E-2</v>
      </c>
      <c r="Q567">
        <f t="shared" si="66"/>
        <v>98.553199876422468</v>
      </c>
      <c r="R567">
        <f t="shared" si="67"/>
        <v>7.4321414457959423E-2</v>
      </c>
      <c r="S567">
        <f t="shared" si="68"/>
        <v>0.94076238398569867</v>
      </c>
      <c r="T567">
        <f t="shared" si="69"/>
        <v>1.0960770814463366E-5</v>
      </c>
      <c r="U567">
        <f t="shared" si="70"/>
        <v>4.680831262592092E-3</v>
      </c>
    </row>
    <row r="568" spans="10:21" x14ac:dyDescent="0.35">
      <c r="J568">
        <f t="shared" si="71"/>
        <v>565</v>
      </c>
      <c r="K568">
        <f>demanda!D566</f>
        <v>1</v>
      </c>
      <c r="L568">
        <f>demanda!I566</f>
        <v>9</v>
      </c>
      <c r="M568">
        <v>11.786175589530247</v>
      </c>
      <c r="N568">
        <f t="shared" si="64"/>
        <v>-2.7861755895302469</v>
      </c>
      <c r="O568">
        <v>5.2058796926701797E-4</v>
      </c>
      <c r="P568">
        <f t="shared" si="65"/>
        <v>-0.2807279657561359</v>
      </c>
      <c r="Q568">
        <f t="shared" si="66"/>
        <v>98.549434265310296</v>
      </c>
      <c r="R568">
        <f t="shared" si="67"/>
        <v>-0.2807336607336009</v>
      </c>
      <c r="S568">
        <f t="shared" si="68"/>
        <v>0.77894495126310248</v>
      </c>
      <c r="T568">
        <f t="shared" si="69"/>
        <v>2.0534672635962656E-5</v>
      </c>
      <c r="U568">
        <f t="shared" si="70"/>
        <v>-6.4069985576559628E-3</v>
      </c>
    </row>
    <row r="569" spans="10:21" x14ac:dyDescent="0.35">
      <c r="J569">
        <f t="shared" si="71"/>
        <v>566</v>
      </c>
      <c r="K569">
        <f>demanda!D567</f>
        <v>2</v>
      </c>
      <c r="L569">
        <f>demanda!I567</f>
        <v>28</v>
      </c>
      <c r="M569">
        <v>9.1555418996444509</v>
      </c>
      <c r="N569">
        <f t="shared" si="64"/>
        <v>18.844458100355549</v>
      </c>
      <c r="O569">
        <v>7.3144910189317154E-4</v>
      </c>
      <c r="P569">
        <f t="shared" si="65"/>
        <v>1.8987196672631388</v>
      </c>
      <c r="Q569">
        <f t="shared" si="66"/>
        <v>98.368200312742914</v>
      </c>
      <c r="R569">
        <f t="shared" si="67"/>
        <v>1.900707027936708</v>
      </c>
      <c r="S569">
        <f t="shared" si="68"/>
        <v>5.7490106679613996E-2</v>
      </c>
      <c r="T569">
        <f t="shared" si="69"/>
        <v>1.3204178121925788E-3</v>
      </c>
      <c r="U569">
        <f t="shared" si="70"/>
        <v>5.1424032115563685E-2</v>
      </c>
    </row>
    <row r="570" spans="10:21" x14ac:dyDescent="0.35">
      <c r="J570">
        <f t="shared" si="71"/>
        <v>567</v>
      </c>
      <c r="K570">
        <f>demanda!D568</f>
        <v>1</v>
      </c>
      <c r="L570">
        <f>demanda!I568</f>
        <v>10</v>
      </c>
      <c r="M570">
        <v>11.786175589530247</v>
      </c>
      <c r="N570">
        <f t="shared" si="64"/>
        <v>-1.7861755895302469</v>
      </c>
      <c r="O570">
        <v>5.2058796926701797E-4</v>
      </c>
      <c r="P570">
        <f t="shared" si="65"/>
        <v>-0.17997050925876307</v>
      </c>
      <c r="Q570">
        <f t="shared" si="66"/>
        <v>98.551819423146526</v>
      </c>
      <c r="R570">
        <f t="shared" si="67"/>
        <v>-0.17997198233721365</v>
      </c>
      <c r="S570">
        <f t="shared" si="68"/>
        <v>0.85719356553697068</v>
      </c>
      <c r="T570">
        <f t="shared" si="69"/>
        <v>8.4395466396640202E-6</v>
      </c>
      <c r="U570">
        <f t="shared" si="70"/>
        <v>-4.1073814527258093E-3</v>
      </c>
    </row>
    <row r="571" spans="10:21" x14ac:dyDescent="0.35">
      <c r="J571">
        <f t="shared" si="71"/>
        <v>568</v>
      </c>
      <c r="K571">
        <f>demanda!D569</f>
        <v>0</v>
      </c>
      <c r="L571">
        <f>demanda!I569</f>
        <v>9</v>
      </c>
      <c r="M571">
        <v>14.416809279416043</v>
      </c>
      <c r="N571">
        <f t="shared" si="64"/>
        <v>-5.416809279416043</v>
      </c>
      <c r="O571">
        <v>7.4087557083441532E-4</v>
      </c>
      <c r="P571">
        <f t="shared" si="65"/>
        <v>-0.54578392532532727</v>
      </c>
      <c r="Q571">
        <f t="shared" si="66"/>
        <v>98.538174223704843</v>
      </c>
      <c r="R571">
        <f t="shared" si="67"/>
        <v>-0.54588634131956315</v>
      </c>
      <c r="S571">
        <f t="shared" si="68"/>
        <v>0.58520751823074413</v>
      </c>
      <c r="T571">
        <f t="shared" si="69"/>
        <v>1.1050972928307278E-4</v>
      </c>
      <c r="U571">
        <f t="shared" si="70"/>
        <v>-1.4864003676090257E-2</v>
      </c>
    </row>
    <row r="572" spans="10:21" x14ac:dyDescent="0.35">
      <c r="J572">
        <f t="shared" si="71"/>
        <v>569</v>
      </c>
      <c r="K572">
        <f>demanda!D570</f>
        <v>6</v>
      </c>
      <c r="L572">
        <f>demanda!I570</f>
        <v>3</v>
      </c>
      <c r="M572">
        <v>-1.3669928598987333</v>
      </c>
      <c r="N572">
        <f t="shared" si="64"/>
        <v>4.3669928598987333</v>
      </c>
      <c r="O572">
        <v>5.8863809743332956E-3</v>
      </c>
      <c r="P572">
        <f t="shared" si="65"/>
        <v>0.44000709310558428</v>
      </c>
      <c r="Q572">
        <f t="shared" si="66"/>
        <v>98.543481851032595</v>
      </c>
      <c r="R572">
        <f t="shared" si="67"/>
        <v>0.44121525371752685</v>
      </c>
      <c r="S572">
        <f t="shared" si="68"/>
        <v>0.65910687609302177</v>
      </c>
      <c r="T572">
        <f t="shared" si="69"/>
        <v>5.7658810569327667E-4</v>
      </c>
      <c r="U572">
        <f t="shared" si="70"/>
        <v>3.3951322043777717E-2</v>
      </c>
    </row>
    <row r="573" spans="10:21" x14ac:dyDescent="0.35">
      <c r="J573">
        <f t="shared" si="71"/>
        <v>570</v>
      </c>
      <c r="K573">
        <f>demanda!D571</f>
        <v>0</v>
      </c>
      <c r="L573">
        <f>demanda!I571</f>
        <v>19</v>
      </c>
      <c r="M573">
        <v>14.416809279416043</v>
      </c>
      <c r="N573">
        <f t="shared" si="64"/>
        <v>4.583190720583957</v>
      </c>
      <c r="O573">
        <v>7.4087557083441532E-4</v>
      </c>
      <c r="P573">
        <f t="shared" si="65"/>
        <v>0.46179063964840078</v>
      </c>
      <c r="Q573">
        <f t="shared" si="66"/>
        <v>98.542523736866301</v>
      </c>
      <c r="R573">
        <f t="shared" si="67"/>
        <v>0.46186710097403588</v>
      </c>
      <c r="S573">
        <f t="shared" si="68"/>
        <v>0.64422898084639124</v>
      </c>
      <c r="T573">
        <f t="shared" si="69"/>
        <v>7.9113260840960322E-5</v>
      </c>
      <c r="U573">
        <f t="shared" si="70"/>
        <v>1.2576233855106329E-2</v>
      </c>
    </row>
    <row r="574" spans="10:21" x14ac:dyDescent="0.35">
      <c r="J574">
        <f t="shared" si="71"/>
        <v>571</v>
      </c>
      <c r="K574">
        <f>demanda!D572</f>
        <v>0</v>
      </c>
      <c r="L574">
        <f>demanda!I572</f>
        <v>4</v>
      </c>
      <c r="M574">
        <v>14.416809279416043</v>
      </c>
      <c r="N574">
        <f t="shared" si="64"/>
        <v>-10.416809279416043</v>
      </c>
      <c r="O574">
        <v>7.4087557083441532E-4</v>
      </c>
      <c r="P574">
        <f t="shared" si="65"/>
        <v>-1.0495712078121913</v>
      </c>
      <c r="Q574">
        <f t="shared" si="66"/>
        <v>98.49686724248096</v>
      </c>
      <c r="R574">
        <f t="shared" si="67"/>
        <v>-1.049988258586362</v>
      </c>
      <c r="S574">
        <f t="shared" si="68"/>
        <v>0.29385572056513598</v>
      </c>
      <c r="T574">
        <f t="shared" si="69"/>
        <v>4.0867949778204384E-4</v>
      </c>
      <c r="U574">
        <f t="shared" si="70"/>
        <v>-2.8590254333443563E-2</v>
      </c>
    </row>
    <row r="575" spans="10:21" x14ac:dyDescent="0.35">
      <c r="J575">
        <f t="shared" si="71"/>
        <v>572</v>
      </c>
      <c r="K575">
        <f>demanda!D573</f>
        <v>0</v>
      </c>
      <c r="L575">
        <f>demanda!I573</f>
        <v>5</v>
      </c>
      <c r="M575">
        <v>14.416809279416043</v>
      </c>
      <c r="N575">
        <f t="shared" si="64"/>
        <v>-9.416809279416043</v>
      </c>
      <c r="O575">
        <v>7.4087557083441532E-4</v>
      </c>
      <c r="P575">
        <f t="shared" si="65"/>
        <v>-0.94881375131481849</v>
      </c>
      <c r="Q575">
        <f t="shared" si="66"/>
        <v>98.507215690706701</v>
      </c>
      <c r="R575">
        <f t="shared" si="67"/>
        <v>-0.94914090693055775</v>
      </c>
      <c r="S575">
        <f t="shared" si="68"/>
        <v>0.34266846368408377</v>
      </c>
      <c r="T575">
        <f t="shared" si="69"/>
        <v>3.339803955874275E-4</v>
      </c>
      <c r="U575">
        <f t="shared" si="70"/>
        <v>-2.5844269881602652E-2</v>
      </c>
    </row>
    <row r="576" spans="10:21" x14ac:dyDescent="0.35">
      <c r="J576">
        <f t="shared" si="71"/>
        <v>573</v>
      </c>
      <c r="K576">
        <f>demanda!D574</f>
        <v>3</v>
      </c>
      <c r="L576">
        <f>demanda!I574</f>
        <v>3</v>
      </c>
      <c r="M576">
        <v>6.5249082097586548</v>
      </c>
      <c r="N576">
        <f t="shared" si="64"/>
        <v>-3.5249082097586548</v>
      </c>
      <c r="O576">
        <v>1.3734589687128761E-3</v>
      </c>
      <c r="P576">
        <f t="shared" si="65"/>
        <v>-0.35516078560198994</v>
      </c>
      <c r="Q576">
        <f t="shared" si="66"/>
        <v>98.546996700749531</v>
      </c>
      <c r="R576">
        <f t="shared" si="67"/>
        <v>-0.35532401713098288</v>
      </c>
      <c r="S576">
        <f t="shared" si="68"/>
        <v>0.72238591463660118</v>
      </c>
      <c r="T576">
        <f t="shared" si="69"/>
        <v>8.6861935283639592E-5</v>
      </c>
      <c r="U576">
        <f t="shared" si="70"/>
        <v>-1.3177434192717408E-2</v>
      </c>
    </row>
    <row r="577" spans="10:21" x14ac:dyDescent="0.35">
      <c r="J577">
        <f t="shared" si="71"/>
        <v>574</v>
      </c>
      <c r="K577">
        <f>demanda!D575</f>
        <v>3</v>
      </c>
      <c r="L577">
        <f>demanda!I575</f>
        <v>13</v>
      </c>
      <c r="M577">
        <v>6.5249082097586548</v>
      </c>
      <c r="N577">
        <f t="shared" si="64"/>
        <v>6.4750917902413452</v>
      </c>
      <c r="O577">
        <v>1.3734589687128761E-3</v>
      </c>
      <c r="P577">
        <f t="shared" si="65"/>
        <v>0.65241377937173817</v>
      </c>
      <c r="Q577">
        <f t="shared" si="66"/>
        <v>98.531593983807781</v>
      </c>
      <c r="R577">
        <f t="shared" si="67"/>
        <v>0.65276464302727288</v>
      </c>
      <c r="S577">
        <f t="shared" si="68"/>
        <v>0.51398620973079656</v>
      </c>
      <c r="T577">
        <f t="shared" si="69"/>
        <v>2.9310669287491273E-4</v>
      </c>
      <c r="U577">
        <f t="shared" si="70"/>
        <v>2.420822323320097E-2</v>
      </c>
    </row>
    <row r="578" spans="10:21" x14ac:dyDescent="0.35">
      <c r="J578">
        <f t="shared" si="71"/>
        <v>575</v>
      </c>
      <c r="K578">
        <f>demanda!D576</f>
        <v>1</v>
      </c>
      <c r="L578">
        <f>demanda!I576</f>
        <v>4</v>
      </c>
      <c r="M578">
        <v>11.786175589530247</v>
      </c>
      <c r="N578">
        <f t="shared" si="64"/>
        <v>-7.7861755895302469</v>
      </c>
      <c r="O578">
        <v>5.2058796926701797E-4</v>
      </c>
      <c r="P578">
        <f t="shared" si="65"/>
        <v>-0.7845152482429999</v>
      </c>
      <c r="Q578">
        <f t="shared" si="66"/>
        <v>98.52185903620547</v>
      </c>
      <c r="R578">
        <f t="shared" si="67"/>
        <v>-0.784640946599786</v>
      </c>
      <c r="S578">
        <f t="shared" si="68"/>
        <v>0.43276096337473069</v>
      </c>
      <c r="T578">
        <f t="shared" si="69"/>
        <v>1.6036855085321727E-4</v>
      </c>
      <c r="U578">
        <f t="shared" si="70"/>
        <v>-1.7907341071981879E-2</v>
      </c>
    </row>
    <row r="579" spans="10:21" x14ac:dyDescent="0.35">
      <c r="J579">
        <f t="shared" si="71"/>
        <v>576</v>
      </c>
      <c r="K579">
        <f>demanda!D577</f>
        <v>3</v>
      </c>
      <c r="L579">
        <f>demanda!I577</f>
        <v>5</v>
      </c>
      <c r="M579">
        <v>6.5249082097586548</v>
      </c>
      <c r="N579">
        <f t="shared" si="64"/>
        <v>-1.5249082097586548</v>
      </c>
      <c r="O579">
        <v>1.3734589687128761E-3</v>
      </c>
      <c r="P579">
        <f t="shared" si="65"/>
        <v>-0.1536458726072443</v>
      </c>
      <c r="Q579">
        <f t="shared" si="66"/>
        <v>98.552269653485908</v>
      </c>
      <c r="R579">
        <f t="shared" si="67"/>
        <v>-0.15371237580313085</v>
      </c>
      <c r="S579">
        <f t="shared" si="68"/>
        <v>0.8778526883286133</v>
      </c>
      <c r="T579">
        <f t="shared" si="69"/>
        <v>1.625628414965998E-5</v>
      </c>
      <c r="U579">
        <f t="shared" si="70"/>
        <v>-5.7005285854497502E-3</v>
      </c>
    </row>
    <row r="580" spans="10:21" x14ac:dyDescent="0.35">
      <c r="J580">
        <f t="shared" si="71"/>
        <v>577</v>
      </c>
      <c r="K580">
        <f>demanda!D578</f>
        <v>0</v>
      </c>
      <c r="L580">
        <f>demanda!I578</f>
        <v>21</v>
      </c>
      <c r="M580">
        <v>14.416809279416043</v>
      </c>
      <c r="N580">
        <f t="shared" si="64"/>
        <v>6.583190720583957</v>
      </c>
      <c r="O580">
        <v>7.4087557083441532E-4</v>
      </c>
      <c r="P580">
        <f t="shared" si="65"/>
        <v>0.66330555264314639</v>
      </c>
      <c r="Q580">
        <f t="shared" si="66"/>
        <v>98.530871327612786</v>
      </c>
      <c r="R580">
        <f t="shared" si="67"/>
        <v>0.66345460704039183</v>
      </c>
      <c r="S580">
        <f t="shared" si="68"/>
        <v>0.507119133075143</v>
      </c>
      <c r="T580">
        <f t="shared" si="69"/>
        <v>1.6322485812147056E-4</v>
      </c>
      <c r="U580">
        <f t="shared" si="70"/>
        <v>1.8065283872333419E-2</v>
      </c>
    </row>
    <row r="581" spans="10:21" x14ac:dyDescent="0.35">
      <c r="J581">
        <f t="shared" si="71"/>
        <v>578</v>
      </c>
      <c r="K581">
        <f>demanda!D579</f>
        <v>1</v>
      </c>
      <c r="L581">
        <f>demanda!I579</f>
        <v>21</v>
      </c>
      <c r="M581">
        <v>11.786175589530247</v>
      </c>
      <c r="N581">
        <f t="shared" ref="N581:N644" si="72">L581-M581</f>
        <v>9.2138244104697531</v>
      </c>
      <c r="O581">
        <v>5.2058796926701797E-4</v>
      </c>
      <c r="P581">
        <f t="shared" ref="P581:P644" si="73">N581/SQRT($X$6)</f>
        <v>0.92836151221233776</v>
      </c>
      <c r="Q581">
        <f t="shared" ref="Q581:Q644" si="74">($X$6-N581^2/((1-O581)*$X$5))*$X$5/($X$5-1)</f>
        <v>98.509198623680717</v>
      </c>
      <c r="R581">
        <f t="shared" ref="R581:R644" si="75">N581/SQRT(Q581*(1-O581))</f>
        <v>0.92856992242783054</v>
      </c>
      <c r="S581">
        <f t="shared" ref="S581:S644" si="76">_xlfn.T.DIST.2T(ABS(R581),$X$5)</f>
        <v>0.3532287954293104</v>
      </c>
      <c r="T581">
        <f t="shared" ref="T581:T644" si="77">(N581^2/$X$6)*(O581/(1-O581)^2)/($X$7+1)</f>
        <v>2.2456945291772932E-4</v>
      </c>
      <c r="U581">
        <f t="shared" ref="U581:U644" si="78">R581*SQRT(O581/(1-O581))</f>
        <v>2.11921368393489E-2</v>
      </c>
    </row>
    <row r="582" spans="10:21" x14ac:dyDescent="0.35">
      <c r="J582">
        <f t="shared" ref="J582:J645" si="79">J581+1</f>
        <v>579</v>
      </c>
      <c r="K582">
        <f>demanda!D580</f>
        <v>0</v>
      </c>
      <c r="L582">
        <f>demanda!I580</f>
        <v>12</v>
      </c>
      <c r="M582">
        <v>14.416809279416043</v>
      </c>
      <c r="N582">
        <f t="shared" si="72"/>
        <v>-2.416809279416043</v>
      </c>
      <c r="O582">
        <v>7.4087557083441532E-4</v>
      </c>
      <c r="P582">
        <f t="shared" si="73"/>
        <v>-0.24351155583320885</v>
      </c>
      <c r="Q582">
        <f t="shared" si="74"/>
        <v>98.55043610055337</v>
      </c>
      <c r="R582">
        <f t="shared" si="75"/>
        <v>-0.24354209816225414</v>
      </c>
      <c r="S582">
        <f t="shared" si="76"/>
        <v>0.80761150818210881</v>
      </c>
      <c r="T582">
        <f t="shared" si="77"/>
        <v>2.199875915262289E-5</v>
      </c>
      <c r="U582">
        <f t="shared" si="78"/>
        <v>-6.6314365617133417E-3</v>
      </c>
    </row>
    <row r="583" spans="10:21" x14ac:dyDescent="0.35">
      <c r="J583">
        <f t="shared" si="79"/>
        <v>580</v>
      </c>
      <c r="K583">
        <f>demanda!D581</f>
        <v>0</v>
      </c>
      <c r="L583">
        <f>demanda!I581</f>
        <v>41</v>
      </c>
      <c r="M583">
        <v>14.416809279416043</v>
      </c>
      <c r="N583">
        <f t="shared" si="72"/>
        <v>26.583190720583957</v>
      </c>
      <c r="O583">
        <v>7.4087557083441532E-4</v>
      </c>
      <c r="P583">
        <f t="shared" si="73"/>
        <v>2.6784546825906026</v>
      </c>
      <c r="Q583">
        <f t="shared" si="74"/>
        <v>98.184771517171043</v>
      </c>
      <c r="R583">
        <f t="shared" si="75"/>
        <v>2.6837742331335561</v>
      </c>
      <c r="S583">
        <f t="shared" si="76"/>
        <v>7.342184439332931E-3</v>
      </c>
      <c r="T583">
        <f t="shared" si="77"/>
        <v>2.6615071653570068E-3</v>
      </c>
      <c r="U583">
        <f t="shared" si="78"/>
        <v>7.3076805641745915E-2</v>
      </c>
    </row>
    <row r="584" spans="10:21" x14ac:dyDescent="0.35">
      <c r="J584">
        <f t="shared" si="79"/>
        <v>581</v>
      </c>
      <c r="K584">
        <f>demanda!D582</f>
        <v>0</v>
      </c>
      <c r="L584">
        <f>demanda!I582</f>
        <v>28</v>
      </c>
      <c r="M584">
        <v>14.416809279416043</v>
      </c>
      <c r="N584">
        <f t="shared" si="72"/>
        <v>13.583190720583957</v>
      </c>
      <c r="O584">
        <v>7.4087557083441532E-4</v>
      </c>
      <c r="P584">
        <f t="shared" si="73"/>
        <v>1.3686077481247561</v>
      </c>
      <c r="Q584">
        <f t="shared" si="74"/>
        <v>98.457216826525212</v>
      </c>
      <c r="R584">
        <f t="shared" si="75"/>
        <v>1.3694272318804395</v>
      </c>
      <c r="S584">
        <f t="shared" si="76"/>
        <v>0.17102599994876813</v>
      </c>
      <c r="T584">
        <f t="shared" si="77"/>
        <v>6.9489153739670493E-4</v>
      </c>
      <c r="U584">
        <f t="shared" si="78"/>
        <v>3.7288295874201023E-2</v>
      </c>
    </row>
    <row r="585" spans="10:21" x14ac:dyDescent="0.35">
      <c r="J585">
        <f t="shared" si="79"/>
        <v>582</v>
      </c>
      <c r="K585">
        <f>demanda!D583</f>
        <v>0</v>
      </c>
      <c r="L585">
        <f>demanda!I583</f>
        <v>23</v>
      </c>
      <c r="M585">
        <v>14.416809279416043</v>
      </c>
      <c r="N585">
        <f t="shared" si="72"/>
        <v>8.583190720583957</v>
      </c>
      <c r="O585">
        <v>7.4087557083441532E-4</v>
      </c>
      <c r="P585">
        <f t="shared" si="73"/>
        <v>0.86482046563789194</v>
      </c>
      <c r="Q585">
        <f t="shared" si="74"/>
        <v>98.515044814397314</v>
      </c>
      <c r="R585">
        <f t="shared" si="75"/>
        <v>0.86508428320119957</v>
      </c>
      <c r="S585">
        <f t="shared" si="76"/>
        <v>0.38710065879826105</v>
      </c>
      <c r="T585">
        <f t="shared" si="77"/>
        <v>2.7746675239162511E-4</v>
      </c>
      <c r="U585">
        <f t="shared" si="78"/>
        <v>2.3555482144044106E-2</v>
      </c>
    </row>
    <row r="586" spans="10:21" x14ac:dyDescent="0.35">
      <c r="J586">
        <f t="shared" si="79"/>
        <v>583</v>
      </c>
      <c r="K586">
        <f>demanda!D584</f>
        <v>0</v>
      </c>
      <c r="L586">
        <f>demanda!I584</f>
        <v>26</v>
      </c>
      <c r="M586">
        <v>14.416809279416043</v>
      </c>
      <c r="N586">
        <f t="shared" si="72"/>
        <v>11.583190720583957</v>
      </c>
      <c r="O586">
        <v>7.4087557083441532E-4</v>
      </c>
      <c r="P586">
        <f t="shared" si="73"/>
        <v>1.1670928351300105</v>
      </c>
      <c r="Q586">
        <f t="shared" si="74"/>
        <v>98.483478599645508</v>
      </c>
      <c r="R586">
        <f t="shared" si="75"/>
        <v>1.1676359443906161</v>
      </c>
      <c r="S586">
        <f t="shared" si="76"/>
        <v>0.24309869943124471</v>
      </c>
      <c r="T586">
        <f t="shared" si="77"/>
        <v>5.0532390065243979E-4</v>
      </c>
      <c r="U586">
        <f t="shared" si="78"/>
        <v>3.1793697068520609E-2</v>
      </c>
    </row>
    <row r="587" spans="10:21" x14ac:dyDescent="0.35">
      <c r="J587">
        <f t="shared" si="79"/>
        <v>584</v>
      </c>
      <c r="K587">
        <f>demanda!D585</f>
        <v>1</v>
      </c>
      <c r="L587">
        <f>demanda!I585</f>
        <v>81</v>
      </c>
      <c r="M587">
        <v>11.786175589530247</v>
      </c>
      <c r="N587">
        <f t="shared" si="72"/>
        <v>69.213824410469755</v>
      </c>
      <c r="O587">
        <v>5.2058796926701797E-4</v>
      </c>
      <c r="P587">
        <f t="shared" si="73"/>
        <v>6.9738089020547065</v>
      </c>
      <c r="Q587">
        <f t="shared" si="74"/>
        <v>96.054501066519137</v>
      </c>
      <c r="R587">
        <f t="shared" si="75"/>
        <v>7.0639409518400722</v>
      </c>
      <c r="S587">
        <f t="shared" si="76"/>
        <v>2.2547946522749593E-12</v>
      </c>
      <c r="T587">
        <f t="shared" si="77"/>
        <v>1.2672331100276208E-2</v>
      </c>
      <c r="U587">
        <f t="shared" si="78"/>
        <v>0.16121564963580884</v>
      </c>
    </row>
    <row r="588" spans="10:21" x14ac:dyDescent="0.35">
      <c r="J588">
        <f t="shared" si="79"/>
        <v>585</v>
      </c>
      <c r="K588">
        <f>demanda!D586</f>
        <v>2</v>
      </c>
      <c r="L588">
        <f>demanda!I586</f>
        <v>24</v>
      </c>
      <c r="M588">
        <v>9.1555418996444509</v>
      </c>
      <c r="N588">
        <f t="shared" si="72"/>
        <v>14.844458100355549</v>
      </c>
      <c r="O588">
        <v>7.3144910189317154E-4</v>
      </c>
      <c r="P588">
        <f t="shared" si="73"/>
        <v>1.4956898412736477</v>
      </c>
      <c r="Q588">
        <f t="shared" si="74"/>
        <v>98.438510168771231</v>
      </c>
      <c r="R588">
        <f t="shared" si="75"/>
        <v>1.4967205528525949</v>
      </c>
      <c r="S588">
        <f t="shared" si="76"/>
        <v>0.13463043127455829</v>
      </c>
      <c r="T588">
        <f t="shared" si="77"/>
        <v>8.1935623767012515E-4</v>
      </c>
      <c r="U588">
        <f t="shared" si="78"/>
        <v>4.0494092275476672E-2</v>
      </c>
    </row>
    <row r="589" spans="10:21" x14ac:dyDescent="0.35">
      <c r="J589">
        <f t="shared" si="79"/>
        <v>586</v>
      </c>
      <c r="K589">
        <f>demanda!D587</f>
        <v>1</v>
      </c>
      <c r="L589">
        <f>demanda!I587</f>
        <v>4</v>
      </c>
      <c r="M589">
        <v>11.786175589530247</v>
      </c>
      <c r="N589">
        <f t="shared" si="72"/>
        <v>-7.7861755895302469</v>
      </c>
      <c r="O589">
        <v>5.2058796926701797E-4</v>
      </c>
      <c r="P589">
        <f t="shared" si="73"/>
        <v>-0.7845152482429999</v>
      </c>
      <c r="Q589">
        <f t="shared" si="74"/>
        <v>98.52185903620547</v>
      </c>
      <c r="R589">
        <f t="shared" si="75"/>
        <v>-0.784640946599786</v>
      </c>
      <c r="S589">
        <f t="shared" si="76"/>
        <v>0.43276096337473069</v>
      </c>
      <c r="T589">
        <f t="shared" si="77"/>
        <v>1.6036855085321727E-4</v>
      </c>
      <c r="U589">
        <f t="shared" si="78"/>
        <v>-1.7907341071981879E-2</v>
      </c>
    </row>
    <row r="590" spans="10:21" x14ac:dyDescent="0.35">
      <c r="J590">
        <f t="shared" si="79"/>
        <v>587</v>
      </c>
      <c r="K590">
        <f>demanda!D588</f>
        <v>0</v>
      </c>
      <c r="L590">
        <f>demanda!I588</f>
        <v>4</v>
      </c>
      <c r="M590">
        <v>14.416809279416043</v>
      </c>
      <c r="N590">
        <f t="shared" si="72"/>
        <v>-10.416809279416043</v>
      </c>
      <c r="O590">
        <v>7.4087557083441532E-4</v>
      </c>
      <c r="P590">
        <f t="shared" si="73"/>
        <v>-1.0495712078121913</v>
      </c>
      <c r="Q590">
        <f t="shared" si="74"/>
        <v>98.49686724248096</v>
      </c>
      <c r="R590">
        <f t="shared" si="75"/>
        <v>-1.049988258586362</v>
      </c>
      <c r="S590">
        <f t="shared" si="76"/>
        <v>0.29385572056513598</v>
      </c>
      <c r="T590">
        <f t="shared" si="77"/>
        <v>4.0867949778204384E-4</v>
      </c>
      <c r="U590">
        <f t="shared" si="78"/>
        <v>-2.8590254333443563E-2</v>
      </c>
    </row>
    <row r="591" spans="10:21" x14ac:dyDescent="0.35">
      <c r="J591">
        <f t="shared" si="79"/>
        <v>588</v>
      </c>
      <c r="K591">
        <f>demanda!D589</f>
        <v>1</v>
      </c>
      <c r="L591">
        <f>demanda!I589</f>
        <v>20</v>
      </c>
      <c r="M591">
        <v>11.786175589530247</v>
      </c>
      <c r="N591">
        <f t="shared" si="72"/>
        <v>8.2138244104697531</v>
      </c>
      <c r="O591">
        <v>5.2058796926701797E-4</v>
      </c>
      <c r="P591">
        <f t="shared" si="73"/>
        <v>0.82760405571496498</v>
      </c>
      <c r="Q591">
        <f t="shared" si="74"/>
        <v>98.518289721788548</v>
      </c>
      <c r="R591">
        <f t="shared" si="75"/>
        <v>0.82775165224325964</v>
      </c>
      <c r="S591">
        <f t="shared" si="76"/>
        <v>0.40791408457502731</v>
      </c>
      <c r="T591">
        <f t="shared" si="77"/>
        <v>1.7846853020780289E-4</v>
      </c>
      <c r="U591">
        <f t="shared" si="78"/>
        <v>1.8891228177487809E-2</v>
      </c>
    </row>
    <row r="592" spans="10:21" x14ac:dyDescent="0.35">
      <c r="J592">
        <f t="shared" si="79"/>
        <v>589</v>
      </c>
      <c r="K592">
        <f>demanda!D590</f>
        <v>1</v>
      </c>
      <c r="L592">
        <f>demanda!I590</f>
        <v>3</v>
      </c>
      <c r="M592">
        <v>11.786175589530247</v>
      </c>
      <c r="N592">
        <f t="shared" si="72"/>
        <v>-8.7861755895302469</v>
      </c>
      <c r="O592">
        <v>5.2058796926701797E-4</v>
      </c>
      <c r="P592">
        <f t="shared" si="73"/>
        <v>-0.88527270474037267</v>
      </c>
      <c r="Q592">
        <f t="shared" si="74"/>
        <v>98.513214102399758</v>
      </c>
      <c r="R592">
        <f t="shared" si="75"/>
        <v>-0.88545339538896362</v>
      </c>
      <c r="S592">
        <f t="shared" si="76"/>
        <v>0.37602308055069167</v>
      </c>
      <c r="T592">
        <f t="shared" si="77"/>
        <v>2.0420697614382047E-4</v>
      </c>
      <c r="U592">
        <f t="shared" si="78"/>
        <v>-2.0208116875988336E-2</v>
      </c>
    </row>
    <row r="593" spans="10:21" x14ac:dyDescent="0.35">
      <c r="J593">
        <f t="shared" si="79"/>
        <v>590</v>
      </c>
      <c r="K593">
        <f>demanda!D591</f>
        <v>1</v>
      </c>
      <c r="L593">
        <f>demanda!I591</f>
        <v>4</v>
      </c>
      <c r="M593">
        <v>11.786175589530247</v>
      </c>
      <c r="N593">
        <f t="shared" si="72"/>
        <v>-7.7861755895302469</v>
      </c>
      <c r="O593">
        <v>5.2058796926701797E-4</v>
      </c>
      <c r="P593">
        <f t="shared" si="73"/>
        <v>-0.7845152482429999</v>
      </c>
      <c r="Q593">
        <f t="shared" si="74"/>
        <v>98.52185903620547</v>
      </c>
      <c r="R593">
        <f t="shared" si="75"/>
        <v>-0.784640946599786</v>
      </c>
      <c r="S593">
        <f t="shared" si="76"/>
        <v>0.43276096337473069</v>
      </c>
      <c r="T593">
        <f t="shared" si="77"/>
        <v>1.6036855085321727E-4</v>
      </c>
      <c r="U593">
        <f t="shared" si="78"/>
        <v>-1.7907341071981879E-2</v>
      </c>
    </row>
    <row r="594" spans="10:21" x14ac:dyDescent="0.35">
      <c r="J594">
        <f t="shared" si="79"/>
        <v>591</v>
      </c>
      <c r="K594">
        <f>demanda!D592</f>
        <v>2</v>
      </c>
      <c r="L594">
        <f>demanda!I592</f>
        <v>8</v>
      </c>
      <c r="M594">
        <v>9.1555418996444509</v>
      </c>
      <c r="N594">
        <f t="shared" si="72"/>
        <v>-1.1555418996444509</v>
      </c>
      <c r="O594">
        <v>7.3144910189317154E-4</v>
      </c>
      <c r="P594">
        <f t="shared" si="73"/>
        <v>-0.11642946268431729</v>
      </c>
      <c r="Q594">
        <f t="shared" si="74"/>
        <v>98.552787009441474</v>
      </c>
      <c r="R594">
        <f t="shared" si="75"/>
        <v>-0.11644212771865178</v>
      </c>
      <c r="S594">
        <f t="shared" si="76"/>
        <v>0.90731433340227419</v>
      </c>
      <c r="T594">
        <f t="shared" si="77"/>
        <v>4.964956671961163E-6</v>
      </c>
      <c r="U594">
        <f t="shared" si="78"/>
        <v>-3.1503664833126038E-3</v>
      </c>
    </row>
    <row r="595" spans="10:21" x14ac:dyDescent="0.35">
      <c r="J595">
        <f t="shared" si="79"/>
        <v>592</v>
      </c>
      <c r="K595">
        <f>demanda!D593</f>
        <v>3</v>
      </c>
      <c r="L595">
        <f>demanda!I593</f>
        <v>3</v>
      </c>
      <c r="M595">
        <v>6.5249082097586548</v>
      </c>
      <c r="N595">
        <f t="shared" si="72"/>
        <v>-3.5249082097586548</v>
      </c>
      <c r="O595">
        <v>1.3734589687128761E-3</v>
      </c>
      <c r="P595">
        <f t="shared" si="73"/>
        <v>-0.35516078560198994</v>
      </c>
      <c r="Q595">
        <f t="shared" si="74"/>
        <v>98.546996700749531</v>
      </c>
      <c r="R595">
        <f t="shared" si="75"/>
        <v>-0.35532401713098288</v>
      </c>
      <c r="S595">
        <f t="shared" si="76"/>
        <v>0.72238591463660118</v>
      </c>
      <c r="T595">
        <f t="shared" si="77"/>
        <v>8.6861935283639592E-5</v>
      </c>
      <c r="U595">
        <f t="shared" si="78"/>
        <v>-1.3177434192717408E-2</v>
      </c>
    </row>
    <row r="596" spans="10:21" x14ac:dyDescent="0.35">
      <c r="J596">
        <f t="shared" si="79"/>
        <v>593</v>
      </c>
      <c r="K596">
        <f>demanda!D594</f>
        <v>3</v>
      </c>
      <c r="L596">
        <f>demanda!I594</f>
        <v>3</v>
      </c>
      <c r="M596">
        <v>6.5249082097586548</v>
      </c>
      <c r="N596">
        <f t="shared" si="72"/>
        <v>-3.5249082097586548</v>
      </c>
      <c r="O596">
        <v>1.3734589687128761E-3</v>
      </c>
      <c r="P596">
        <f t="shared" si="73"/>
        <v>-0.35516078560198994</v>
      </c>
      <c r="Q596">
        <f t="shared" si="74"/>
        <v>98.546996700749531</v>
      </c>
      <c r="R596">
        <f t="shared" si="75"/>
        <v>-0.35532401713098288</v>
      </c>
      <c r="S596">
        <f t="shared" si="76"/>
        <v>0.72238591463660118</v>
      </c>
      <c r="T596">
        <f t="shared" si="77"/>
        <v>8.6861935283639592E-5</v>
      </c>
      <c r="U596">
        <f t="shared" si="78"/>
        <v>-1.3177434192717408E-2</v>
      </c>
    </row>
    <row r="597" spans="10:21" x14ac:dyDescent="0.35">
      <c r="J597">
        <f t="shared" si="79"/>
        <v>594</v>
      </c>
      <c r="K597">
        <f>demanda!D595</f>
        <v>0</v>
      </c>
      <c r="L597">
        <f>demanda!I595</f>
        <v>3</v>
      </c>
      <c r="M597">
        <v>14.416809279416043</v>
      </c>
      <c r="N597">
        <f t="shared" si="72"/>
        <v>-11.416809279416043</v>
      </c>
      <c r="O597">
        <v>7.4087557083441532E-4</v>
      </c>
      <c r="P597">
        <f t="shared" si="73"/>
        <v>-1.150328664309564</v>
      </c>
      <c r="Q597">
        <f t="shared" si="74"/>
        <v>98.485475268264722</v>
      </c>
      <c r="R597">
        <f t="shared" si="75"/>
        <v>-1.1508523061099405</v>
      </c>
      <c r="S597">
        <f t="shared" si="76"/>
        <v>0.24993638008158123</v>
      </c>
      <c r="T597">
        <f t="shared" si="77"/>
        <v>4.9091117422407117E-4</v>
      </c>
      <c r="U597">
        <f t="shared" si="78"/>
        <v>-3.1336693399040466E-2</v>
      </c>
    </row>
    <row r="598" spans="10:21" x14ac:dyDescent="0.35">
      <c r="J598">
        <f t="shared" si="79"/>
        <v>595</v>
      </c>
      <c r="K598">
        <f>demanda!D596</f>
        <v>2</v>
      </c>
      <c r="L598">
        <f>demanda!I596</f>
        <v>8</v>
      </c>
      <c r="M598">
        <v>9.1555418996444509</v>
      </c>
      <c r="N598">
        <f t="shared" si="72"/>
        <v>-1.1555418996444509</v>
      </c>
      <c r="O598">
        <v>7.3144910189317154E-4</v>
      </c>
      <c r="P598">
        <f t="shared" si="73"/>
        <v>-0.11642946268431729</v>
      </c>
      <c r="Q598">
        <f t="shared" si="74"/>
        <v>98.552787009441474</v>
      </c>
      <c r="R598">
        <f t="shared" si="75"/>
        <v>-0.11644212771865178</v>
      </c>
      <c r="S598">
        <f t="shared" si="76"/>
        <v>0.90731433340227419</v>
      </c>
      <c r="T598">
        <f t="shared" si="77"/>
        <v>4.964956671961163E-6</v>
      </c>
      <c r="U598">
        <f t="shared" si="78"/>
        <v>-3.1503664833126038E-3</v>
      </c>
    </row>
    <row r="599" spans="10:21" x14ac:dyDescent="0.35">
      <c r="J599">
        <f t="shared" si="79"/>
        <v>596</v>
      </c>
      <c r="K599">
        <f>demanda!D597</f>
        <v>2</v>
      </c>
      <c r="L599">
        <f>demanda!I597</f>
        <v>11</v>
      </c>
      <c r="M599">
        <v>9.1555418996444509</v>
      </c>
      <c r="N599">
        <f t="shared" si="72"/>
        <v>1.8444581003555491</v>
      </c>
      <c r="O599">
        <v>7.3144910189317154E-4</v>
      </c>
      <c r="P599">
        <f t="shared" si="73"/>
        <v>0.18584290680780113</v>
      </c>
      <c r="Q599">
        <f t="shared" si="74"/>
        <v>98.551708666672923</v>
      </c>
      <c r="R599">
        <f t="shared" si="75"/>
        <v>0.18586413938454407</v>
      </c>
      <c r="S599">
        <f t="shared" si="76"/>
        <v>0.85257094830757985</v>
      </c>
      <c r="T599">
        <f t="shared" si="77"/>
        <v>1.2649741651071969E-5</v>
      </c>
      <c r="U599">
        <f t="shared" si="78"/>
        <v>5.0285937455694357E-3</v>
      </c>
    </row>
    <row r="600" spans="10:21" x14ac:dyDescent="0.35">
      <c r="J600">
        <f t="shared" si="79"/>
        <v>597</v>
      </c>
      <c r="K600">
        <f>demanda!D598</f>
        <v>0</v>
      </c>
      <c r="L600">
        <f>demanda!I598</f>
        <v>14</v>
      </c>
      <c r="M600">
        <v>14.416809279416043</v>
      </c>
      <c r="N600">
        <f t="shared" si="72"/>
        <v>-0.41680927941604295</v>
      </c>
      <c r="O600">
        <v>7.4087557083441532E-4</v>
      </c>
      <c r="P600">
        <f t="shared" si="73"/>
        <v>-4.1996642838463258E-2</v>
      </c>
      <c r="Q600">
        <f t="shared" si="74"/>
        <v>98.553393055166637</v>
      </c>
      <c r="R600">
        <f t="shared" si="75"/>
        <v>-4.2001280140228352E-2</v>
      </c>
      <c r="S600">
        <f t="shared" si="76"/>
        <v>0.96650204701357412</v>
      </c>
      <c r="T600">
        <f t="shared" si="77"/>
        <v>6.5431696937827154E-7</v>
      </c>
      <c r="U600">
        <f t="shared" si="78"/>
        <v>-1.1436578187608104E-3</v>
      </c>
    </row>
    <row r="601" spans="10:21" x14ac:dyDescent="0.35">
      <c r="J601">
        <f t="shared" si="79"/>
        <v>598</v>
      </c>
      <c r="K601">
        <f>demanda!D599</f>
        <v>0</v>
      </c>
      <c r="L601">
        <f>demanda!I599</f>
        <v>31</v>
      </c>
      <c r="M601">
        <v>14.416809279416043</v>
      </c>
      <c r="N601">
        <f t="shared" si="72"/>
        <v>16.583190720583957</v>
      </c>
      <c r="O601">
        <v>7.4087557083441532E-4</v>
      </c>
      <c r="P601">
        <f t="shared" si="73"/>
        <v>1.6708801176168744</v>
      </c>
      <c r="Q601">
        <f t="shared" si="74"/>
        <v>98.409997721916127</v>
      </c>
      <c r="R601">
        <f t="shared" si="75"/>
        <v>1.672281646486445</v>
      </c>
      <c r="S601">
        <f t="shared" si="76"/>
        <v>9.4631812115691313E-2</v>
      </c>
      <c r="T601">
        <f t="shared" si="77"/>
        <v>1.0357372993686853E-3</v>
      </c>
      <c r="U601">
        <f t="shared" si="78"/>
        <v>4.5534754507223614E-2</v>
      </c>
    </row>
    <row r="602" spans="10:21" x14ac:dyDescent="0.35">
      <c r="J602">
        <f t="shared" si="79"/>
        <v>599</v>
      </c>
      <c r="K602">
        <f>demanda!D600</f>
        <v>0</v>
      </c>
      <c r="L602">
        <f>demanda!I600</f>
        <v>7</v>
      </c>
      <c r="M602">
        <v>14.416809279416043</v>
      </c>
      <c r="N602">
        <f t="shared" si="72"/>
        <v>-7.416809279416043</v>
      </c>
      <c r="O602">
        <v>7.4087557083441532E-4</v>
      </c>
      <c r="P602">
        <f t="shared" si="73"/>
        <v>-0.74729883832007293</v>
      </c>
      <c r="Q602">
        <f t="shared" si="74"/>
        <v>98.524782009186751</v>
      </c>
      <c r="R602">
        <f t="shared" si="75"/>
        <v>-0.74748986544241569</v>
      </c>
      <c r="S602">
        <f t="shared" si="76"/>
        <v>0.45485950007005715</v>
      </c>
      <c r="T602">
        <f t="shared" si="77"/>
        <v>2.0717991394042799E-4</v>
      </c>
      <c r="U602">
        <f t="shared" si="78"/>
        <v>-2.0353489850869988E-2</v>
      </c>
    </row>
    <row r="603" spans="10:21" x14ac:dyDescent="0.35">
      <c r="J603">
        <f t="shared" si="79"/>
        <v>600</v>
      </c>
      <c r="K603">
        <f>demanda!D601</f>
        <v>1</v>
      </c>
      <c r="L603">
        <f>demanda!I601</f>
        <v>5</v>
      </c>
      <c r="M603">
        <v>11.786175589530247</v>
      </c>
      <c r="N603">
        <f t="shared" si="72"/>
        <v>-6.7861755895302469</v>
      </c>
      <c r="O603">
        <v>5.2058796926701797E-4</v>
      </c>
      <c r="P603">
        <f t="shared" si="73"/>
        <v>-0.68375779174562712</v>
      </c>
      <c r="Q603">
        <f t="shared" si="74"/>
        <v>98.529460674016264</v>
      </c>
      <c r="R603">
        <f t="shared" si="75"/>
        <v>-0.68384096531208116</v>
      </c>
      <c r="S603">
        <f t="shared" si="76"/>
        <v>0.49415815943295716</v>
      </c>
      <c r="T603">
        <f t="shared" si="77"/>
        <v>1.2182067544499816E-4</v>
      </c>
      <c r="U603">
        <f t="shared" si="78"/>
        <v>-1.560684980551091E-2</v>
      </c>
    </row>
    <row r="604" spans="10:21" x14ac:dyDescent="0.35">
      <c r="J604">
        <f t="shared" si="79"/>
        <v>601</v>
      </c>
      <c r="K604">
        <f>demanda!D602</f>
        <v>2</v>
      </c>
      <c r="L604">
        <f>demanda!I602</f>
        <v>5</v>
      </c>
      <c r="M604">
        <v>9.1555418996444509</v>
      </c>
      <c r="N604">
        <f t="shared" si="72"/>
        <v>-4.1555418996444509</v>
      </c>
      <c r="O604">
        <v>7.3144910189317154E-4</v>
      </c>
      <c r="P604">
        <f t="shared" si="73"/>
        <v>-0.4187018321764357</v>
      </c>
      <c r="Q604">
        <f t="shared" si="74"/>
        <v>98.544473706891381</v>
      </c>
      <c r="R604">
        <f t="shared" si="75"/>
        <v>-0.41876504056165376</v>
      </c>
      <c r="S604">
        <f t="shared" si="76"/>
        <v>0.67543472022045181</v>
      </c>
      <c r="T604">
        <f t="shared" si="77"/>
        <v>6.420951640425571E-5</v>
      </c>
      <c r="U604">
        <f t="shared" si="78"/>
        <v>-1.1329777066218591E-2</v>
      </c>
    </row>
    <row r="605" spans="10:21" x14ac:dyDescent="0.35">
      <c r="J605">
        <f t="shared" si="79"/>
        <v>602</v>
      </c>
      <c r="K605">
        <f>demanda!D603</f>
        <v>1</v>
      </c>
      <c r="L605">
        <f>demanda!I603</f>
        <v>2</v>
      </c>
      <c r="M605">
        <v>11.786175589530247</v>
      </c>
      <c r="N605">
        <f t="shared" si="72"/>
        <v>-9.7861755895302469</v>
      </c>
      <c r="O605">
        <v>5.2058796926701797E-4</v>
      </c>
      <c r="P605">
        <f t="shared" si="73"/>
        <v>-0.98603016123774556</v>
      </c>
      <c r="Q605">
        <f t="shared" si="74"/>
        <v>98.503525872599127</v>
      </c>
      <c r="R605">
        <f t="shared" si="75"/>
        <v>-0.98627991600190701</v>
      </c>
      <c r="S605">
        <f t="shared" si="76"/>
        <v>0.32412010689798754</v>
      </c>
      <c r="T605">
        <f t="shared" si="77"/>
        <v>2.5333595131680776E-4</v>
      </c>
      <c r="U605">
        <f t="shared" si="78"/>
        <v>-2.2509213831916283E-2</v>
      </c>
    </row>
    <row r="606" spans="10:21" x14ac:dyDescent="0.35">
      <c r="J606">
        <f t="shared" si="79"/>
        <v>603</v>
      </c>
      <c r="K606">
        <f>demanda!D604</f>
        <v>6</v>
      </c>
      <c r="L606">
        <f>demanda!I604</f>
        <v>2</v>
      </c>
      <c r="M606">
        <v>-1.3669928598987333</v>
      </c>
      <c r="N606">
        <f t="shared" si="72"/>
        <v>3.3669928598987333</v>
      </c>
      <c r="O606">
        <v>5.8863809743332956E-3</v>
      </c>
      <c r="P606">
        <f t="shared" si="73"/>
        <v>0.33924963660821145</v>
      </c>
      <c r="Q606">
        <f t="shared" si="74"/>
        <v>98.547538045230482</v>
      </c>
      <c r="R606">
        <f t="shared" si="75"/>
        <v>0.34017413892280718</v>
      </c>
      <c r="S606">
        <f t="shared" si="76"/>
        <v>0.73376262303153728</v>
      </c>
      <c r="T606">
        <f t="shared" si="77"/>
        <v>3.4275603188736416E-4</v>
      </c>
      <c r="U606">
        <f t="shared" si="78"/>
        <v>2.617625216767119E-2</v>
      </c>
    </row>
    <row r="607" spans="10:21" x14ac:dyDescent="0.35">
      <c r="J607">
        <f t="shared" si="79"/>
        <v>604</v>
      </c>
      <c r="K607">
        <f>demanda!D605</f>
        <v>1</v>
      </c>
      <c r="L607">
        <f>demanda!I605</f>
        <v>4</v>
      </c>
      <c r="M607">
        <v>11.786175589530247</v>
      </c>
      <c r="N607">
        <f t="shared" si="72"/>
        <v>-7.7861755895302469</v>
      </c>
      <c r="O607">
        <v>5.2058796926701797E-4</v>
      </c>
      <c r="P607">
        <f t="shared" si="73"/>
        <v>-0.7845152482429999</v>
      </c>
      <c r="Q607">
        <f t="shared" si="74"/>
        <v>98.52185903620547</v>
      </c>
      <c r="R607">
        <f t="shared" si="75"/>
        <v>-0.784640946599786</v>
      </c>
      <c r="S607">
        <f t="shared" si="76"/>
        <v>0.43276096337473069</v>
      </c>
      <c r="T607">
        <f t="shared" si="77"/>
        <v>1.6036855085321727E-4</v>
      </c>
      <c r="U607">
        <f t="shared" si="78"/>
        <v>-1.7907341071981879E-2</v>
      </c>
    </row>
    <row r="608" spans="10:21" x14ac:dyDescent="0.35">
      <c r="J608">
        <f t="shared" si="79"/>
        <v>605</v>
      </c>
      <c r="K608">
        <f>demanda!D606</f>
        <v>0</v>
      </c>
      <c r="L608">
        <f>demanda!I606</f>
        <v>15</v>
      </c>
      <c r="M608">
        <v>14.416809279416043</v>
      </c>
      <c r="N608">
        <f t="shared" si="72"/>
        <v>0.58319072058395705</v>
      </c>
      <c r="O608">
        <v>7.4087557083441532E-4</v>
      </c>
      <c r="P608">
        <f t="shared" si="73"/>
        <v>5.8760813658909554E-2</v>
      </c>
      <c r="Q608">
        <f t="shared" si="74"/>
        <v>98.553306243487526</v>
      </c>
      <c r="R608">
        <f t="shared" si="75"/>
        <v>5.8767327956256402E-2</v>
      </c>
      <c r="S608">
        <f t="shared" si="76"/>
        <v>0.95314355069247325</v>
      </c>
      <c r="T608">
        <f t="shared" si="77"/>
        <v>1.2809572488725558E-6</v>
      </c>
      <c r="U608">
        <f t="shared" si="78"/>
        <v>1.6001825154010173E-3</v>
      </c>
    </row>
    <row r="609" spans="10:21" x14ac:dyDescent="0.35">
      <c r="J609">
        <f t="shared" si="79"/>
        <v>606</v>
      </c>
      <c r="K609">
        <f>demanda!D607</f>
        <v>4</v>
      </c>
      <c r="L609">
        <f>demanda!I607</f>
        <v>3</v>
      </c>
      <c r="M609">
        <v>3.8942745198728588</v>
      </c>
      <c r="N609">
        <f t="shared" si="72"/>
        <v>-0.89427451987285878</v>
      </c>
      <c r="O609">
        <v>2.4466175697261316E-3</v>
      </c>
      <c r="P609">
        <f t="shared" si="73"/>
        <v>-9.0104826032798527E-2</v>
      </c>
      <c r="Q609">
        <f t="shared" si="74"/>
        <v>98.553065719630368</v>
      </c>
      <c r="R609">
        <f t="shared" si="75"/>
        <v>-9.0191937130002245E-2</v>
      </c>
      <c r="S609">
        <f t="shared" si="76"/>
        <v>0.92814410376796586</v>
      </c>
      <c r="T609">
        <f t="shared" si="77"/>
        <v>9.9806748742546123E-6</v>
      </c>
      <c r="U609">
        <f t="shared" si="78"/>
        <v>-4.4666578568412878E-3</v>
      </c>
    </row>
    <row r="610" spans="10:21" x14ac:dyDescent="0.35">
      <c r="J610">
        <f t="shared" si="79"/>
        <v>607</v>
      </c>
      <c r="K610">
        <f>demanda!D608</f>
        <v>0</v>
      </c>
      <c r="L610">
        <f>demanda!I608</f>
        <v>3</v>
      </c>
      <c r="M610">
        <v>14.416809279416043</v>
      </c>
      <c r="N610">
        <f t="shared" si="72"/>
        <v>-11.416809279416043</v>
      </c>
      <c r="O610">
        <v>7.4087557083441532E-4</v>
      </c>
      <c r="P610">
        <f t="shared" si="73"/>
        <v>-1.150328664309564</v>
      </c>
      <c r="Q610">
        <f t="shared" si="74"/>
        <v>98.485475268264722</v>
      </c>
      <c r="R610">
        <f t="shared" si="75"/>
        <v>-1.1508523061099405</v>
      </c>
      <c r="S610">
        <f t="shared" si="76"/>
        <v>0.24993638008158123</v>
      </c>
      <c r="T610">
        <f t="shared" si="77"/>
        <v>4.9091117422407117E-4</v>
      </c>
      <c r="U610">
        <f t="shared" si="78"/>
        <v>-3.1336693399040466E-2</v>
      </c>
    </row>
    <row r="611" spans="10:21" x14ac:dyDescent="0.35">
      <c r="J611">
        <f t="shared" si="79"/>
        <v>608</v>
      </c>
      <c r="K611">
        <f>demanda!D609</f>
        <v>3</v>
      </c>
      <c r="L611">
        <f>demanda!I609</f>
        <v>15</v>
      </c>
      <c r="M611">
        <v>6.5249082097586548</v>
      </c>
      <c r="N611">
        <f t="shared" si="72"/>
        <v>8.4750917902413452</v>
      </c>
      <c r="O611">
        <v>1.3734589687128761E-3</v>
      </c>
      <c r="P611">
        <f t="shared" si="73"/>
        <v>0.85392869236648372</v>
      </c>
      <c r="Q611">
        <f t="shared" si="74"/>
        <v>98.515983196232298</v>
      </c>
      <c r="R611">
        <f t="shared" si="75"/>
        <v>0.85445561959518967</v>
      </c>
      <c r="S611">
        <f t="shared" si="76"/>
        <v>0.39295924335677657</v>
      </c>
      <c r="T611">
        <f t="shared" si="77"/>
        <v>5.0213754837151871E-4</v>
      </c>
      <c r="U611">
        <f t="shared" si="78"/>
        <v>3.1688071042106331E-2</v>
      </c>
    </row>
    <row r="612" spans="10:21" x14ac:dyDescent="0.35">
      <c r="J612">
        <f t="shared" si="79"/>
        <v>609</v>
      </c>
      <c r="K612">
        <f>demanda!D610</f>
        <v>1</v>
      </c>
      <c r="L612">
        <f>demanda!I610</f>
        <v>11</v>
      </c>
      <c r="M612">
        <v>11.786175589530247</v>
      </c>
      <c r="N612">
        <f t="shared" si="72"/>
        <v>-0.78617558953024691</v>
      </c>
      <c r="O612">
        <v>5.2058796926701797E-4</v>
      </c>
      <c r="P612">
        <f t="shared" si="73"/>
        <v>-7.9213052761390276E-2</v>
      </c>
      <c r="Q612">
        <f t="shared" si="74"/>
        <v>98.553161284987851</v>
      </c>
      <c r="R612">
        <f t="shared" si="75"/>
        <v>-7.9213161855515926E-2</v>
      </c>
      <c r="S612">
        <f t="shared" si="76"/>
        <v>0.93687133485398588</v>
      </c>
      <c r="T612">
        <f t="shared" si="77"/>
        <v>1.6349705257494771E-6</v>
      </c>
      <c r="U612">
        <f t="shared" si="78"/>
        <v>-1.8078295720913319E-3</v>
      </c>
    </row>
    <row r="613" spans="10:21" x14ac:dyDescent="0.35">
      <c r="J613">
        <f t="shared" si="79"/>
        <v>610</v>
      </c>
      <c r="K613">
        <f>demanda!D611</f>
        <v>0</v>
      </c>
      <c r="L613">
        <f>demanda!I611</f>
        <v>11</v>
      </c>
      <c r="M613">
        <v>14.416809279416043</v>
      </c>
      <c r="N613">
        <f t="shared" si="72"/>
        <v>-3.416809279416043</v>
      </c>
      <c r="O613">
        <v>7.4087557083441532E-4</v>
      </c>
      <c r="P613">
        <f t="shared" si="73"/>
        <v>-0.34426901233058166</v>
      </c>
      <c r="Q613">
        <f t="shared" si="74"/>
        <v>98.547392334261005</v>
      </c>
      <c r="R613">
        <f t="shared" si="75"/>
        <v>-0.34431750934619676</v>
      </c>
      <c r="S613">
        <f t="shared" si="76"/>
        <v>0.73064524437297085</v>
      </c>
      <c r="T613">
        <f t="shared" si="77"/>
        <v>4.3969841615361785E-5</v>
      </c>
      <c r="U613">
        <f t="shared" si="78"/>
        <v>-9.3754621379472432E-3</v>
      </c>
    </row>
    <row r="614" spans="10:21" x14ac:dyDescent="0.35">
      <c r="J614">
        <f t="shared" si="79"/>
        <v>611</v>
      </c>
      <c r="K614">
        <f>demanda!D612</f>
        <v>0</v>
      </c>
      <c r="L614">
        <f>demanda!I612</f>
        <v>15</v>
      </c>
      <c r="M614">
        <v>14.416809279416043</v>
      </c>
      <c r="N614">
        <f t="shared" si="72"/>
        <v>0.58319072058395705</v>
      </c>
      <c r="O614">
        <v>7.4087557083441532E-4</v>
      </c>
      <c r="P614">
        <f t="shared" si="73"/>
        <v>5.8760813658909554E-2</v>
      </c>
      <c r="Q614">
        <f t="shared" si="74"/>
        <v>98.553306243487526</v>
      </c>
      <c r="R614">
        <f t="shared" si="75"/>
        <v>5.8767327956256402E-2</v>
      </c>
      <c r="S614">
        <f t="shared" si="76"/>
        <v>0.95314355069247325</v>
      </c>
      <c r="T614">
        <f t="shared" si="77"/>
        <v>1.2809572488725558E-6</v>
      </c>
      <c r="U614">
        <f t="shared" si="78"/>
        <v>1.6001825154010173E-3</v>
      </c>
    </row>
    <row r="615" spans="10:21" x14ac:dyDescent="0.35">
      <c r="J615">
        <f t="shared" si="79"/>
        <v>612</v>
      </c>
      <c r="K615">
        <f>demanda!D613</f>
        <v>0</v>
      </c>
      <c r="L615">
        <f>demanda!I613</f>
        <v>14</v>
      </c>
      <c r="M615">
        <v>14.416809279416043</v>
      </c>
      <c r="N615">
        <f t="shared" si="72"/>
        <v>-0.41680927941604295</v>
      </c>
      <c r="O615">
        <v>7.4087557083441532E-4</v>
      </c>
      <c r="P615">
        <f t="shared" si="73"/>
        <v>-4.1996642838463258E-2</v>
      </c>
      <c r="Q615">
        <f t="shared" si="74"/>
        <v>98.553393055166637</v>
      </c>
      <c r="R615">
        <f t="shared" si="75"/>
        <v>-4.2001280140228352E-2</v>
      </c>
      <c r="S615">
        <f t="shared" si="76"/>
        <v>0.96650204701357412</v>
      </c>
      <c r="T615">
        <f t="shared" si="77"/>
        <v>6.5431696937827154E-7</v>
      </c>
      <c r="U615">
        <f t="shared" si="78"/>
        <v>-1.1436578187608104E-3</v>
      </c>
    </row>
    <row r="616" spans="10:21" x14ac:dyDescent="0.35">
      <c r="J616">
        <f t="shared" si="79"/>
        <v>613</v>
      </c>
      <c r="K616">
        <f>demanda!D614</f>
        <v>2</v>
      </c>
      <c r="L616">
        <f>demanda!I614</f>
        <v>11</v>
      </c>
      <c r="M616">
        <v>9.1555418996444509</v>
      </c>
      <c r="N616">
        <f t="shared" si="72"/>
        <v>1.8444581003555491</v>
      </c>
      <c r="O616">
        <v>7.3144910189317154E-4</v>
      </c>
      <c r="P616">
        <f t="shared" si="73"/>
        <v>0.18584290680780113</v>
      </c>
      <c r="Q616">
        <f t="shared" si="74"/>
        <v>98.551708666672923</v>
      </c>
      <c r="R616">
        <f t="shared" si="75"/>
        <v>0.18586413938454407</v>
      </c>
      <c r="S616">
        <f t="shared" si="76"/>
        <v>0.85257094830757985</v>
      </c>
      <c r="T616">
        <f t="shared" si="77"/>
        <v>1.2649741651071969E-5</v>
      </c>
      <c r="U616">
        <f t="shared" si="78"/>
        <v>5.0285937455694357E-3</v>
      </c>
    </row>
    <row r="617" spans="10:21" x14ac:dyDescent="0.35">
      <c r="J617">
        <f t="shared" si="79"/>
        <v>614</v>
      </c>
      <c r="K617">
        <f>demanda!D615</f>
        <v>0</v>
      </c>
      <c r="L617">
        <f>demanda!I615</f>
        <v>15</v>
      </c>
      <c r="M617">
        <v>14.416809279416043</v>
      </c>
      <c r="N617">
        <f t="shared" si="72"/>
        <v>0.58319072058395705</v>
      </c>
      <c r="O617">
        <v>7.4087557083441532E-4</v>
      </c>
      <c r="P617">
        <f t="shared" si="73"/>
        <v>5.8760813658909554E-2</v>
      </c>
      <c r="Q617">
        <f t="shared" si="74"/>
        <v>98.553306243487526</v>
      </c>
      <c r="R617">
        <f t="shared" si="75"/>
        <v>5.8767327956256402E-2</v>
      </c>
      <c r="S617">
        <f t="shared" si="76"/>
        <v>0.95314355069247325</v>
      </c>
      <c r="T617">
        <f t="shared" si="77"/>
        <v>1.2809572488725558E-6</v>
      </c>
      <c r="U617">
        <f t="shared" si="78"/>
        <v>1.6001825154010173E-3</v>
      </c>
    </row>
    <row r="618" spans="10:21" x14ac:dyDescent="0.35">
      <c r="J618">
        <f t="shared" si="79"/>
        <v>615</v>
      </c>
      <c r="K618">
        <f>demanda!D616</f>
        <v>0</v>
      </c>
      <c r="L618">
        <f>demanda!I616</f>
        <v>15</v>
      </c>
      <c r="M618">
        <v>14.416809279416043</v>
      </c>
      <c r="N618">
        <f t="shared" si="72"/>
        <v>0.58319072058395705</v>
      </c>
      <c r="O618">
        <v>7.4087557083441532E-4</v>
      </c>
      <c r="P618">
        <f t="shared" si="73"/>
        <v>5.8760813658909554E-2</v>
      </c>
      <c r="Q618">
        <f t="shared" si="74"/>
        <v>98.553306243487526</v>
      </c>
      <c r="R618">
        <f t="shared" si="75"/>
        <v>5.8767327956256402E-2</v>
      </c>
      <c r="S618">
        <f t="shared" si="76"/>
        <v>0.95314355069247325</v>
      </c>
      <c r="T618">
        <f t="shared" si="77"/>
        <v>1.2809572488725558E-6</v>
      </c>
      <c r="U618">
        <f t="shared" si="78"/>
        <v>1.6001825154010173E-3</v>
      </c>
    </row>
    <row r="619" spans="10:21" x14ac:dyDescent="0.35">
      <c r="J619">
        <f t="shared" si="79"/>
        <v>616</v>
      </c>
      <c r="K619">
        <f>demanda!D617</f>
        <v>0</v>
      </c>
      <c r="L619">
        <f>demanda!I617</f>
        <v>15</v>
      </c>
      <c r="M619">
        <v>14.416809279416043</v>
      </c>
      <c r="N619">
        <f t="shared" si="72"/>
        <v>0.58319072058395705</v>
      </c>
      <c r="O619">
        <v>7.4087557083441532E-4</v>
      </c>
      <c r="P619">
        <f t="shared" si="73"/>
        <v>5.8760813658909554E-2</v>
      </c>
      <c r="Q619">
        <f t="shared" si="74"/>
        <v>98.553306243487526</v>
      </c>
      <c r="R619">
        <f t="shared" si="75"/>
        <v>5.8767327956256402E-2</v>
      </c>
      <c r="S619">
        <f t="shared" si="76"/>
        <v>0.95314355069247325</v>
      </c>
      <c r="T619">
        <f t="shared" si="77"/>
        <v>1.2809572488725558E-6</v>
      </c>
      <c r="U619">
        <f t="shared" si="78"/>
        <v>1.6001825154010173E-3</v>
      </c>
    </row>
    <row r="620" spans="10:21" x14ac:dyDescent="0.35">
      <c r="J620">
        <f t="shared" si="79"/>
        <v>617</v>
      </c>
      <c r="K620">
        <f>demanda!D618</f>
        <v>0</v>
      </c>
      <c r="L620">
        <f>demanda!I618</f>
        <v>12</v>
      </c>
      <c r="M620">
        <v>14.416809279416043</v>
      </c>
      <c r="N620">
        <f t="shared" si="72"/>
        <v>-2.416809279416043</v>
      </c>
      <c r="O620">
        <v>7.4087557083441532E-4</v>
      </c>
      <c r="P620">
        <f t="shared" si="73"/>
        <v>-0.24351155583320885</v>
      </c>
      <c r="Q620">
        <f t="shared" si="74"/>
        <v>98.55043610055337</v>
      </c>
      <c r="R620">
        <f t="shared" si="75"/>
        <v>-0.24354209816225414</v>
      </c>
      <c r="S620">
        <f t="shared" si="76"/>
        <v>0.80761150818210881</v>
      </c>
      <c r="T620">
        <f t="shared" si="77"/>
        <v>2.199875915262289E-5</v>
      </c>
      <c r="U620">
        <f t="shared" si="78"/>
        <v>-6.6314365617133417E-3</v>
      </c>
    </row>
    <row r="621" spans="10:21" x14ac:dyDescent="0.35">
      <c r="J621">
        <f t="shared" si="79"/>
        <v>618</v>
      </c>
      <c r="K621">
        <f>demanda!D619</f>
        <v>0</v>
      </c>
      <c r="L621">
        <f>demanda!I619</f>
        <v>15</v>
      </c>
      <c r="M621">
        <v>14.416809279416043</v>
      </c>
      <c r="N621">
        <f t="shared" si="72"/>
        <v>0.58319072058395705</v>
      </c>
      <c r="O621">
        <v>7.4087557083441532E-4</v>
      </c>
      <c r="P621">
        <f t="shared" si="73"/>
        <v>5.8760813658909554E-2</v>
      </c>
      <c r="Q621">
        <f t="shared" si="74"/>
        <v>98.553306243487526</v>
      </c>
      <c r="R621">
        <f t="shared" si="75"/>
        <v>5.8767327956256402E-2</v>
      </c>
      <c r="S621">
        <f t="shared" si="76"/>
        <v>0.95314355069247325</v>
      </c>
      <c r="T621">
        <f t="shared" si="77"/>
        <v>1.2809572488725558E-6</v>
      </c>
      <c r="U621">
        <f t="shared" si="78"/>
        <v>1.6001825154010173E-3</v>
      </c>
    </row>
    <row r="622" spans="10:21" x14ac:dyDescent="0.35">
      <c r="J622">
        <f t="shared" si="79"/>
        <v>619</v>
      </c>
      <c r="K622">
        <f>demanda!D620</f>
        <v>0</v>
      </c>
      <c r="L622">
        <f>demanda!I620</f>
        <v>15</v>
      </c>
      <c r="M622">
        <v>14.416809279416043</v>
      </c>
      <c r="N622">
        <f t="shared" si="72"/>
        <v>0.58319072058395705</v>
      </c>
      <c r="O622">
        <v>7.4087557083441532E-4</v>
      </c>
      <c r="P622">
        <f t="shared" si="73"/>
        <v>5.8760813658909554E-2</v>
      </c>
      <c r="Q622">
        <f t="shared" si="74"/>
        <v>98.553306243487526</v>
      </c>
      <c r="R622">
        <f t="shared" si="75"/>
        <v>5.8767327956256402E-2</v>
      </c>
      <c r="S622">
        <f t="shared" si="76"/>
        <v>0.95314355069247325</v>
      </c>
      <c r="T622">
        <f t="shared" si="77"/>
        <v>1.2809572488725558E-6</v>
      </c>
      <c r="U622">
        <f t="shared" si="78"/>
        <v>1.6001825154010173E-3</v>
      </c>
    </row>
    <row r="623" spans="10:21" x14ac:dyDescent="0.35">
      <c r="J623">
        <f t="shared" si="79"/>
        <v>620</v>
      </c>
      <c r="K623">
        <f>demanda!D621</f>
        <v>0</v>
      </c>
      <c r="L623">
        <f>demanda!I621</f>
        <v>15</v>
      </c>
      <c r="M623">
        <v>14.416809279416043</v>
      </c>
      <c r="N623">
        <f t="shared" si="72"/>
        <v>0.58319072058395705</v>
      </c>
      <c r="O623">
        <v>7.4087557083441532E-4</v>
      </c>
      <c r="P623">
        <f t="shared" si="73"/>
        <v>5.8760813658909554E-2</v>
      </c>
      <c r="Q623">
        <f t="shared" si="74"/>
        <v>98.553306243487526</v>
      </c>
      <c r="R623">
        <f t="shared" si="75"/>
        <v>5.8767327956256402E-2</v>
      </c>
      <c r="S623">
        <f t="shared" si="76"/>
        <v>0.95314355069247325</v>
      </c>
      <c r="T623">
        <f t="shared" si="77"/>
        <v>1.2809572488725558E-6</v>
      </c>
      <c r="U623">
        <f t="shared" si="78"/>
        <v>1.6001825154010173E-3</v>
      </c>
    </row>
    <row r="624" spans="10:21" x14ac:dyDescent="0.35">
      <c r="J624">
        <f t="shared" si="79"/>
        <v>621</v>
      </c>
      <c r="K624">
        <f>demanda!D622</f>
        <v>0</v>
      </c>
      <c r="L624">
        <f>demanda!I622</f>
        <v>15</v>
      </c>
      <c r="M624">
        <v>14.416809279416043</v>
      </c>
      <c r="N624">
        <f t="shared" si="72"/>
        <v>0.58319072058395705</v>
      </c>
      <c r="O624">
        <v>7.4087557083441532E-4</v>
      </c>
      <c r="P624">
        <f t="shared" si="73"/>
        <v>5.8760813658909554E-2</v>
      </c>
      <c r="Q624">
        <f t="shared" si="74"/>
        <v>98.553306243487526</v>
      </c>
      <c r="R624">
        <f t="shared" si="75"/>
        <v>5.8767327956256402E-2</v>
      </c>
      <c r="S624">
        <f t="shared" si="76"/>
        <v>0.95314355069247325</v>
      </c>
      <c r="T624">
        <f t="shared" si="77"/>
        <v>1.2809572488725558E-6</v>
      </c>
      <c r="U624">
        <f t="shared" si="78"/>
        <v>1.6001825154010173E-3</v>
      </c>
    </row>
    <row r="625" spans="10:21" x14ac:dyDescent="0.35">
      <c r="J625">
        <f t="shared" si="79"/>
        <v>622</v>
      </c>
      <c r="K625">
        <f>demanda!D623</f>
        <v>0</v>
      </c>
      <c r="L625">
        <f>demanda!I623</f>
        <v>13</v>
      </c>
      <c r="M625">
        <v>14.416809279416043</v>
      </c>
      <c r="N625">
        <f t="shared" si="72"/>
        <v>-1.416809279416043</v>
      </c>
      <c r="O625">
        <v>7.4087557083441532E-4</v>
      </c>
      <c r="P625">
        <f t="shared" si="73"/>
        <v>-0.14275409933583605</v>
      </c>
      <c r="Q625">
        <f t="shared" si="74"/>
        <v>98.552436340855238</v>
      </c>
      <c r="R625">
        <f t="shared" si="75"/>
        <v>-0.14277055533334676</v>
      </c>
      <c r="S625">
        <f t="shared" si="76"/>
        <v>0.88648638054980111</v>
      </c>
      <c r="T625">
        <f t="shared" si="77"/>
        <v>7.5602509372950483E-6</v>
      </c>
      <c r="U625">
        <f t="shared" si="78"/>
        <v>-3.8875163173756836E-3</v>
      </c>
    </row>
    <row r="626" spans="10:21" x14ac:dyDescent="0.35">
      <c r="J626">
        <f t="shared" si="79"/>
        <v>623</v>
      </c>
      <c r="K626">
        <f>demanda!D624</f>
        <v>1</v>
      </c>
      <c r="L626">
        <f>demanda!I624</f>
        <v>15</v>
      </c>
      <c r="M626">
        <v>11.786175589530247</v>
      </c>
      <c r="N626">
        <f t="shared" si="72"/>
        <v>3.2138244104697531</v>
      </c>
      <c r="O626">
        <v>5.2058796926701797E-4</v>
      </c>
      <c r="P626">
        <f t="shared" si="73"/>
        <v>0.32381677322810093</v>
      </c>
      <c r="Q626">
        <f t="shared" si="74"/>
        <v>98.548095772403954</v>
      </c>
      <c r="R626">
        <f t="shared" si="75"/>
        <v>0.3238255414227269</v>
      </c>
      <c r="S626">
        <f t="shared" si="76"/>
        <v>0.74610540567370975</v>
      </c>
      <c r="T626">
        <f t="shared" si="77"/>
        <v>2.7322164893932259E-5</v>
      </c>
      <c r="U626">
        <f t="shared" si="78"/>
        <v>7.390456033686617E-3</v>
      </c>
    </row>
    <row r="627" spans="10:21" x14ac:dyDescent="0.35">
      <c r="J627">
        <f t="shared" si="79"/>
        <v>624</v>
      </c>
      <c r="K627">
        <f>demanda!D625</f>
        <v>0</v>
      </c>
      <c r="L627">
        <f>demanda!I625</f>
        <v>15</v>
      </c>
      <c r="M627">
        <v>14.416809279416043</v>
      </c>
      <c r="N627">
        <f t="shared" si="72"/>
        <v>0.58319072058395705</v>
      </c>
      <c r="O627">
        <v>7.4087557083441532E-4</v>
      </c>
      <c r="P627">
        <f t="shared" si="73"/>
        <v>5.8760813658909554E-2</v>
      </c>
      <c r="Q627">
        <f t="shared" si="74"/>
        <v>98.553306243487526</v>
      </c>
      <c r="R627">
        <f t="shared" si="75"/>
        <v>5.8767327956256402E-2</v>
      </c>
      <c r="S627">
        <f t="shared" si="76"/>
        <v>0.95314355069247325</v>
      </c>
      <c r="T627">
        <f t="shared" si="77"/>
        <v>1.2809572488725558E-6</v>
      </c>
      <c r="U627">
        <f t="shared" si="78"/>
        <v>1.6001825154010173E-3</v>
      </c>
    </row>
    <row r="628" spans="10:21" x14ac:dyDescent="0.35">
      <c r="J628">
        <f t="shared" si="79"/>
        <v>625</v>
      </c>
      <c r="K628">
        <f>demanda!D626</f>
        <v>0</v>
      </c>
      <c r="L628">
        <f>demanda!I626</f>
        <v>15</v>
      </c>
      <c r="M628">
        <v>14.416809279416043</v>
      </c>
      <c r="N628">
        <f t="shared" si="72"/>
        <v>0.58319072058395705</v>
      </c>
      <c r="O628">
        <v>7.4087557083441532E-4</v>
      </c>
      <c r="P628">
        <f t="shared" si="73"/>
        <v>5.8760813658909554E-2</v>
      </c>
      <c r="Q628">
        <f t="shared" si="74"/>
        <v>98.553306243487526</v>
      </c>
      <c r="R628">
        <f t="shared" si="75"/>
        <v>5.8767327956256402E-2</v>
      </c>
      <c r="S628">
        <f t="shared" si="76"/>
        <v>0.95314355069247325</v>
      </c>
      <c r="T628">
        <f t="shared" si="77"/>
        <v>1.2809572488725558E-6</v>
      </c>
      <c r="U628">
        <f t="shared" si="78"/>
        <v>1.6001825154010173E-3</v>
      </c>
    </row>
    <row r="629" spans="10:21" x14ac:dyDescent="0.35">
      <c r="J629">
        <f t="shared" si="79"/>
        <v>626</v>
      </c>
      <c r="K629">
        <f>demanda!D627</f>
        <v>0</v>
      </c>
      <c r="L629">
        <f>demanda!I627</f>
        <v>15</v>
      </c>
      <c r="M629">
        <v>14.416809279416043</v>
      </c>
      <c r="N629">
        <f t="shared" si="72"/>
        <v>0.58319072058395705</v>
      </c>
      <c r="O629">
        <v>7.4087557083441532E-4</v>
      </c>
      <c r="P629">
        <f t="shared" si="73"/>
        <v>5.8760813658909554E-2</v>
      </c>
      <c r="Q629">
        <f t="shared" si="74"/>
        <v>98.553306243487526</v>
      </c>
      <c r="R629">
        <f t="shared" si="75"/>
        <v>5.8767327956256402E-2</v>
      </c>
      <c r="S629">
        <f t="shared" si="76"/>
        <v>0.95314355069247325</v>
      </c>
      <c r="T629">
        <f t="shared" si="77"/>
        <v>1.2809572488725558E-6</v>
      </c>
      <c r="U629">
        <f t="shared" si="78"/>
        <v>1.6001825154010173E-3</v>
      </c>
    </row>
    <row r="630" spans="10:21" x14ac:dyDescent="0.35">
      <c r="J630">
        <f t="shared" si="79"/>
        <v>627</v>
      </c>
      <c r="K630">
        <f>demanda!D628</f>
        <v>0</v>
      </c>
      <c r="L630">
        <f>demanda!I628</f>
        <v>15</v>
      </c>
      <c r="M630">
        <v>14.416809279416043</v>
      </c>
      <c r="N630">
        <f t="shared" si="72"/>
        <v>0.58319072058395705</v>
      </c>
      <c r="O630">
        <v>7.4087557083441532E-4</v>
      </c>
      <c r="P630">
        <f t="shared" si="73"/>
        <v>5.8760813658909554E-2</v>
      </c>
      <c r="Q630">
        <f t="shared" si="74"/>
        <v>98.553306243487526</v>
      </c>
      <c r="R630">
        <f t="shared" si="75"/>
        <v>5.8767327956256402E-2</v>
      </c>
      <c r="S630">
        <f t="shared" si="76"/>
        <v>0.95314355069247325</v>
      </c>
      <c r="T630">
        <f t="shared" si="77"/>
        <v>1.2809572488725558E-6</v>
      </c>
      <c r="U630">
        <f t="shared" si="78"/>
        <v>1.6001825154010173E-3</v>
      </c>
    </row>
    <row r="631" spans="10:21" x14ac:dyDescent="0.35">
      <c r="J631">
        <f t="shared" si="79"/>
        <v>628</v>
      </c>
      <c r="K631">
        <f>demanda!D629</f>
        <v>0</v>
      </c>
      <c r="L631">
        <f>demanda!I629</f>
        <v>15</v>
      </c>
      <c r="M631">
        <v>14.416809279416043</v>
      </c>
      <c r="N631">
        <f t="shared" si="72"/>
        <v>0.58319072058395705</v>
      </c>
      <c r="O631">
        <v>7.4087557083441532E-4</v>
      </c>
      <c r="P631">
        <f t="shared" si="73"/>
        <v>5.8760813658909554E-2</v>
      </c>
      <c r="Q631">
        <f t="shared" si="74"/>
        <v>98.553306243487526</v>
      </c>
      <c r="R631">
        <f t="shared" si="75"/>
        <v>5.8767327956256402E-2</v>
      </c>
      <c r="S631">
        <f t="shared" si="76"/>
        <v>0.95314355069247325</v>
      </c>
      <c r="T631">
        <f t="shared" si="77"/>
        <v>1.2809572488725558E-6</v>
      </c>
      <c r="U631">
        <f t="shared" si="78"/>
        <v>1.6001825154010173E-3</v>
      </c>
    </row>
    <row r="632" spans="10:21" x14ac:dyDescent="0.35">
      <c r="J632">
        <f t="shared" si="79"/>
        <v>629</v>
      </c>
      <c r="K632">
        <f>demanda!D630</f>
        <v>0</v>
      </c>
      <c r="L632">
        <f>demanda!I630</f>
        <v>15</v>
      </c>
      <c r="M632">
        <v>14.416809279416043</v>
      </c>
      <c r="N632">
        <f t="shared" si="72"/>
        <v>0.58319072058395705</v>
      </c>
      <c r="O632">
        <v>7.4087557083441532E-4</v>
      </c>
      <c r="P632">
        <f t="shared" si="73"/>
        <v>5.8760813658909554E-2</v>
      </c>
      <c r="Q632">
        <f t="shared" si="74"/>
        <v>98.553306243487526</v>
      </c>
      <c r="R632">
        <f t="shared" si="75"/>
        <v>5.8767327956256402E-2</v>
      </c>
      <c r="S632">
        <f t="shared" si="76"/>
        <v>0.95314355069247325</v>
      </c>
      <c r="T632">
        <f t="shared" si="77"/>
        <v>1.2809572488725558E-6</v>
      </c>
      <c r="U632">
        <f t="shared" si="78"/>
        <v>1.6001825154010173E-3</v>
      </c>
    </row>
    <row r="633" spans="10:21" x14ac:dyDescent="0.35">
      <c r="J633">
        <f t="shared" si="79"/>
        <v>630</v>
      </c>
      <c r="K633">
        <f>demanda!D631</f>
        <v>0</v>
      </c>
      <c r="L633">
        <f>demanda!I631</f>
        <v>15</v>
      </c>
      <c r="M633">
        <v>14.416809279416043</v>
      </c>
      <c r="N633">
        <f t="shared" si="72"/>
        <v>0.58319072058395705</v>
      </c>
      <c r="O633">
        <v>7.4087557083441532E-4</v>
      </c>
      <c r="P633">
        <f t="shared" si="73"/>
        <v>5.8760813658909554E-2</v>
      </c>
      <c r="Q633">
        <f t="shared" si="74"/>
        <v>98.553306243487526</v>
      </c>
      <c r="R633">
        <f t="shared" si="75"/>
        <v>5.8767327956256402E-2</v>
      </c>
      <c r="S633">
        <f t="shared" si="76"/>
        <v>0.95314355069247325</v>
      </c>
      <c r="T633">
        <f t="shared" si="77"/>
        <v>1.2809572488725558E-6</v>
      </c>
      <c r="U633">
        <f t="shared" si="78"/>
        <v>1.6001825154010173E-3</v>
      </c>
    </row>
    <row r="634" spans="10:21" x14ac:dyDescent="0.35">
      <c r="J634">
        <f t="shared" si="79"/>
        <v>631</v>
      </c>
      <c r="K634">
        <f>demanda!D632</f>
        <v>0</v>
      </c>
      <c r="L634">
        <f>demanda!I632</f>
        <v>15</v>
      </c>
      <c r="M634">
        <v>14.416809279416043</v>
      </c>
      <c r="N634">
        <f t="shared" si="72"/>
        <v>0.58319072058395705</v>
      </c>
      <c r="O634">
        <v>7.4087557083441532E-4</v>
      </c>
      <c r="P634">
        <f t="shared" si="73"/>
        <v>5.8760813658909554E-2</v>
      </c>
      <c r="Q634">
        <f t="shared" si="74"/>
        <v>98.553306243487526</v>
      </c>
      <c r="R634">
        <f t="shared" si="75"/>
        <v>5.8767327956256402E-2</v>
      </c>
      <c r="S634">
        <f t="shared" si="76"/>
        <v>0.95314355069247325</v>
      </c>
      <c r="T634">
        <f t="shared" si="77"/>
        <v>1.2809572488725558E-6</v>
      </c>
      <c r="U634">
        <f t="shared" si="78"/>
        <v>1.6001825154010173E-3</v>
      </c>
    </row>
    <row r="635" spans="10:21" x14ac:dyDescent="0.35">
      <c r="J635">
        <f t="shared" si="79"/>
        <v>632</v>
      </c>
      <c r="K635">
        <f>demanda!D633</f>
        <v>0</v>
      </c>
      <c r="L635">
        <f>demanda!I633</f>
        <v>15</v>
      </c>
      <c r="M635">
        <v>14.416809279416043</v>
      </c>
      <c r="N635">
        <f t="shared" si="72"/>
        <v>0.58319072058395705</v>
      </c>
      <c r="O635">
        <v>7.4087557083441532E-4</v>
      </c>
      <c r="P635">
        <f t="shared" si="73"/>
        <v>5.8760813658909554E-2</v>
      </c>
      <c r="Q635">
        <f t="shared" si="74"/>
        <v>98.553306243487526</v>
      </c>
      <c r="R635">
        <f t="shared" si="75"/>
        <v>5.8767327956256402E-2</v>
      </c>
      <c r="S635">
        <f t="shared" si="76"/>
        <v>0.95314355069247325</v>
      </c>
      <c r="T635">
        <f t="shared" si="77"/>
        <v>1.2809572488725558E-6</v>
      </c>
      <c r="U635">
        <f t="shared" si="78"/>
        <v>1.6001825154010173E-3</v>
      </c>
    </row>
    <row r="636" spans="10:21" x14ac:dyDescent="0.35">
      <c r="J636">
        <f t="shared" si="79"/>
        <v>633</v>
      </c>
      <c r="K636">
        <f>demanda!D634</f>
        <v>0</v>
      </c>
      <c r="L636">
        <f>demanda!I634</f>
        <v>15</v>
      </c>
      <c r="M636">
        <v>14.416809279416043</v>
      </c>
      <c r="N636">
        <f t="shared" si="72"/>
        <v>0.58319072058395705</v>
      </c>
      <c r="O636">
        <v>7.4087557083441532E-4</v>
      </c>
      <c r="P636">
        <f t="shared" si="73"/>
        <v>5.8760813658909554E-2</v>
      </c>
      <c r="Q636">
        <f t="shared" si="74"/>
        <v>98.553306243487526</v>
      </c>
      <c r="R636">
        <f t="shared" si="75"/>
        <v>5.8767327956256402E-2</v>
      </c>
      <c r="S636">
        <f t="shared" si="76"/>
        <v>0.95314355069247325</v>
      </c>
      <c r="T636">
        <f t="shared" si="77"/>
        <v>1.2809572488725558E-6</v>
      </c>
      <c r="U636">
        <f t="shared" si="78"/>
        <v>1.6001825154010173E-3</v>
      </c>
    </row>
    <row r="637" spans="10:21" x14ac:dyDescent="0.35">
      <c r="J637">
        <f t="shared" si="79"/>
        <v>634</v>
      </c>
      <c r="K637">
        <f>demanda!D635</f>
        <v>0</v>
      </c>
      <c r="L637">
        <f>demanda!I635</f>
        <v>14</v>
      </c>
      <c r="M637">
        <v>14.416809279416043</v>
      </c>
      <c r="N637">
        <f t="shared" si="72"/>
        <v>-0.41680927941604295</v>
      </c>
      <c r="O637">
        <v>7.4087557083441532E-4</v>
      </c>
      <c r="P637">
        <f t="shared" si="73"/>
        <v>-4.1996642838463258E-2</v>
      </c>
      <c r="Q637">
        <f t="shared" si="74"/>
        <v>98.553393055166637</v>
      </c>
      <c r="R637">
        <f t="shared" si="75"/>
        <v>-4.2001280140228352E-2</v>
      </c>
      <c r="S637">
        <f t="shared" si="76"/>
        <v>0.96650204701357412</v>
      </c>
      <c r="T637">
        <f t="shared" si="77"/>
        <v>6.5431696937827154E-7</v>
      </c>
      <c r="U637">
        <f t="shared" si="78"/>
        <v>-1.1436578187608104E-3</v>
      </c>
    </row>
    <row r="638" spans="10:21" x14ac:dyDescent="0.35">
      <c r="J638">
        <f t="shared" si="79"/>
        <v>635</v>
      </c>
      <c r="K638">
        <f>demanda!D636</f>
        <v>0</v>
      </c>
      <c r="L638">
        <f>demanda!I636</f>
        <v>15</v>
      </c>
      <c r="M638">
        <v>14.416809279416043</v>
      </c>
      <c r="N638">
        <f t="shared" si="72"/>
        <v>0.58319072058395705</v>
      </c>
      <c r="O638">
        <v>7.4087557083441532E-4</v>
      </c>
      <c r="P638">
        <f t="shared" si="73"/>
        <v>5.8760813658909554E-2</v>
      </c>
      <c r="Q638">
        <f t="shared" si="74"/>
        <v>98.553306243487526</v>
      </c>
      <c r="R638">
        <f t="shared" si="75"/>
        <v>5.8767327956256402E-2</v>
      </c>
      <c r="S638">
        <f t="shared" si="76"/>
        <v>0.95314355069247325</v>
      </c>
      <c r="T638">
        <f t="shared" si="77"/>
        <v>1.2809572488725558E-6</v>
      </c>
      <c r="U638">
        <f t="shared" si="78"/>
        <v>1.6001825154010173E-3</v>
      </c>
    </row>
    <row r="639" spans="10:21" x14ac:dyDescent="0.35">
      <c r="J639">
        <f t="shared" si="79"/>
        <v>636</v>
      </c>
      <c r="K639">
        <f>demanda!D637</f>
        <v>0</v>
      </c>
      <c r="L639">
        <f>demanda!I637</f>
        <v>2</v>
      </c>
      <c r="M639">
        <v>14.416809279416043</v>
      </c>
      <c r="N639">
        <f t="shared" si="72"/>
        <v>-12.416809279416043</v>
      </c>
      <c r="O639">
        <v>7.4087557083441532E-4</v>
      </c>
      <c r="P639">
        <f t="shared" si="73"/>
        <v>-1.2510861208069368</v>
      </c>
      <c r="Q639">
        <f t="shared" si="74"/>
        <v>98.473039768058015</v>
      </c>
      <c r="R639">
        <f t="shared" si="75"/>
        <v>-1.2517346575747474</v>
      </c>
      <c r="S639">
        <f t="shared" si="76"/>
        <v>0.21081911987933932</v>
      </c>
      <c r="T639">
        <f t="shared" si="77"/>
        <v>5.8067542491350977E-4</v>
      </c>
      <c r="U639">
        <f t="shared" si="78"/>
        <v>-3.4083630864815417E-2</v>
      </c>
    </row>
    <row r="640" spans="10:21" x14ac:dyDescent="0.35">
      <c r="J640">
        <f t="shared" si="79"/>
        <v>637</v>
      </c>
      <c r="K640">
        <f>demanda!D638</f>
        <v>2</v>
      </c>
      <c r="L640">
        <f>demanda!I638</f>
        <v>4</v>
      </c>
      <c r="M640">
        <v>9.1555418996444509</v>
      </c>
      <c r="N640">
        <f t="shared" si="72"/>
        <v>-5.1555418996444509</v>
      </c>
      <c r="O640">
        <v>7.3144910189317154E-4</v>
      </c>
      <c r="P640">
        <f t="shared" si="73"/>
        <v>-0.51945928867380853</v>
      </c>
      <c r="Q640">
        <f t="shared" si="74"/>
        <v>98.539615573748293</v>
      </c>
      <c r="R640">
        <f t="shared" si="75"/>
        <v>-0.51955051447259837</v>
      </c>
      <c r="S640">
        <f t="shared" si="76"/>
        <v>0.60343681513546954</v>
      </c>
      <c r="T640">
        <f t="shared" si="77"/>
        <v>9.8830890695332879E-5</v>
      </c>
      <c r="U640">
        <f t="shared" si="78"/>
        <v>-1.4056549457229766E-2</v>
      </c>
    </row>
    <row r="641" spans="10:21" x14ac:dyDescent="0.35">
      <c r="J641">
        <f t="shared" si="79"/>
        <v>638</v>
      </c>
      <c r="K641">
        <f>demanda!D639</f>
        <v>1</v>
      </c>
      <c r="L641">
        <f>demanda!I639</f>
        <v>3</v>
      </c>
      <c r="M641">
        <v>11.786175589530247</v>
      </c>
      <c r="N641">
        <f t="shared" si="72"/>
        <v>-8.7861755895302469</v>
      </c>
      <c r="O641">
        <v>5.2058796926701797E-4</v>
      </c>
      <c r="P641">
        <f t="shared" si="73"/>
        <v>-0.88527270474037267</v>
      </c>
      <c r="Q641">
        <f t="shared" si="74"/>
        <v>98.513214102399758</v>
      </c>
      <c r="R641">
        <f t="shared" si="75"/>
        <v>-0.88545339538896362</v>
      </c>
      <c r="S641">
        <f t="shared" si="76"/>
        <v>0.37602308055069167</v>
      </c>
      <c r="T641">
        <f t="shared" si="77"/>
        <v>2.0420697614382047E-4</v>
      </c>
      <c r="U641">
        <f t="shared" si="78"/>
        <v>-2.0208116875988336E-2</v>
      </c>
    </row>
    <row r="642" spans="10:21" x14ac:dyDescent="0.35">
      <c r="J642">
        <f t="shared" si="79"/>
        <v>639</v>
      </c>
      <c r="K642">
        <f>demanda!D640</f>
        <v>1</v>
      </c>
      <c r="L642">
        <f>demanda!I640</f>
        <v>4</v>
      </c>
      <c r="M642">
        <v>11.786175589530247</v>
      </c>
      <c r="N642">
        <f t="shared" si="72"/>
        <v>-7.7861755895302469</v>
      </c>
      <c r="O642">
        <v>5.2058796926701797E-4</v>
      </c>
      <c r="P642">
        <f t="shared" si="73"/>
        <v>-0.7845152482429999</v>
      </c>
      <c r="Q642">
        <f t="shared" si="74"/>
        <v>98.52185903620547</v>
      </c>
      <c r="R642">
        <f t="shared" si="75"/>
        <v>-0.784640946599786</v>
      </c>
      <c r="S642">
        <f t="shared" si="76"/>
        <v>0.43276096337473069</v>
      </c>
      <c r="T642">
        <f t="shared" si="77"/>
        <v>1.6036855085321727E-4</v>
      </c>
      <c r="U642">
        <f t="shared" si="78"/>
        <v>-1.7907341071981879E-2</v>
      </c>
    </row>
    <row r="643" spans="10:21" x14ac:dyDescent="0.35">
      <c r="J643">
        <f t="shared" si="79"/>
        <v>640</v>
      </c>
      <c r="K643">
        <f>demanda!D641</f>
        <v>0</v>
      </c>
      <c r="L643">
        <f>demanda!I641</f>
        <v>18</v>
      </c>
      <c r="M643">
        <v>14.416809279416043</v>
      </c>
      <c r="N643">
        <f t="shared" si="72"/>
        <v>3.583190720583957</v>
      </c>
      <c r="O643">
        <v>7.4087557083441532E-4</v>
      </c>
      <c r="P643">
        <f t="shared" si="73"/>
        <v>0.36103318315102795</v>
      </c>
      <c r="Q643">
        <f t="shared" si="74"/>
        <v>98.546784652507341</v>
      </c>
      <c r="R643">
        <f t="shared" si="75"/>
        <v>0.3610851550254302</v>
      </c>
      <c r="S643">
        <f t="shared" si="76"/>
        <v>0.7180755365508017</v>
      </c>
      <c r="T643">
        <f t="shared" si="77"/>
        <v>4.8356323571821784E-5</v>
      </c>
      <c r="U643">
        <f t="shared" si="78"/>
        <v>9.8320303429934326E-3</v>
      </c>
    </row>
    <row r="644" spans="10:21" x14ac:dyDescent="0.35">
      <c r="J644">
        <f t="shared" si="79"/>
        <v>641</v>
      </c>
      <c r="K644">
        <f>demanda!D642</f>
        <v>7</v>
      </c>
      <c r="L644">
        <f>demanda!I642</f>
        <v>2</v>
      </c>
      <c r="M644">
        <v>-3.9976265497845276</v>
      </c>
      <c r="N644">
        <f t="shared" si="72"/>
        <v>5.9976265497845276</v>
      </c>
      <c r="O644">
        <v>8.2529857779272044E-3</v>
      </c>
      <c r="P644">
        <f t="shared" si="73"/>
        <v>0.60430559617740265</v>
      </c>
      <c r="Q644">
        <f t="shared" si="74"/>
        <v>98.534572925657486</v>
      </c>
      <c r="R644">
        <f t="shared" si="75"/>
        <v>0.60671488537774965</v>
      </c>
      <c r="S644">
        <f t="shared" si="76"/>
        <v>0.54411191093668032</v>
      </c>
      <c r="T644">
        <f t="shared" si="77"/>
        <v>1.5321191111339831E-3</v>
      </c>
      <c r="U644">
        <f t="shared" si="78"/>
        <v>5.5346447184707208E-2</v>
      </c>
    </row>
    <row r="645" spans="10:21" x14ac:dyDescent="0.35">
      <c r="J645">
        <f t="shared" si="79"/>
        <v>642</v>
      </c>
      <c r="K645">
        <f>demanda!D643</f>
        <v>0</v>
      </c>
      <c r="L645">
        <f>demanda!I643</f>
        <v>4</v>
      </c>
      <c r="M645">
        <v>14.416809279416043</v>
      </c>
      <c r="N645">
        <f t="shared" ref="N645:N708" si="80">L645-M645</f>
        <v>-10.416809279416043</v>
      </c>
      <c r="O645">
        <v>7.4087557083441532E-4</v>
      </c>
      <c r="P645">
        <f t="shared" ref="P645:P708" si="81">N645/SQRT($X$6)</f>
        <v>-1.0495712078121913</v>
      </c>
      <c r="Q645">
        <f t="shared" ref="Q645:Q708" si="82">($X$6-N645^2/((1-O645)*$X$5))*$X$5/($X$5-1)</f>
        <v>98.49686724248096</v>
      </c>
      <c r="R645">
        <f t="shared" ref="R645:R708" si="83">N645/SQRT(Q645*(1-O645))</f>
        <v>-1.049988258586362</v>
      </c>
      <c r="S645">
        <f t="shared" ref="S645:S708" si="84">_xlfn.T.DIST.2T(ABS(R645),$X$5)</f>
        <v>0.29385572056513598</v>
      </c>
      <c r="T645">
        <f t="shared" ref="T645:T708" si="85">(N645^2/$X$6)*(O645/(1-O645)^2)/($X$7+1)</f>
        <v>4.0867949778204384E-4</v>
      </c>
      <c r="U645">
        <f t="shared" ref="U645:U708" si="86">R645*SQRT(O645/(1-O645))</f>
        <v>-2.8590254333443563E-2</v>
      </c>
    </row>
    <row r="646" spans="10:21" x14ac:dyDescent="0.35">
      <c r="J646">
        <f t="shared" ref="J646:J709" si="87">J645+1</f>
        <v>643</v>
      </c>
      <c r="K646">
        <f>demanda!D644</f>
        <v>2</v>
      </c>
      <c r="L646">
        <f>demanda!I644</f>
        <v>2</v>
      </c>
      <c r="M646">
        <v>9.1555418996444509</v>
      </c>
      <c r="N646">
        <f t="shared" si="80"/>
        <v>-7.1555418996444509</v>
      </c>
      <c r="O646">
        <v>7.3144910189317154E-4</v>
      </c>
      <c r="P646">
        <f t="shared" si="81"/>
        <v>-0.72097420166855408</v>
      </c>
      <c r="Q646">
        <f t="shared" si="82"/>
        <v>98.526768759022602</v>
      </c>
      <c r="R646">
        <f t="shared" si="83"/>
        <v>-0.72114782718324122</v>
      </c>
      <c r="S646">
        <f t="shared" si="84"/>
        <v>0.47090641241117204</v>
      </c>
      <c r="T646">
        <f t="shared" si="85"/>
        <v>1.9038342084795563E-4</v>
      </c>
      <c r="U646">
        <f t="shared" si="86"/>
        <v>-1.9510807546913981E-2</v>
      </c>
    </row>
    <row r="647" spans="10:21" x14ac:dyDescent="0.35">
      <c r="J647">
        <f t="shared" si="87"/>
        <v>644</v>
      </c>
      <c r="K647">
        <f>demanda!D645</f>
        <v>4</v>
      </c>
      <c r="L647">
        <f>demanda!I645</f>
        <v>9</v>
      </c>
      <c r="M647">
        <v>3.8942745198728588</v>
      </c>
      <c r="N647">
        <f t="shared" si="80"/>
        <v>5.1057254801271412</v>
      </c>
      <c r="O647">
        <v>2.4466175697261316E-3</v>
      </c>
      <c r="P647">
        <f t="shared" si="81"/>
        <v>0.51443991295143832</v>
      </c>
      <c r="Q647">
        <f t="shared" si="82"/>
        <v>98.539858899896856</v>
      </c>
      <c r="R647">
        <f t="shared" si="83"/>
        <v>0.51497176673782419</v>
      </c>
      <c r="S647">
        <f t="shared" si="84"/>
        <v>0.6066320587866616</v>
      </c>
      <c r="T647">
        <f t="shared" si="85"/>
        <v>3.2533674376654739E-4</v>
      </c>
      <c r="U647">
        <f t="shared" si="86"/>
        <v>2.5503418167362787E-2</v>
      </c>
    </row>
    <row r="648" spans="10:21" x14ac:dyDescent="0.35">
      <c r="J648">
        <f t="shared" si="87"/>
        <v>645</v>
      </c>
      <c r="K648">
        <f>demanda!D646</f>
        <v>0</v>
      </c>
      <c r="L648">
        <f>demanda!I646</f>
        <v>24</v>
      </c>
      <c r="M648">
        <v>14.416809279416043</v>
      </c>
      <c r="N648">
        <f t="shared" si="80"/>
        <v>9.583190720583957</v>
      </c>
      <c r="O648">
        <v>7.4087557083441532E-4</v>
      </c>
      <c r="P648">
        <f t="shared" si="81"/>
        <v>0.96557792213526483</v>
      </c>
      <c r="Q648">
        <f t="shared" si="82"/>
        <v>98.505566268803875</v>
      </c>
      <c r="R648">
        <f t="shared" si="83"/>
        <v>0.9659189449099983</v>
      </c>
      <c r="S648">
        <f t="shared" si="84"/>
        <v>0.33420645107335933</v>
      </c>
      <c r="T648">
        <f t="shared" si="85"/>
        <v>3.4588656089781892E-4</v>
      </c>
      <c r="U648">
        <f t="shared" si="86"/>
        <v>2.6301121059818876E-2</v>
      </c>
    </row>
    <row r="649" spans="10:21" x14ac:dyDescent="0.35">
      <c r="J649">
        <f t="shared" si="87"/>
        <v>646</v>
      </c>
      <c r="K649">
        <f>demanda!D647</f>
        <v>1</v>
      </c>
      <c r="L649">
        <f>demanda!I647</f>
        <v>9</v>
      </c>
      <c r="M649">
        <v>11.786175589530247</v>
      </c>
      <c r="N649">
        <f t="shared" si="80"/>
        <v>-2.7861755895302469</v>
      </c>
      <c r="O649">
        <v>5.2058796926701797E-4</v>
      </c>
      <c r="P649">
        <f t="shared" si="81"/>
        <v>-0.2807279657561359</v>
      </c>
      <c r="Q649">
        <f t="shared" si="82"/>
        <v>98.549434265310296</v>
      </c>
      <c r="R649">
        <f t="shared" si="83"/>
        <v>-0.2807336607336009</v>
      </c>
      <c r="S649">
        <f t="shared" si="84"/>
        <v>0.77894495126310248</v>
      </c>
      <c r="T649">
        <f t="shared" si="85"/>
        <v>2.0534672635962656E-5</v>
      </c>
      <c r="U649">
        <f t="shared" si="86"/>
        <v>-6.4069985576559628E-3</v>
      </c>
    </row>
    <row r="650" spans="10:21" x14ac:dyDescent="0.35">
      <c r="J650">
        <f t="shared" si="87"/>
        <v>647</v>
      </c>
      <c r="K650">
        <f>demanda!D648</f>
        <v>1</v>
      </c>
      <c r="L650">
        <f>demanda!I648</f>
        <v>11</v>
      </c>
      <c r="M650">
        <v>11.786175589530247</v>
      </c>
      <c r="N650">
        <f t="shared" si="80"/>
        <v>-0.78617558953024691</v>
      </c>
      <c r="O650">
        <v>5.2058796926701797E-4</v>
      </c>
      <c r="P650">
        <f t="shared" si="81"/>
        <v>-7.9213052761390276E-2</v>
      </c>
      <c r="Q650">
        <f t="shared" si="82"/>
        <v>98.553161284987851</v>
      </c>
      <c r="R650">
        <f t="shared" si="83"/>
        <v>-7.9213161855515926E-2</v>
      </c>
      <c r="S650">
        <f t="shared" si="84"/>
        <v>0.93687133485398588</v>
      </c>
      <c r="T650">
        <f t="shared" si="85"/>
        <v>1.6349705257494771E-6</v>
      </c>
      <c r="U650">
        <f t="shared" si="86"/>
        <v>-1.8078295720913319E-3</v>
      </c>
    </row>
    <row r="651" spans="10:21" x14ac:dyDescent="0.35">
      <c r="J651">
        <f t="shared" si="87"/>
        <v>648</v>
      </c>
      <c r="K651">
        <f>demanda!D649</f>
        <v>0</v>
      </c>
      <c r="L651">
        <f>demanda!I649</f>
        <v>5</v>
      </c>
      <c r="M651">
        <v>14.416809279416043</v>
      </c>
      <c r="N651">
        <f t="shared" si="80"/>
        <v>-9.416809279416043</v>
      </c>
      <c r="O651">
        <v>7.4087557083441532E-4</v>
      </c>
      <c r="P651">
        <f t="shared" si="81"/>
        <v>-0.94881375131481849</v>
      </c>
      <c r="Q651">
        <f t="shared" si="82"/>
        <v>98.507215690706701</v>
      </c>
      <c r="R651">
        <f t="shared" si="83"/>
        <v>-0.94914090693055775</v>
      </c>
      <c r="S651">
        <f t="shared" si="84"/>
        <v>0.34266846368408377</v>
      </c>
      <c r="T651">
        <f t="shared" si="85"/>
        <v>3.339803955874275E-4</v>
      </c>
      <c r="U651">
        <f t="shared" si="86"/>
        <v>-2.5844269881602652E-2</v>
      </c>
    </row>
    <row r="652" spans="10:21" x14ac:dyDescent="0.35">
      <c r="J652">
        <f t="shared" si="87"/>
        <v>649</v>
      </c>
      <c r="K652">
        <f>demanda!D650</f>
        <v>0</v>
      </c>
      <c r="L652">
        <f>demanda!I650</f>
        <v>16</v>
      </c>
      <c r="M652">
        <v>14.416809279416043</v>
      </c>
      <c r="N652">
        <f t="shared" si="80"/>
        <v>1.583190720583957</v>
      </c>
      <c r="O652">
        <v>7.4087557083441532E-4</v>
      </c>
      <c r="P652">
        <f t="shared" si="81"/>
        <v>0.15951827015628237</v>
      </c>
      <c r="Q652">
        <f t="shared" si="82"/>
        <v>98.552175905817947</v>
      </c>
      <c r="R652">
        <f t="shared" si="83"/>
        <v>0.1595368694422851</v>
      </c>
      <c r="S652">
        <f t="shared" si="84"/>
        <v>0.87326270170878273</v>
      </c>
      <c r="T652">
        <f t="shared" si="85"/>
        <v>9.440171775777902E-6</v>
      </c>
      <c r="U652">
        <f t="shared" si="86"/>
        <v>4.3440482649370034E-3</v>
      </c>
    </row>
    <row r="653" spans="10:21" x14ac:dyDescent="0.35">
      <c r="J653">
        <f t="shared" si="87"/>
        <v>650</v>
      </c>
      <c r="K653">
        <f>demanda!D651</f>
        <v>6</v>
      </c>
      <c r="L653">
        <f>demanda!I651</f>
        <v>3</v>
      </c>
      <c r="M653">
        <v>-1.3669928598987333</v>
      </c>
      <c r="N653">
        <f t="shared" si="80"/>
        <v>4.3669928598987333</v>
      </c>
      <c r="O653">
        <v>5.8863809743332956E-3</v>
      </c>
      <c r="P653">
        <f t="shared" si="81"/>
        <v>0.44000709310558428</v>
      </c>
      <c r="Q653">
        <f t="shared" si="82"/>
        <v>98.543481851032595</v>
      </c>
      <c r="R653">
        <f t="shared" si="83"/>
        <v>0.44121525371752685</v>
      </c>
      <c r="S653">
        <f t="shared" si="84"/>
        <v>0.65910687609302177</v>
      </c>
      <c r="T653">
        <f t="shared" si="85"/>
        <v>5.7658810569327667E-4</v>
      </c>
      <c r="U653">
        <f t="shared" si="86"/>
        <v>3.3951322043777717E-2</v>
      </c>
    </row>
    <row r="654" spans="10:21" x14ac:dyDescent="0.35">
      <c r="J654">
        <f t="shared" si="87"/>
        <v>651</v>
      </c>
      <c r="K654">
        <f>demanda!D652</f>
        <v>3</v>
      </c>
      <c r="L654">
        <f>demanda!I652</f>
        <v>3</v>
      </c>
      <c r="M654">
        <v>6.5249082097586548</v>
      </c>
      <c r="N654">
        <f t="shared" si="80"/>
        <v>-3.5249082097586548</v>
      </c>
      <c r="O654">
        <v>1.3734589687128761E-3</v>
      </c>
      <c r="P654">
        <f t="shared" si="81"/>
        <v>-0.35516078560198994</v>
      </c>
      <c r="Q654">
        <f t="shared" si="82"/>
        <v>98.546996700749531</v>
      </c>
      <c r="R654">
        <f t="shared" si="83"/>
        <v>-0.35532401713098288</v>
      </c>
      <c r="S654">
        <f t="shared" si="84"/>
        <v>0.72238591463660118</v>
      </c>
      <c r="T654">
        <f t="shared" si="85"/>
        <v>8.6861935283639592E-5</v>
      </c>
      <c r="U654">
        <f t="shared" si="86"/>
        <v>-1.3177434192717408E-2</v>
      </c>
    </row>
    <row r="655" spans="10:21" x14ac:dyDescent="0.35">
      <c r="J655">
        <f t="shared" si="87"/>
        <v>652</v>
      </c>
      <c r="K655">
        <f>demanda!D653</f>
        <v>2</v>
      </c>
      <c r="L655">
        <f>demanda!I653</f>
        <v>4</v>
      </c>
      <c r="M655">
        <v>9.1555418996444509</v>
      </c>
      <c r="N655">
        <f t="shared" si="80"/>
        <v>-5.1555418996444509</v>
      </c>
      <c r="O655">
        <v>7.3144910189317154E-4</v>
      </c>
      <c r="P655">
        <f t="shared" si="81"/>
        <v>-0.51945928867380853</v>
      </c>
      <c r="Q655">
        <f t="shared" si="82"/>
        <v>98.539615573748293</v>
      </c>
      <c r="R655">
        <f t="shared" si="83"/>
        <v>-0.51955051447259837</v>
      </c>
      <c r="S655">
        <f t="shared" si="84"/>
        <v>0.60343681513546954</v>
      </c>
      <c r="T655">
        <f t="shared" si="85"/>
        <v>9.8830890695332879E-5</v>
      </c>
      <c r="U655">
        <f t="shared" si="86"/>
        <v>-1.4056549457229766E-2</v>
      </c>
    </row>
    <row r="656" spans="10:21" x14ac:dyDescent="0.35">
      <c r="J656">
        <f t="shared" si="87"/>
        <v>653</v>
      </c>
      <c r="K656">
        <f>demanda!D654</f>
        <v>2</v>
      </c>
      <c r="L656">
        <f>demanda!I654</f>
        <v>3</v>
      </c>
      <c r="M656">
        <v>9.1555418996444509</v>
      </c>
      <c r="N656">
        <f t="shared" si="80"/>
        <v>-6.1555418996444509</v>
      </c>
      <c r="O656">
        <v>7.3144910189317154E-4</v>
      </c>
      <c r="P656">
        <f t="shared" si="81"/>
        <v>-0.62021674517118131</v>
      </c>
      <c r="Q656">
        <f t="shared" si="82"/>
        <v>98.533713924458709</v>
      </c>
      <c r="R656">
        <f t="shared" si="83"/>
        <v>-0.62034424251421916</v>
      </c>
      <c r="S656">
        <f t="shared" si="84"/>
        <v>0.53510483257501296</v>
      </c>
      <c r="T656">
        <f t="shared" si="85"/>
        <v>1.4088885884323287E-4</v>
      </c>
      <c r="U656">
        <f t="shared" si="86"/>
        <v>-1.6783545165498539E-2</v>
      </c>
    </row>
    <row r="657" spans="10:21" x14ac:dyDescent="0.35">
      <c r="J657">
        <f t="shared" si="87"/>
        <v>654</v>
      </c>
      <c r="K657">
        <f>demanda!D655</f>
        <v>6</v>
      </c>
      <c r="L657">
        <f>demanda!I655</f>
        <v>1</v>
      </c>
      <c r="M657">
        <v>-1.3669928598987333</v>
      </c>
      <c r="N657">
        <f t="shared" si="80"/>
        <v>2.3669928598987333</v>
      </c>
      <c r="O657">
        <v>5.8863809743332956E-3</v>
      </c>
      <c r="P657">
        <f t="shared" si="81"/>
        <v>0.23849218011083867</v>
      </c>
      <c r="Q657">
        <f t="shared" si="82"/>
        <v>98.550545312175373</v>
      </c>
      <c r="R657">
        <f t="shared" si="83"/>
        <v>0.23913845564622888</v>
      </c>
      <c r="S657">
        <f t="shared" si="84"/>
        <v>0.81102375974092389</v>
      </c>
      <c r="T657">
        <f t="shared" si="85"/>
        <v>1.6939266911290566E-4</v>
      </c>
      <c r="U657">
        <f t="shared" si="86"/>
        <v>1.840160024452538E-2</v>
      </c>
    </row>
    <row r="658" spans="10:21" x14ac:dyDescent="0.35">
      <c r="J658">
        <f t="shared" si="87"/>
        <v>655</v>
      </c>
      <c r="K658">
        <f>demanda!D656</f>
        <v>0</v>
      </c>
      <c r="L658">
        <f>demanda!I656</f>
        <v>17</v>
      </c>
      <c r="M658">
        <v>14.416809279416043</v>
      </c>
      <c r="N658">
        <f t="shared" si="80"/>
        <v>2.583190720583957</v>
      </c>
      <c r="O658">
        <v>7.4087557083441532E-4</v>
      </c>
      <c r="P658">
        <f t="shared" si="81"/>
        <v>0.26027572665365517</v>
      </c>
      <c r="Q658">
        <f t="shared" si="82"/>
        <v>98.550002042157871</v>
      </c>
      <c r="R658">
        <f t="shared" si="83"/>
        <v>0.26030894487816103</v>
      </c>
      <c r="S658">
        <f t="shared" si="84"/>
        <v>0.79465340036911658</v>
      </c>
      <c r="T658">
        <f t="shared" si="85"/>
        <v>2.5131960550094309E-5</v>
      </c>
      <c r="U658">
        <f t="shared" si="86"/>
        <v>7.0879830116927275E-3</v>
      </c>
    </row>
    <row r="659" spans="10:21" x14ac:dyDescent="0.35">
      <c r="J659">
        <f t="shared" si="87"/>
        <v>656</v>
      </c>
      <c r="K659">
        <f>demanda!D657</f>
        <v>0</v>
      </c>
      <c r="L659">
        <f>demanda!I657</f>
        <v>4</v>
      </c>
      <c r="M659">
        <v>14.416809279416043</v>
      </c>
      <c r="N659">
        <f t="shared" si="80"/>
        <v>-10.416809279416043</v>
      </c>
      <c r="O659">
        <v>7.4087557083441532E-4</v>
      </c>
      <c r="P659">
        <f t="shared" si="81"/>
        <v>-1.0495712078121913</v>
      </c>
      <c r="Q659">
        <f t="shared" si="82"/>
        <v>98.49686724248096</v>
      </c>
      <c r="R659">
        <f t="shared" si="83"/>
        <v>-1.049988258586362</v>
      </c>
      <c r="S659">
        <f t="shared" si="84"/>
        <v>0.29385572056513598</v>
      </c>
      <c r="T659">
        <f t="shared" si="85"/>
        <v>4.0867949778204384E-4</v>
      </c>
      <c r="U659">
        <f t="shared" si="86"/>
        <v>-2.8590254333443563E-2</v>
      </c>
    </row>
    <row r="660" spans="10:21" x14ac:dyDescent="0.35">
      <c r="J660">
        <f t="shared" si="87"/>
        <v>657</v>
      </c>
      <c r="K660">
        <f>demanda!D658</f>
        <v>2</v>
      </c>
      <c r="L660">
        <f>demanda!I658</f>
        <v>8</v>
      </c>
      <c r="M660">
        <v>9.1555418996444509</v>
      </c>
      <c r="N660">
        <f t="shared" si="80"/>
        <v>-1.1555418996444509</v>
      </c>
      <c r="O660">
        <v>7.3144910189317154E-4</v>
      </c>
      <c r="P660">
        <f t="shared" si="81"/>
        <v>-0.11642946268431729</v>
      </c>
      <c r="Q660">
        <f t="shared" si="82"/>
        <v>98.552787009441474</v>
      </c>
      <c r="R660">
        <f t="shared" si="83"/>
        <v>-0.11644212771865178</v>
      </c>
      <c r="S660">
        <f t="shared" si="84"/>
        <v>0.90731433340227419</v>
      </c>
      <c r="T660">
        <f t="shared" si="85"/>
        <v>4.964956671961163E-6</v>
      </c>
      <c r="U660">
        <f t="shared" si="86"/>
        <v>-3.1503664833126038E-3</v>
      </c>
    </row>
    <row r="661" spans="10:21" x14ac:dyDescent="0.35">
      <c r="J661">
        <f t="shared" si="87"/>
        <v>658</v>
      </c>
      <c r="K661">
        <f>demanda!D659</f>
        <v>0</v>
      </c>
      <c r="L661">
        <f>demanda!I659</f>
        <v>18</v>
      </c>
      <c r="M661">
        <v>14.416809279416043</v>
      </c>
      <c r="N661">
        <f t="shared" si="80"/>
        <v>3.583190720583957</v>
      </c>
      <c r="O661">
        <v>7.4087557083441532E-4</v>
      </c>
      <c r="P661">
        <f t="shared" si="81"/>
        <v>0.36103318315102795</v>
      </c>
      <c r="Q661">
        <f t="shared" si="82"/>
        <v>98.546784652507341</v>
      </c>
      <c r="R661">
        <f t="shared" si="83"/>
        <v>0.3610851550254302</v>
      </c>
      <c r="S661">
        <f t="shared" si="84"/>
        <v>0.7180755365508017</v>
      </c>
      <c r="T661">
        <f t="shared" si="85"/>
        <v>4.8356323571821784E-5</v>
      </c>
      <c r="U661">
        <f t="shared" si="86"/>
        <v>9.8320303429934326E-3</v>
      </c>
    </row>
    <row r="662" spans="10:21" x14ac:dyDescent="0.35">
      <c r="J662">
        <f t="shared" si="87"/>
        <v>659</v>
      </c>
      <c r="K662">
        <f>demanda!D660</f>
        <v>0</v>
      </c>
      <c r="L662">
        <f>demanda!I660</f>
        <v>8</v>
      </c>
      <c r="M662">
        <v>14.416809279416043</v>
      </c>
      <c r="N662">
        <f t="shared" si="80"/>
        <v>-6.416809279416043</v>
      </c>
      <c r="O662">
        <v>7.4087557083441532E-4</v>
      </c>
      <c r="P662">
        <f t="shared" si="81"/>
        <v>-0.64654138182270005</v>
      </c>
      <c r="Q662">
        <f t="shared" si="82"/>
        <v>98.531999879441045</v>
      </c>
      <c r="R662">
        <f t="shared" si="83"/>
        <v>-0.64668296559256133</v>
      </c>
      <c r="S662">
        <f t="shared" si="84"/>
        <v>0.51791448613837154</v>
      </c>
      <c r="T662">
        <f t="shared" si="85"/>
        <v>1.5507853448804487E-4</v>
      </c>
      <c r="U662">
        <f t="shared" si="86"/>
        <v>-1.7608606866032061E-2</v>
      </c>
    </row>
    <row r="663" spans="10:21" x14ac:dyDescent="0.35">
      <c r="J663">
        <f t="shared" si="87"/>
        <v>660</v>
      </c>
      <c r="K663">
        <f>demanda!D661</f>
        <v>0</v>
      </c>
      <c r="L663">
        <f>demanda!I661</f>
        <v>12</v>
      </c>
      <c r="M663">
        <v>14.416809279416043</v>
      </c>
      <c r="N663">
        <f t="shared" si="80"/>
        <v>-2.416809279416043</v>
      </c>
      <c r="O663">
        <v>7.4087557083441532E-4</v>
      </c>
      <c r="P663">
        <f t="shared" si="81"/>
        <v>-0.24351155583320885</v>
      </c>
      <c r="Q663">
        <f t="shared" si="82"/>
        <v>98.55043610055337</v>
      </c>
      <c r="R663">
        <f t="shared" si="83"/>
        <v>-0.24354209816225414</v>
      </c>
      <c r="S663">
        <f t="shared" si="84"/>
        <v>0.80761150818210881</v>
      </c>
      <c r="T663">
        <f t="shared" si="85"/>
        <v>2.199875915262289E-5</v>
      </c>
      <c r="U663">
        <f t="shared" si="86"/>
        <v>-6.6314365617133417E-3</v>
      </c>
    </row>
    <row r="664" spans="10:21" x14ac:dyDescent="0.35">
      <c r="J664">
        <f t="shared" si="87"/>
        <v>661</v>
      </c>
      <c r="K664">
        <f>demanda!D662</f>
        <v>3</v>
      </c>
      <c r="L664">
        <f>demanda!I662</f>
        <v>3</v>
      </c>
      <c r="M664">
        <v>6.5249082097586548</v>
      </c>
      <c r="N664">
        <f t="shared" si="80"/>
        <v>-3.5249082097586548</v>
      </c>
      <c r="O664">
        <v>1.3734589687128761E-3</v>
      </c>
      <c r="P664">
        <f t="shared" si="81"/>
        <v>-0.35516078560198994</v>
      </c>
      <c r="Q664">
        <f t="shared" si="82"/>
        <v>98.546996700749531</v>
      </c>
      <c r="R664">
        <f t="shared" si="83"/>
        <v>-0.35532401713098288</v>
      </c>
      <c r="S664">
        <f t="shared" si="84"/>
        <v>0.72238591463660118</v>
      </c>
      <c r="T664">
        <f t="shared" si="85"/>
        <v>8.6861935283639592E-5</v>
      </c>
      <c r="U664">
        <f t="shared" si="86"/>
        <v>-1.3177434192717408E-2</v>
      </c>
    </row>
    <row r="665" spans="10:21" x14ac:dyDescent="0.35">
      <c r="J665">
        <f t="shared" si="87"/>
        <v>662</v>
      </c>
      <c r="K665">
        <f>demanda!D663</f>
        <v>0</v>
      </c>
      <c r="L665">
        <f>demanda!I663</f>
        <v>20</v>
      </c>
      <c r="M665">
        <v>14.416809279416043</v>
      </c>
      <c r="N665">
        <f t="shared" si="80"/>
        <v>5.583190720583957</v>
      </c>
      <c r="O665">
        <v>7.4087557083441532E-4</v>
      </c>
      <c r="P665">
        <f t="shared" si="81"/>
        <v>0.56254809614577361</v>
      </c>
      <c r="Q665">
        <f t="shared" si="82"/>
        <v>98.537219295234792</v>
      </c>
      <c r="R665">
        <f t="shared" si="83"/>
        <v>0.56265638426953379</v>
      </c>
      <c r="S665">
        <f t="shared" si="84"/>
        <v>0.57373461200688847</v>
      </c>
      <c r="T665">
        <f t="shared" si="85"/>
        <v>1.1740277235750991E-4</v>
      </c>
      <c r="U665">
        <f t="shared" si="86"/>
        <v>1.5320637156704552E-2</v>
      </c>
    </row>
    <row r="666" spans="10:21" x14ac:dyDescent="0.35">
      <c r="J666">
        <f t="shared" si="87"/>
        <v>663</v>
      </c>
      <c r="K666">
        <f>demanda!D664</f>
        <v>1</v>
      </c>
      <c r="L666">
        <f>demanda!I664</f>
        <v>3</v>
      </c>
      <c r="M666">
        <v>11.786175589530247</v>
      </c>
      <c r="N666">
        <f t="shared" si="80"/>
        <v>-8.7861755895302469</v>
      </c>
      <c r="O666">
        <v>5.2058796926701797E-4</v>
      </c>
      <c r="P666">
        <f t="shared" si="81"/>
        <v>-0.88527270474037267</v>
      </c>
      <c r="Q666">
        <f t="shared" si="82"/>
        <v>98.513214102399758</v>
      </c>
      <c r="R666">
        <f t="shared" si="83"/>
        <v>-0.88545339538896362</v>
      </c>
      <c r="S666">
        <f t="shared" si="84"/>
        <v>0.37602308055069167</v>
      </c>
      <c r="T666">
        <f t="shared" si="85"/>
        <v>2.0420697614382047E-4</v>
      </c>
      <c r="U666">
        <f t="shared" si="86"/>
        <v>-2.0208116875988336E-2</v>
      </c>
    </row>
    <row r="667" spans="10:21" x14ac:dyDescent="0.35">
      <c r="J667">
        <f t="shared" si="87"/>
        <v>664</v>
      </c>
      <c r="K667">
        <f>demanda!D665</f>
        <v>2</v>
      </c>
      <c r="L667">
        <f>demanda!I665</f>
        <v>4</v>
      </c>
      <c r="M667">
        <v>9.1555418996444509</v>
      </c>
      <c r="N667">
        <f t="shared" si="80"/>
        <v>-5.1555418996444509</v>
      </c>
      <c r="O667">
        <v>7.3144910189317154E-4</v>
      </c>
      <c r="P667">
        <f t="shared" si="81"/>
        <v>-0.51945928867380853</v>
      </c>
      <c r="Q667">
        <f t="shared" si="82"/>
        <v>98.539615573748293</v>
      </c>
      <c r="R667">
        <f t="shared" si="83"/>
        <v>-0.51955051447259837</v>
      </c>
      <c r="S667">
        <f t="shared" si="84"/>
        <v>0.60343681513546954</v>
      </c>
      <c r="T667">
        <f t="shared" si="85"/>
        <v>9.8830890695332879E-5</v>
      </c>
      <c r="U667">
        <f t="shared" si="86"/>
        <v>-1.4056549457229766E-2</v>
      </c>
    </row>
    <row r="668" spans="10:21" x14ac:dyDescent="0.35">
      <c r="J668">
        <f t="shared" si="87"/>
        <v>665</v>
      </c>
      <c r="K668">
        <f>demanda!D666</f>
        <v>2</v>
      </c>
      <c r="L668">
        <f>demanda!I666</f>
        <v>4</v>
      </c>
      <c r="M668">
        <v>9.1555418996444509</v>
      </c>
      <c r="N668">
        <f t="shared" si="80"/>
        <v>-5.1555418996444509</v>
      </c>
      <c r="O668">
        <v>7.3144910189317154E-4</v>
      </c>
      <c r="P668">
        <f t="shared" si="81"/>
        <v>-0.51945928867380853</v>
      </c>
      <c r="Q668">
        <f t="shared" si="82"/>
        <v>98.539615573748293</v>
      </c>
      <c r="R668">
        <f t="shared" si="83"/>
        <v>-0.51955051447259837</v>
      </c>
      <c r="S668">
        <f t="shared" si="84"/>
        <v>0.60343681513546954</v>
      </c>
      <c r="T668">
        <f t="shared" si="85"/>
        <v>9.8830890695332879E-5</v>
      </c>
      <c r="U668">
        <f t="shared" si="86"/>
        <v>-1.4056549457229766E-2</v>
      </c>
    </row>
    <row r="669" spans="10:21" x14ac:dyDescent="0.35">
      <c r="J669">
        <f t="shared" si="87"/>
        <v>666</v>
      </c>
      <c r="K669">
        <f>demanda!D667</f>
        <v>4</v>
      </c>
      <c r="L669">
        <f>demanda!I667</f>
        <v>3</v>
      </c>
      <c r="M669">
        <v>3.8942745198728588</v>
      </c>
      <c r="N669">
        <f t="shared" si="80"/>
        <v>-0.89427451987285878</v>
      </c>
      <c r="O669">
        <v>2.4466175697261316E-3</v>
      </c>
      <c r="P669">
        <f t="shared" si="81"/>
        <v>-9.0104826032798527E-2</v>
      </c>
      <c r="Q669">
        <f t="shared" si="82"/>
        <v>98.553065719630368</v>
      </c>
      <c r="R669">
        <f t="shared" si="83"/>
        <v>-9.0191937130002245E-2</v>
      </c>
      <c r="S669">
        <f t="shared" si="84"/>
        <v>0.92814410376796586</v>
      </c>
      <c r="T669">
        <f t="shared" si="85"/>
        <v>9.9806748742546123E-6</v>
      </c>
      <c r="U669">
        <f t="shared" si="86"/>
        <v>-4.4666578568412878E-3</v>
      </c>
    </row>
    <row r="670" spans="10:21" x14ac:dyDescent="0.35">
      <c r="J670">
        <f t="shared" si="87"/>
        <v>667</v>
      </c>
      <c r="K670">
        <f>demanda!D668</f>
        <v>0</v>
      </c>
      <c r="L670">
        <f>demanda!I668</f>
        <v>4</v>
      </c>
      <c r="M670">
        <v>14.416809279416043</v>
      </c>
      <c r="N670">
        <f t="shared" si="80"/>
        <v>-10.416809279416043</v>
      </c>
      <c r="O670">
        <v>7.4087557083441532E-4</v>
      </c>
      <c r="P670">
        <f t="shared" si="81"/>
        <v>-1.0495712078121913</v>
      </c>
      <c r="Q670">
        <f t="shared" si="82"/>
        <v>98.49686724248096</v>
      </c>
      <c r="R670">
        <f t="shared" si="83"/>
        <v>-1.049988258586362</v>
      </c>
      <c r="S670">
        <f t="shared" si="84"/>
        <v>0.29385572056513598</v>
      </c>
      <c r="T670">
        <f t="shared" si="85"/>
        <v>4.0867949778204384E-4</v>
      </c>
      <c r="U670">
        <f t="shared" si="86"/>
        <v>-2.8590254333443563E-2</v>
      </c>
    </row>
    <row r="671" spans="10:21" x14ac:dyDescent="0.35">
      <c r="J671">
        <f t="shared" si="87"/>
        <v>668</v>
      </c>
      <c r="K671">
        <f>demanda!D669</f>
        <v>0</v>
      </c>
      <c r="L671">
        <f>demanda!I669</f>
        <v>21</v>
      </c>
      <c r="M671">
        <v>14.416809279416043</v>
      </c>
      <c r="N671">
        <f t="shared" si="80"/>
        <v>6.583190720583957</v>
      </c>
      <c r="O671">
        <v>7.4087557083441532E-4</v>
      </c>
      <c r="P671">
        <f t="shared" si="81"/>
        <v>0.66330555264314639</v>
      </c>
      <c r="Q671">
        <f t="shared" si="82"/>
        <v>98.530871327612786</v>
      </c>
      <c r="R671">
        <f t="shared" si="83"/>
        <v>0.66345460704039183</v>
      </c>
      <c r="S671">
        <f t="shared" si="84"/>
        <v>0.507119133075143</v>
      </c>
      <c r="T671">
        <f t="shared" si="85"/>
        <v>1.6322485812147056E-4</v>
      </c>
      <c r="U671">
        <f t="shared" si="86"/>
        <v>1.8065283872333419E-2</v>
      </c>
    </row>
    <row r="672" spans="10:21" x14ac:dyDescent="0.35">
      <c r="J672">
        <f t="shared" si="87"/>
        <v>669</v>
      </c>
      <c r="K672">
        <f>demanda!D670</f>
        <v>0</v>
      </c>
      <c r="L672">
        <f>demanda!I670</f>
        <v>9</v>
      </c>
      <c r="M672">
        <v>14.416809279416043</v>
      </c>
      <c r="N672">
        <f t="shared" si="80"/>
        <v>-5.416809279416043</v>
      </c>
      <c r="O672">
        <v>7.4087557083441532E-4</v>
      </c>
      <c r="P672">
        <f t="shared" si="81"/>
        <v>-0.54578392532532727</v>
      </c>
      <c r="Q672">
        <f t="shared" si="82"/>
        <v>98.538174223704843</v>
      </c>
      <c r="R672">
        <f t="shared" si="83"/>
        <v>-0.54588634131956315</v>
      </c>
      <c r="S672">
        <f t="shared" si="84"/>
        <v>0.58520751823074413</v>
      </c>
      <c r="T672">
        <f t="shared" si="85"/>
        <v>1.1050972928307278E-4</v>
      </c>
      <c r="U672">
        <f t="shared" si="86"/>
        <v>-1.4864003676090257E-2</v>
      </c>
    </row>
    <row r="673" spans="10:21" x14ac:dyDescent="0.35">
      <c r="J673">
        <f t="shared" si="87"/>
        <v>670</v>
      </c>
      <c r="K673">
        <f>demanda!D671</f>
        <v>0</v>
      </c>
      <c r="L673">
        <f>demanda!I671</f>
        <v>19</v>
      </c>
      <c r="M673">
        <v>14.416809279416043</v>
      </c>
      <c r="N673">
        <f t="shared" si="80"/>
        <v>4.583190720583957</v>
      </c>
      <c r="O673">
        <v>7.4087557083441532E-4</v>
      </c>
      <c r="P673">
        <f t="shared" si="81"/>
        <v>0.46179063964840078</v>
      </c>
      <c r="Q673">
        <f t="shared" si="82"/>
        <v>98.542523736866301</v>
      </c>
      <c r="R673">
        <f t="shared" si="83"/>
        <v>0.46186710097403588</v>
      </c>
      <c r="S673">
        <f t="shared" si="84"/>
        <v>0.64422898084639124</v>
      </c>
      <c r="T673">
        <f t="shared" si="85"/>
        <v>7.9113260840960322E-5</v>
      </c>
      <c r="U673">
        <f t="shared" si="86"/>
        <v>1.2576233855106329E-2</v>
      </c>
    </row>
    <row r="674" spans="10:21" x14ac:dyDescent="0.35">
      <c r="J674">
        <f t="shared" si="87"/>
        <v>671</v>
      </c>
      <c r="K674">
        <f>demanda!D672</f>
        <v>1</v>
      </c>
      <c r="L674">
        <f>demanda!I672</f>
        <v>31</v>
      </c>
      <c r="M674">
        <v>11.786175589530247</v>
      </c>
      <c r="N674">
        <f t="shared" si="80"/>
        <v>19.213824410469755</v>
      </c>
      <c r="O674">
        <v>5.2058796926701797E-4</v>
      </c>
      <c r="P674">
        <f t="shared" si="81"/>
        <v>1.9359360771860661</v>
      </c>
      <c r="Q674">
        <f t="shared" si="82"/>
        <v>98.360906362882218</v>
      </c>
      <c r="R674">
        <f t="shared" si="83"/>
        <v>1.9378297998833094</v>
      </c>
      <c r="S674">
        <f t="shared" si="84"/>
        <v>5.2790524034388449E-2</v>
      </c>
      <c r="T674">
        <f t="shared" si="85"/>
        <v>9.7655892354811872E-4</v>
      </c>
      <c r="U674">
        <f t="shared" si="86"/>
        <v>4.4225807124058492E-2</v>
      </c>
    </row>
    <row r="675" spans="10:21" x14ac:dyDescent="0.35">
      <c r="J675">
        <f t="shared" si="87"/>
        <v>672</v>
      </c>
      <c r="K675">
        <f>demanda!D673</f>
        <v>1</v>
      </c>
      <c r="L675">
        <f>demanda!I673</f>
        <v>20</v>
      </c>
      <c r="M675">
        <v>11.786175589530247</v>
      </c>
      <c r="N675">
        <f t="shared" si="80"/>
        <v>8.2138244104697531</v>
      </c>
      <c r="O675">
        <v>5.2058796926701797E-4</v>
      </c>
      <c r="P675">
        <f t="shared" si="81"/>
        <v>0.82760405571496498</v>
      </c>
      <c r="Q675">
        <f t="shared" si="82"/>
        <v>98.518289721788548</v>
      </c>
      <c r="R675">
        <f t="shared" si="83"/>
        <v>0.82775165224325964</v>
      </c>
      <c r="S675">
        <f t="shared" si="84"/>
        <v>0.40791408457502731</v>
      </c>
      <c r="T675">
        <f t="shared" si="85"/>
        <v>1.7846853020780289E-4</v>
      </c>
      <c r="U675">
        <f t="shared" si="86"/>
        <v>1.8891228177487809E-2</v>
      </c>
    </row>
    <row r="676" spans="10:21" x14ac:dyDescent="0.35">
      <c r="J676">
        <f t="shared" si="87"/>
        <v>673</v>
      </c>
      <c r="K676">
        <f>demanda!D674</f>
        <v>0</v>
      </c>
      <c r="L676">
        <f>demanda!I674</f>
        <v>21</v>
      </c>
      <c r="M676">
        <v>14.416809279416043</v>
      </c>
      <c r="N676">
        <f t="shared" si="80"/>
        <v>6.583190720583957</v>
      </c>
      <c r="O676">
        <v>7.4087557083441532E-4</v>
      </c>
      <c r="P676">
        <f t="shared" si="81"/>
        <v>0.66330555264314639</v>
      </c>
      <c r="Q676">
        <f t="shared" si="82"/>
        <v>98.530871327612786</v>
      </c>
      <c r="R676">
        <f t="shared" si="83"/>
        <v>0.66345460704039183</v>
      </c>
      <c r="S676">
        <f t="shared" si="84"/>
        <v>0.507119133075143</v>
      </c>
      <c r="T676">
        <f t="shared" si="85"/>
        <v>1.6322485812147056E-4</v>
      </c>
      <c r="U676">
        <f t="shared" si="86"/>
        <v>1.8065283872333419E-2</v>
      </c>
    </row>
    <row r="677" spans="10:21" x14ac:dyDescent="0.35">
      <c r="J677">
        <f t="shared" si="87"/>
        <v>674</v>
      </c>
      <c r="K677">
        <f>demanda!D675</f>
        <v>0</v>
      </c>
      <c r="L677">
        <f>demanda!I675</f>
        <v>17</v>
      </c>
      <c r="M677">
        <v>14.416809279416043</v>
      </c>
      <c r="N677">
        <f t="shared" si="80"/>
        <v>2.583190720583957</v>
      </c>
      <c r="O677">
        <v>7.4087557083441532E-4</v>
      </c>
      <c r="P677">
        <f t="shared" si="81"/>
        <v>0.26027572665365517</v>
      </c>
      <c r="Q677">
        <f t="shared" si="82"/>
        <v>98.550002042157871</v>
      </c>
      <c r="R677">
        <f t="shared" si="83"/>
        <v>0.26030894487816103</v>
      </c>
      <c r="S677">
        <f t="shared" si="84"/>
        <v>0.79465340036911658</v>
      </c>
      <c r="T677">
        <f t="shared" si="85"/>
        <v>2.5131960550094309E-5</v>
      </c>
      <c r="U677">
        <f t="shared" si="86"/>
        <v>7.0879830116927275E-3</v>
      </c>
    </row>
    <row r="678" spans="10:21" x14ac:dyDescent="0.35">
      <c r="J678">
        <f t="shared" si="87"/>
        <v>675</v>
      </c>
      <c r="K678">
        <f>demanda!D676</f>
        <v>1</v>
      </c>
      <c r="L678">
        <f>demanda!I676</f>
        <v>24</v>
      </c>
      <c r="M678">
        <v>11.786175589530247</v>
      </c>
      <c r="N678">
        <f t="shared" si="80"/>
        <v>12.213824410469753</v>
      </c>
      <c r="O678">
        <v>5.2058796926701797E-4</v>
      </c>
      <c r="P678">
        <f t="shared" si="81"/>
        <v>1.2306338817044562</v>
      </c>
      <c r="Q678">
        <f t="shared" si="82"/>
        <v>98.475665553387771</v>
      </c>
      <c r="R678">
        <f t="shared" si="83"/>
        <v>1.2311197075839402</v>
      </c>
      <c r="S678">
        <f t="shared" si="84"/>
        <v>0.21842895613878141</v>
      </c>
      <c r="T678">
        <f t="shared" si="85"/>
        <v>3.9461552034181306E-4</v>
      </c>
      <c r="U678">
        <f t="shared" si="86"/>
        <v>2.8097030367431282E-2</v>
      </c>
    </row>
    <row r="679" spans="10:21" x14ac:dyDescent="0.35">
      <c r="J679">
        <f t="shared" si="87"/>
        <v>676</v>
      </c>
      <c r="K679">
        <f>demanda!D677</f>
        <v>0</v>
      </c>
      <c r="L679">
        <f>demanda!I677</f>
        <v>91</v>
      </c>
      <c r="M679">
        <v>14.416809279416043</v>
      </c>
      <c r="N679">
        <f t="shared" si="80"/>
        <v>76.583190720583957</v>
      </c>
      <c r="O679">
        <v>7.4087557083441532E-4</v>
      </c>
      <c r="P679">
        <f t="shared" si="81"/>
        <v>7.7163275074592432</v>
      </c>
      <c r="Q679">
        <f t="shared" si="82"/>
        <v>95.49335150771924</v>
      </c>
      <c r="R679">
        <f t="shared" si="83"/>
        <v>7.8398513347751662</v>
      </c>
      <c r="S679">
        <f t="shared" si="84"/>
        <v>7.41873920215016E-15</v>
      </c>
      <c r="T679">
        <f t="shared" si="85"/>
        <v>2.2089217866415205E-2</v>
      </c>
      <c r="U679">
        <f t="shared" si="86"/>
        <v>0.2134722381556737</v>
      </c>
    </row>
    <row r="680" spans="10:21" x14ac:dyDescent="0.35">
      <c r="J680">
        <f t="shared" si="87"/>
        <v>677</v>
      </c>
      <c r="K680">
        <f>demanda!D678</f>
        <v>0</v>
      </c>
      <c r="L680">
        <f>demanda!I678</f>
        <v>19</v>
      </c>
      <c r="M680">
        <v>14.416809279416043</v>
      </c>
      <c r="N680">
        <f t="shared" si="80"/>
        <v>4.583190720583957</v>
      </c>
      <c r="O680">
        <v>7.4087557083441532E-4</v>
      </c>
      <c r="P680">
        <f t="shared" si="81"/>
        <v>0.46179063964840078</v>
      </c>
      <c r="Q680">
        <f t="shared" si="82"/>
        <v>98.542523736866301</v>
      </c>
      <c r="R680">
        <f t="shared" si="83"/>
        <v>0.46186710097403588</v>
      </c>
      <c r="S680">
        <f t="shared" si="84"/>
        <v>0.64422898084639124</v>
      </c>
      <c r="T680">
        <f t="shared" si="85"/>
        <v>7.9113260840960322E-5</v>
      </c>
      <c r="U680">
        <f t="shared" si="86"/>
        <v>1.2576233855106329E-2</v>
      </c>
    </row>
    <row r="681" spans="10:21" x14ac:dyDescent="0.35">
      <c r="J681">
        <f t="shared" si="87"/>
        <v>678</v>
      </c>
      <c r="K681">
        <f>demanda!D679</f>
        <v>0</v>
      </c>
      <c r="L681">
        <f>demanda!I679</f>
        <v>15</v>
      </c>
      <c r="M681">
        <v>14.416809279416043</v>
      </c>
      <c r="N681">
        <f t="shared" si="80"/>
        <v>0.58319072058395705</v>
      </c>
      <c r="O681">
        <v>7.4087557083441532E-4</v>
      </c>
      <c r="P681">
        <f t="shared" si="81"/>
        <v>5.8760813658909554E-2</v>
      </c>
      <c r="Q681">
        <f t="shared" si="82"/>
        <v>98.553306243487526</v>
      </c>
      <c r="R681">
        <f t="shared" si="83"/>
        <v>5.8767327956256402E-2</v>
      </c>
      <c r="S681">
        <f t="shared" si="84"/>
        <v>0.95314355069247325</v>
      </c>
      <c r="T681">
        <f t="shared" si="85"/>
        <v>1.2809572488725558E-6</v>
      </c>
      <c r="U681">
        <f t="shared" si="86"/>
        <v>1.6001825154010173E-3</v>
      </c>
    </row>
    <row r="682" spans="10:21" x14ac:dyDescent="0.35">
      <c r="J682">
        <f t="shared" si="87"/>
        <v>679</v>
      </c>
      <c r="K682">
        <f>demanda!D680</f>
        <v>1</v>
      </c>
      <c r="L682">
        <f>demanda!I680</f>
        <v>5</v>
      </c>
      <c r="M682">
        <v>11.786175589530247</v>
      </c>
      <c r="N682">
        <f t="shared" si="80"/>
        <v>-6.7861755895302469</v>
      </c>
      <c r="O682">
        <v>5.2058796926701797E-4</v>
      </c>
      <c r="P682">
        <f t="shared" si="81"/>
        <v>-0.68375779174562712</v>
      </c>
      <c r="Q682">
        <f t="shared" si="82"/>
        <v>98.529460674016264</v>
      </c>
      <c r="R682">
        <f t="shared" si="83"/>
        <v>-0.68384096531208116</v>
      </c>
      <c r="S682">
        <f t="shared" si="84"/>
        <v>0.49415815943295716</v>
      </c>
      <c r="T682">
        <f t="shared" si="85"/>
        <v>1.2182067544499816E-4</v>
      </c>
      <c r="U682">
        <f t="shared" si="86"/>
        <v>-1.560684980551091E-2</v>
      </c>
    </row>
    <row r="683" spans="10:21" x14ac:dyDescent="0.35">
      <c r="J683">
        <f t="shared" si="87"/>
        <v>680</v>
      </c>
      <c r="K683">
        <f>demanda!D681</f>
        <v>0</v>
      </c>
      <c r="L683">
        <f>demanda!I681</f>
        <v>28</v>
      </c>
      <c r="M683">
        <v>14.416809279416043</v>
      </c>
      <c r="N683">
        <f t="shared" si="80"/>
        <v>13.583190720583957</v>
      </c>
      <c r="O683">
        <v>7.4087557083441532E-4</v>
      </c>
      <c r="P683">
        <f t="shared" si="81"/>
        <v>1.3686077481247561</v>
      </c>
      <c r="Q683">
        <f t="shared" si="82"/>
        <v>98.457216826525212</v>
      </c>
      <c r="R683">
        <f t="shared" si="83"/>
        <v>1.3694272318804395</v>
      </c>
      <c r="S683">
        <f t="shared" si="84"/>
        <v>0.17102599994876813</v>
      </c>
      <c r="T683">
        <f t="shared" si="85"/>
        <v>6.9489153739670493E-4</v>
      </c>
      <c r="U683">
        <f t="shared" si="86"/>
        <v>3.7288295874201023E-2</v>
      </c>
    </row>
    <row r="684" spans="10:21" x14ac:dyDescent="0.35">
      <c r="J684">
        <f t="shared" si="87"/>
        <v>681</v>
      </c>
      <c r="K684">
        <f>demanda!D682</f>
        <v>3</v>
      </c>
      <c r="L684">
        <f>demanda!I682</f>
        <v>4</v>
      </c>
      <c r="M684">
        <v>6.5249082097586548</v>
      </c>
      <c r="N684">
        <f t="shared" si="80"/>
        <v>-2.5249082097586548</v>
      </c>
      <c r="O684">
        <v>1.3734589687128761E-3</v>
      </c>
      <c r="P684">
        <f t="shared" si="81"/>
        <v>-0.2544033291046171</v>
      </c>
      <c r="Q684">
        <f t="shared" si="82"/>
        <v>98.550155270625524</v>
      </c>
      <c r="R684">
        <f t="shared" si="83"/>
        <v>-0.25451617384299874</v>
      </c>
      <c r="S684">
        <f t="shared" si="84"/>
        <v>0.79912408038987892</v>
      </c>
      <c r="T684">
        <f t="shared" si="85"/>
        <v>4.4568197050885148E-5</v>
      </c>
      <c r="U684">
        <f t="shared" si="86"/>
        <v>-9.4389063786870474E-3</v>
      </c>
    </row>
    <row r="685" spans="10:21" x14ac:dyDescent="0.35">
      <c r="J685">
        <f t="shared" si="87"/>
        <v>682</v>
      </c>
      <c r="K685">
        <f>demanda!D683</f>
        <v>5</v>
      </c>
      <c r="L685">
        <f>demanda!I683</f>
        <v>2</v>
      </c>
      <c r="M685">
        <v>1.2636408299870627</v>
      </c>
      <c r="N685">
        <f t="shared" si="80"/>
        <v>0.73635917001293727</v>
      </c>
      <c r="O685">
        <v>3.9509249049329382E-3</v>
      </c>
      <c r="P685">
        <f t="shared" si="81"/>
        <v>7.4193677039020078E-2</v>
      </c>
      <c r="Q685">
        <f t="shared" si="82"/>
        <v>98.553199876422468</v>
      </c>
      <c r="R685">
        <f t="shared" si="83"/>
        <v>7.4321414457959423E-2</v>
      </c>
      <c r="S685">
        <f t="shared" si="84"/>
        <v>0.94076238398569867</v>
      </c>
      <c r="T685">
        <f t="shared" si="85"/>
        <v>1.0960770814463366E-5</v>
      </c>
      <c r="U685">
        <f t="shared" si="86"/>
        <v>4.680831262592092E-3</v>
      </c>
    </row>
    <row r="686" spans="10:21" x14ac:dyDescent="0.35">
      <c r="J686">
        <f t="shared" si="87"/>
        <v>683</v>
      </c>
      <c r="K686">
        <f>demanda!D684</f>
        <v>0</v>
      </c>
      <c r="L686">
        <f>demanda!I684</f>
        <v>3</v>
      </c>
      <c r="M686">
        <v>14.416809279416043</v>
      </c>
      <c r="N686">
        <f t="shared" si="80"/>
        <v>-11.416809279416043</v>
      </c>
      <c r="O686">
        <v>7.4087557083441532E-4</v>
      </c>
      <c r="P686">
        <f t="shared" si="81"/>
        <v>-1.150328664309564</v>
      </c>
      <c r="Q686">
        <f t="shared" si="82"/>
        <v>98.485475268264722</v>
      </c>
      <c r="R686">
        <f t="shared" si="83"/>
        <v>-1.1508523061099405</v>
      </c>
      <c r="S686">
        <f t="shared" si="84"/>
        <v>0.24993638008158123</v>
      </c>
      <c r="T686">
        <f t="shared" si="85"/>
        <v>4.9091117422407117E-4</v>
      </c>
      <c r="U686">
        <f t="shared" si="86"/>
        <v>-3.1336693399040466E-2</v>
      </c>
    </row>
    <row r="687" spans="10:21" x14ac:dyDescent="0.35">
      <c r="J687">
        <f t="shared" si="87"/>
        <v>684</v>
      </c>
      <c r="K687">
        <f>demanda!D685</f>
        <v>1</v>
      </c>
      <c r="L687">
        <f>demanda!I685</f>
        <v>4</v>
      </c>
      <c r="M687">
        <v>11.786175589530247</v>
      </c>
      <c r="N687">
        <f t="shared" si="80"/>
        <v>-7.7861755895302469</v>
      </c>
      <c r="O687">
        <v>5.2058796926701797E-4</v>
      </c>
      <c r="P687">
        <f t="shared" si="81"/>
        <v>-0.7845152482429999</v>
      </c>
      <c r="Q687">
        <f t="shared" si="82"/>
        <v>98.52185903620547</v>
      </c>
      <c r="R687">
        <f t="shared" si="83"/>
        <v>-0.784640946599786</v>
      </c>
      <c r="S687">
        <f t="shared" si="84"/>
        <v>0.43276096337473069</v>
      </c>
      <c r="T687">
        <f t="shared" si="85"/>
        <v>1.6036855085321727E-4</v>
      </c>
      <c r="U687">
        <f t="shared" si="86"/>
        <v>-1.7907341071981879E-2</v>
      </c>
    </row>
    <row r="688" spans="10:21" x14ac:dyDescent="0.35">
      <c r="J688">
        <f t="shared" si="87"/>
        <v>685</v>
      </c>
      <c r="K688">
        <f>demanda!D686</f>
        <v>0</v>
      </c>
      <c r="L688">
        <f>demanda!I686</f>
        <v>13</v>
      </c>
      <c r="M688">
        <v>14.416809279416043</v>
      </c>
      <c r="N688">
        <f t="shared" si="80"/>
        <v>-1.416809279416043</v>
      </c>
      <c r="O688">
        <v>7.4087557083441532E-4</v>
      </c>
      <c r="P688">
        <f t="shared" si="81"/>
        <v>-0.14275409933583605</v>
      </c>
      <c r="Q688">
        <f t="shared" si="82"/>
        <v>98.552436340855238</v>
      </c>
      <c r="R688">
        <f t="shared" si="83"/>
        <v>-0.14277055533334676</v>
      </c>
      <c r="S688">
        <f t="shared" si="84"/>
        <v>0.88648638054980111</v>
      </c>
      <c r="T688">
        <f t="shared" si="85"/>
        <v>7.5602509372950483E-6</v>
      </c>
      <c r="U688">
        <f t="shared" si="86"/>
        <v>-3.8875163173756836E-3</v>
      </c>
    </row>
    <row r="689" spans="10:21" x14ac:dyDescent="0.35">
      <c r="J689">
        <f t="shared" si="87"/>
        <v>686</v>
      </c>
      <c r="K689">
        <f>demanda!D687</f>
        <v>5</v>
      </c>
      <c r="L689">
        <f>demanda!I687</f>
        <v>3</v>
      </c>
      <c r="M689">
        <v>1.2636408299870627</v>
      </c>
      <c r="N689">
        <f t="shared" si="80"/>
        <v>1.7363591700129373</v>
      </c>
      <c r="O689">
        <v>3.9509249049329382E-3</v>
      </c>
      <c r="P689">
        <f t="shared" si="81"/>
        <v>0.17495113353639288</v>
      </c>
      <c r="Q689">
        <f t="shared" si="82"/>
        <v>98.551905545548507</v>
      </c>
      <c r="R689">
        <f t="shared" si="83"/>
        <v>0.17525349341046803</v>
      </c>
      <c r="S689">
        <f t="shared" si="84"/>
        <v>0.86089894193681449</v>
      </c>
      <c r="T689">
        <f t="shared" si="85"/>
        <v>6.0945385407997739E-5</v>
      </c>
      <c r="U689">
        <f t="shared" si="86"/>
        <v>1.1037626730021724E-2</v>
      </c>
    </row>
    <row r="690" spans="10:21" x14ac:dyDescent="0.35">
      <c r="J690">
        <f t="shared" si="87"/>
        <v>687</v>
      </c>
      <c r="K690">
        <f>demanda!D688</f>
        <v>6</v>
      </c>
      <c r="L690">
        <f>demanda!I688</f>
        <v>4</v>
      </c>
      <c r="M690">
        <v>-1.3669928598987333</v>
      </c>
      <c r="N690">
        <f t="shared" si="80"/>
        <v>5.3669928598987333</v>
      </c>
      <c r="O690">
        <v>5.8863809743332956E-3</v>
      </c>
      <c r="P690">
        <f t="shared" si="81"/>
        <v>0.54076454960295706</v>
      </c>
      <c r="Q690">
        <f t="shared" si="82"/>
        <v>98.538376729581714</v>
      </c>
      <c r="R690">
        <f t="shared" si="83"/>
        <v>0.54226341392126276</v>
      </c>
      <c r="S690">
        <f t="shared" si="84"/>
        <v>0.58770001746334977</v>
      </c>
      <c r="T690">
        <f t="shared" si="85"/>
        <v>8.7088889053064326E-4</v>
      </c>
      <c r="U690">
        <f t="shared" si="86"/>
        <v>4.172693406104646E-2</v>
      </c>
    </row>
    <row r="691" spans="10:21" x14ac:dyDescent="0.35">
      <c r="J691">
        <f t="shared" si="87"/>
        <v>688</v>
      </c>
      <c r="K691">
        <f>demanda!D689</f>
        <v>0</v>
      </c>
      <c r="L691">
        <f>demanda!I689</f>
        <v>12</v>
      </c>
      <c r="M691">
        <v>14.416809279416043</v>
      </c>
      <c r="N691">
        <f t="shared" si="80"/>
        <v>-2.416809279416043</v>
      </c>
      <c r="O691">
        <v>7.4087557083441532E-4</v>
      </c>
      <c r="P691">
        <f t="shared" si="81"/>
        <v>-0.24351155583320885</v>
      </c>
      <c r="Q691">
        <f t="shared" si="82"/>
        <v>98.55043610055337</v>
      </c>
      <c r="R691">
        <f t="shared" si="83"/>
        <v>-0.24354209816225414</v>
      </c>
      <c r="S691">
        <f t="shared" si="84"/>
        <v>0.80761150818210881</v>
      </c>
      <c r="T691">
        <f t="shared" si="85"/>
        <v>2.199875915262289E-5</v>
      </c>
      <c r="U691">
        <f t="shared" si="86"/>
        <v>-6.6314365617133417E-3</v>
      </c>
    </row>
    <row r="692" spans="10:21" x14ac:dyDescent="0.35">
      <c r="J692">
        <f t="shared" si="87"/>
        <v>689</v>
      </c>
      <c r="K692">
        <f>demanda!D690</f>
        <v>0</v>
      </c>
      <c r="L692">
        <f>demanda!I690</f>
        <v>22</v>
      </c>
      <c r="M692">
        <v>14.416809279416043</v>
      </c>
      <c r="N692">
        <f t="shared" si="80"/>
        <v>7.583190720583957</v>
      </c>
      <c r="O692">
        <v>7.4087557083441532E-4</v>
      </c>
      <c r="P692">
        <f t="shared" si="81"/>
        <v>0.76406300914051917</v>
      </c>
      <c r="Q692">
        <f t="shared" si="82"/>
        <v>98.523479834000298</v>
      </c>
      <c r="R692">
        <f t="shared" si="83"/>
        <v>0.76426337212539786</v>
      </c>
      <c r="S692">
        <f t="shared" si="84"/>
        <v>0.44480426948631324</v>
      </c>
      <c r="T692">
        <f t="shared" si="85"/>
        <v>2.1657951813284224E-4</v>
      </c>
      <c r="U692">
        <f t="shared" si="86"/>
        <v>2.081021764587964E-2</v>
      </c>
    </row>
    <row r="693" spans="10:21" x14ac:dyDescent="0.35">
      <c r="J693">
        <f t="shared" si="87"/>
        <v>690</v>
      </c>
      <c r="K693">
        <f>demanda!D691</f>
        <v>1</v>
      </c>
      <c r="L693">
        <f>demanda!I691</f>
        <v>8</v>
      </c>
      <c r="M693">
        <v>11.786175589530247</v>
      </c>
      <c r="N693">
        <f t="shared" si="80"/>
        <v>-3.7861755895302469</v>
      </c>
      <c r="O693">
        <v>5.2058796926701797E-4</v>
      </c>
      <c r="P693">
        <f t="shared" si="81"/>
        <v>-0.38148542225350868</v>
      </c>
      <c r="Q693">
        <f t="shared" si="82"/>
        <v>98.546005811479162</v>
      </c>
      <c r="R693">
        <f t="shared" si="83"/>
        <v>-0.38149979733331263</v>
      </c>
      <c r="S693">
        <f t="shared" si="84"/>
        <v>0.70287465676174632</v>
      </c>
      <c r="T693">
        <f t="shared" si="85"/>
        <v>3.7920348514645389E-5</v>
      </c>
      <c r="U693">
        <f t="shared" si="86"/>
        <v>-8.7067174092102829E-3</v>
      </c>
    </row>
    <row r="694" spans="10:21" x14ac:dyDescent="0.35">
      <c r="J694">
        <f t="shared" si="87"/>
        <v>691</v>
      </c>
      <c r="K694">
        <f>demanda!D692</f>
        <v>1</v>
      </c>
      <c r="L694">
        <f>demanda!I692</f>
        <v>6</v>
      </c>
      <c r="M694">
        <v>11.786175589530247</v>
      </c>
      <c r="N694">
        <f t="shared" si="80"/>
        <v>-5.7861755895302469</v>
      </c>
      <c r="O694">
        <v>5.2058796926701797E-4</v>
      </c>
      <c r="P694">
        <f t="shared" si="81"/>
        <v>-0.58300033524825434</v>
      </c>
      <c r="Q694">
        <f t="shared" si="82"/>
        <v>98.536019015832139</v>
      </c>
      <c r="R694">
        <f t="shared" si="83"/>
        <v>-0.58305184819450462</v>
      </c>
      <c r="S694">
        <f t="shared" si="84"/>
        <v>0.55992690572315473</v>
      </c>
      <c r="T694">
        <f t="shared" si="85"/>
        <v>8.8563349919163143E-5</v>
      </c>
      <c r="U694">
        <f t="shared" si="86"/>
        <v>-1.3306606484805191E-2</v>
      </c>
    </row>
    <row r="695" spans="10:21" x14ac:dyDescent="0.35">
      <c r="J695">
        <f t="shared" si="87"/>
        <v>692</v>
      </c>
      <c r="K695">
        <f>demanda!D693</f>
        <v>3</v>
      </c>
      <c r="L695">
        <f>demanda!I693</f>
        <v>2</v>
      </c>
      <c r="M695">
        <v>6.5249082097586548</v>
      </c>
      <c r="N695">
        <f t="shared" si="80"/>
        <v>-4.5249082097586548</v>
      </c>
      <c r="O695">
        <v>1.3734589687128761E-3</v>
      </c>
      <c r="P695">
        <f t="shared" si="81"/>
        <v>-0.45591824209936271</v>
      </c>
      <c r="Q695">
        <f t="shared" si="82"/>
        <v>98.542793943857959</v>
      </c>
      <c r="R695">
        <f t="shared" si="83"/>
        <v>-0.45613750825631832</v>
      </c>
      <c r="S695">
        <f t="shared" si="84"/>
        <v>0.64834271460897308</v>
      </c>
      <c r="T695">
        <f t="shared" si="85"/>
        <v>1.4313749884792331E-4</v>
      </c>
      <c r="U695">
        <f t="shared" si="86"/>
        <v>-1.6916171460658679E-2</v>
      </c>
    </row>
    <row r="696" spans="10:21" x14ac:dyDescent="0.35">
      <c r="J696">
        <f t="shared" si="87"/>
        <v>693</v>
      </c>
      <c r="K696">
        <f>demanda!D694</f>
        <v>3</v>
      </c>
      <c r="L696">
        <f>demanda!I694</f>
        <v>2</v>
      </c>
      <c r="M696">
        <v>6.5249082097586548</v>
      </c>
      <c r="N696">
        <f t="shared" si="80"/>
        <v>-4.5249082097586548</v>
      </c>
      <c r="O696">
        <v>1.3734589687128761E-3</v>
      </c>
      <c r="P696">
        <f t="shared" si="81"/>
        <v>-0.45591824209936271</v>
      </c>
      <c r="Q696">
        <f t="shared" si="82"/>
        <v>98.542793943857959</v>
      </c>
      <c r="R696">
        <f t="shared" si="83"/>
        <v>-0.45613750825631832</v>
      </c>
      <c r="S696">
        <f t="shared" si="84"/>
        <v>0.64834271460897308</v>
      </c>
      <c r="T696">
        <f t="shared" si="85"/>
        <v>1.4313749884792331E-4</v>
      </c>
      <c r="U696">
        <f t="shared" si="86"/>
        <v>-1.6916171460658679E-2</v>
      </c>
    </row>
    <row r="697" spans="10:21" x14ac:dyDescent="0.35">
      <c r="J697">
        <f t="shared" si="87"/>
        <v>694</v>
      </c>
      <c r="K697">
        <f>demanda!D695</f>
        <v>0</v>
      </c>
      <c r="L697">
        <f>demanda!I695</f>
        <v>14</v>
      </c>
      <c r="M697">
        <v>14.416809279416043</v>
      </c>
      <c r="N697">
        <f t="shared" si="80"/>
        <v>-0.41680927941604295</v>
      </c>
      <c r="O697">
        <v>7.4087557083441532E-4</v>
      </c>
      <c r="P697">
        <f t="shared" si="81"/>
        <v>-4.1996642838463258E-2</v>
      </c>
      <c r="Q697">
        <f t="shared" si="82"/>
        <v>98.553393055166637</v>
      </c>
      <c r="R697">
        <f t="shared" si="83"/>
        <v>-4.2001280140228352E-2</v>
      </c>
      <c r="S697">
        <f t="shared" si="84"/>
        <v>0.96650204701357412</v>
      </c>
      <c r="T697">
        <f t="shared" si="85"/>
        <v>6.5431696937827154E-7</v>
      </c>
      <c r="U697">
        <f t="shared" si="86"/>
        <v>-1.1436578187608104E-3</v>
      </c>
    </row>
    <row r="698" spans="10:21" x14ac:dyDescent="0.35">
      <c r="J698">
        <f t="shared" si="87"/>
        <v>695</v>
      </c>
      <c r="K698">
        <f>demanda!D696</f>
        <v>1</v>
      </c>
      <c r="L698">
        <f>demanda!I696</f>
        <v>5</v>
      </c>
      <c r="M698">
        <v>11.786175589530247</v>
      </c>
      <c r="N698">
        <f t="shared" si="80"/>
        <v>-6.7861755895302469</v>
      </c>
      <c r="O698">
        <v>5.2058796926701797E-4</v>
      </c>
      <c r="P698">
        <f t="shared" si="81"/>
        <v>-0.68375779174562712</v>
      </c>
      <c r="Q698">
        <f t="shared" si="82"/>
        <v>98.529460674016264</v>
      </c>
      <c r="R698">
        <f t="shared" si="83"/>
        <v>-0.68384096531208116</v>
      </c>
      <c r="S698">
        <f t="shared" si="84"/>
        <v>0.49415815943295716</v>
      </c>
      <c r="T698">
        <f t="shared" si="85"/>
        <v>1.2182067544499816E-4</v>
      </c>
      <c r="U698">
        <f t="shared" si="86"/>
        <v>-1.560684980551091E-2</v>
      </c>
    </row>
    <row r="699" spans="10:21" x14ac:dyDescent="0.35">
      <c r="J699">
        <f t="shared" si="87"/>
        <v>696</v>
      </c>
      <c r="K699">
        <f>demanda!D697</f>
        <v>3</v>
      </c>
      <c r="L699">
        <f>demanda!I697</f>
        <v>4</v>
      </c>
      <c r="M699">
        <v>6.5249082097586548</v>
      </c>
      <c r="N699">
        <f t="shared" si="80"/>
        <v>-2.5249082097586548</v>
      </c>
      <c r="O699">
        <v>1.3734589687128761E-3</v>
      </c>
      <c r="P699">
        <f t="shared" si="81"/>
        <v>-0.2544033291046171</v>
      </c>
      <c r="Q699">
        <f t="shared" si="82"/>
        <v>98.550155270625524</v>
      </c>
      <c r="R699">
        <f t="shared" si="83"/>
        <v>-0.25451617384299874</v>
      </c>
      <c r="S699">
        <f t="shared" si="84"/>
        <v>0.79912408038987892</v>
      </c>
      <c r="T699">
        <f t="shared" si="85"/>
        <v>4.4568197050885148E-5</v>
      </c>
      <c r="U699">
        <f t="shared" si="86"/>
        <v>-9.4389063786870474E-3</v>
      </c>
    </row>
    <row r="700" spans="10:21" x14ac:dyDescent="0.35">
      <c r="J700">
        <f t="shared" si="87"/>
        <v>697</v>
      </c>
      <c r="K700">
        <f>demanda!D698</f>
        <v>4</v>
      </c>
      <c r="L700">
        <f>demanda!I698</f>
        <v>3</v>
      </c>
      <c r="M700">
        <v>3.8942745198728588</v>
      </c>
      <c r="N700">
        <f t="shared" si="80"/>
        <v>-0.89427451987285878</v>
      </c>
      <c r="O700">
        <v>2.4466175697261316E-3</v>
      </c>
      <c r="P700">
        <f t="shared" si="81"/>
        <v>-9.0104826032798527E-2</v>
      </c>
      <c r="Q700">
        <f t="shared" si="82"/>
        <v>98.553065719630368</v>
      </c>
      <c r="R700">
        <f t="shared" si="83"/>
        <v>-9.0191937130002245E-2</v>
      </c>
      <c r="S700">
        <f t="shared" si="84"/>
        <v>0.92814410376796586</v>
      </c>
      <c r="T700">
        <f t="shared" si="85"/>
        <v>9.9806748742546123E-6</v>
      </c>
      <c r="U700">
        <f t="shared" si="86"/>
        <v>-4.4666578568412878E-3</v>
      </c>
    </row>
    <row r="701" spans="10:21" x14ac:dyDescent="0.35">
      <c r="J701">
        <f t="shared" si="87"/>
        <v>698</v>
      </c>
      <c r="K701">
        <f>demanda!D699</f>
        <v>2</v>
      </c>
      <c r="L701">
        <f>demanda!I699</f>
        <v>4</v>
      </c>
      <c r="M701">
        <v>9.1555418996444509</v>
      </c>
      <c r="N701">
        <f t="shared" si="80"/>
        <v>-5.1555418996444509</v>
      </c>
      <c r="O701">
        <v>7.3144910189317154E-4</v>
      </c>
      <c r="P701">
        <f t="shared" si="81"/>
        <v>-0.51945928867380853</v>
      </c>
      <c r="Q701">
        <f t="shared" si="82"/>
        <v>98.539615573748293</v>
      </c>
      <c r="R701">
        <f t="shared" si="83"/>
        <v>-0.51955051447259837</v>
      </c>
      <c r="S701">
        <f t="shared" si="84"/>
        <v>0.60343681513546954</v>
      </c>
      <c r="T701">
        <f t="shared" si="85"/>
        <v>9.8830890695332879E-5</v>
      </c>
      <c r="U701">
        <f t="shared" si="86"/>
        <v>-1.4056549457229766E-2</v>
      </c>
    </row>
    <row r="702" spans="10:21" x14ac:dyDescent="0.35">
      <c r="J702">
        <f t="shared" si="87"/>
        <v>699</v>
      </c>
      <c r="K702">
        <f>demanda!D700</f>
        <v>0</v>
      </c>
      <c r="L702">
        <f>demanda!I700</f>
        <v>15</v>
      </c>
      <c r="M702">
        <v>14.416809279416043</v>
      </c>
      <c r="N702">
        <f t="shared" si="80"/>
        <v>0.58319072058395705</v>
      </c>
      <c r="O702">
        <v>7.4087557083441532E-4</v>
      </c>
      <c r="P702">
        <f t="shared" si="81"/>
        <v>5.8760813658909554E-2</v>
      </c>
      <c r="Q702">
        <f t="shared" si="82"/>
        <v>98.553306243487526</v>
      </c>
      <c r="R702">
        <f t="shared" si="83"/>
        <v>5.8767327956256402E-2</v>
      </c>
      <c r="S702">
        <f t="shared" si="84"/>
        <v>0.95314355069247325</v>
      </c>
      <c r="T702">
        <f t="shared" si="85"/>
        <v>1.2809572488725558E-6</v>
      </c>
      <c r="U702">
        <f t="shared" si="86"/>
        <v>1.6001825154010173E-3</v>
      </c>
    </row>
    <row r="703" spans="10:21" x14ac:dyDescent="0.35">
      <c r="J703">
        <f t="shared" si="87"/>
        <v>700</v>
      </c>
      <c r="K703">
        <f>demanda!D701</f>
        <v>1</v>
      </c>
      <c r="L703">
        <f>demanda!I701</f>
        <v>10</v>
      </c>
      <c r="M703">
        <v>11.786175589530247</v>
      </c>
      <c r="N703">
        <f t="shared" si="80"/>
        <v>-1.7861755895302469</v>
      </c>
      <c r="O703">
        <v>5.2058796926701797E-4</v>
      </c>
      <c r="P703">
        <f t="shared" si="81"/>
        <v>-0.17997050925876307</v>
      </c>
      <c r="Q703">
        <f t="shared" si="82"/>
        <v>98.551819423146526</v>
      </c>
      <c r="R703">
        <f t="shared" si="83"/>
        <v>-0.17997198233721365</v>
      </c>
      <c r="S703">
        <f t="shared" si="84"/>
        <v>0.85719356553697068</v>
      </c>
      <c r="T703">
        <f t="shared" si="85"/>
        <v>8.4395466396640202E-6</v>
      </c>
      <c r="U703">
        <f t="shared" si="86"/>
        <v>-4.1073814527258093E-3</v>
      </c>
    </row>
    <row r="704" spans="10:21" x14ac:dyDescent="0.35">
      <c r="J704">
        <f t="shared" si="87"/>
        <v>701</v>
      </c>
      <c r="K704">
        <f>demanda!D702</f>
        <v>1</v>
      </c>
      <c r="L704">
        <f>demanda!I702</f>
        <v>15</v>
      </c>
      <c r="M704">
        <v>11.786175589530247</v>
      </c>
      <c r="N704">
        <f t="shared" si="80"/>
        <v>3.2138244104697531</v>
      </c>
      <c r="O704">
        <v>5.2058796926701797E-4</v>
      </c>
      <c r="P704">
        <f t="shared" si="81"/>
        <v>0.32381677322810093</v>
      </c>
      <c r="Q704">
        <f t="shared" si="82"/>
        <v>98.548095772403954</v>
      </c>
      <c r="R704">
        <f t="shared" si="83"/>
        <v>0.3238255414227269</v>
      </c>
      <c r="S704">
        <f t="shared" si="84"/>
        <v>0.74610540567370975</v>
      </c>
      <c r="T704">
        <f t="shared" si="85"/>
        <v>2.7322164893932259E-5</v>
      </c>
      <c r="U704">
        <f t="shared" si="86"/>
        <v>7.390456033686617E-3</v>
      </c>
    </row>
    <row r="705" spans="10:21" x14ac:dyDescent="0.35">
      <c r="J705">
        <f t="shared" si="87"/>
        <v>702</v>
      </c>
      <c r="K705">
        <f>demanda!D703</f>
        <v>1</v>
      </c>
      <c r="L705">
        <f>demanda!I703</f>
        <v>9</v>
      </c>
      <c r="M705">
        <v>11.786175589530247</v>
      </c>
      <c r="N705">
        <f t="shared" si="80"/>
        <v>-2.7861755895302469</v>
      </c>
      <c r="O705">
        <v>5.2058796926701797E-4</v>
      </c>
      <c r="P705">
        <f t="shared" si="81"/>
        <v>-0.2807279657561359</v>
      </c>
      <c r="Q705">
        <f t="shared" si="82"/>
        <v>98.549434265310296</v>
      </c>
      <c r="R705">
        <f t="shared" si="83"/>
        <v>-0.2807336607336009</v>
      </c>
      <c r="S705">
        <f t="shared" si="84"/>
        <v>0.77894495126310248</v>
      </c>
      <c r="T705">
        <f t="shared" si="85"/>
        <v>2.0534672635962656E-5</v>
      </c>
      <c r="U705">
        <f t="shared" si="86"/>
        <v>-6.4069985576559628E-3</v>
      </c>
    </row>
    <row r="706" spans="10:21" x14ac:dyDescent="0.35">
      <c r="J706">
        <f t="shared" si="87"/>
        <v>703</v>
      </c>
      <c r="K706">
        <f>demanda!D704</f>
        <v>0</v>
      </c>
      <c r="L706">
        <f>demanda!I704</f>
        <v>15</v>
      </c>
      <c r="M706">
        <v>14.416809279416043</v>
      </c>
      <c r="N706">
        <f t="shared" si="80"/>
        <v>0.58319072058395705</v>
      </c>
      <c r="O706">
        <v>7.4087557083441532E-4</v>
      </c>
      <c r="P706">
        <f t="shared" si="81"/>
        <v>5.8760813658909554E-2</v>
      </c>
      <c r="Q706">
        <f t="shared" si="82"/>
        <v>98.553306243487526</v>
      </c>
      <c r="R706">
        <f t="shared" si="83"/>
        <v>5.8767327956256402E-2</v>
      </c>
      <c r="S706">
        <f t="shared" si="84"/>
        <v>0.95314355069247325</v>
      </c>
      <c r="T706">
        <f t="shared" si="85"/>
        <v>1.2809572488725558E-6</v>
      </c>
      <c r="U706">
        <f t="shared" si="86"/>
        <v>1.6001825154010173E-3</v>
      </c>
    </row>
    <row r="707" spans="10:21" x14ac:dyDescent="0.35">
      <c r="J707">
        <f t="shared" si="87"/>
        <v>704</v>
      </c>
      <c r="K707">
        <f>demanda!D705</f>
        <v>1</v>
      </c>
      <c r="L707">
        <f>demanda!I705</f>
        <v>15</v>
      </c>
      <c r="M707">
        <v>11.786175589530247</v>
      </c>
      <c r="N707">
        <f t="shared" si="80"/>
        <v>3.2138244104697531</v>
      </c>
      <c r="O707">
        <v>5.2058796926701797E-4</v>
      </c>
      <c r="P707">
        <f t="shared" si="81"/>
        <v>0.32381677322810093</v>
      </c>
      <c r="Q707">
        <f t="shared" si="82"/>
        <v>98.548095772403954</v>
      </c>
      <c r="R707">
        <f t="shared" si="83"/>
        <v>0.3238255414227269</v>
      </c>
      <c r="S707">
        <f t="shared" si="84"/>
        <v>0.74610540567370975</v>
      </c>
      <c r="T707">
        <f t="shared" si="85"/>
        <v>2.7322164893932259E-5</v>
      </c>
      <c r="U707">
        <f t="shared" si="86"/>
        <v>7.390456033686617E-3</v>
      </c>
    </row>
    <row r="708" spans="10:21" x14ac:dyDescent="0.35">
      <c r="J708">
        <f t="shared" si="87"/>
        <v>705</v>
      </c>
      <c r="K708">
        <f>demanda!D706</f>
        <v>0</v>
      </c>
      <c r="L708">
        <f>demanda!I706</f>
        <v>15</v>
      </c>
      <c r="M708">
        <v>14.416809279416043</v>
      </c>
      <c r="N708">
        <f t="shared" si="80"/>
        <v>0.58319072058395705</v>
      </c>
      <c r="O708">
        <v>7.4087557083441532E-4</v>
      </c>
      <c r="P708">
        <f t="shared" si="81"/>
        <v>5.8760813658909554E-2</v>
      </c>
      <c r="Q708">
        <f t="shared" si="82"/>
        <v>98.553306243487526</v>
      </c>
      <c r="R708">
        <f t="shared" si="83"/>
        <v>5.8767327956256402E-2</v>
      </c>
      <c r="S708">
        <f t="shared" si="84"/>
        <v>0.95314355069247325</v>
      </c>
      <c r="T708">
        <f t="shared" si="85"/>
        <v>1.2809572488725558E-6</v>
      </c>
      <c r="U708">
        <f t="shared" si="86"/>
        <v>1.6001825154010173E-3</v>
      </c>
    </row>
    <row r="709" spans="10:21" x14ac:dyDescent="0.35">
      <c r="J709">
        <f t="shared" si="87"/>
        <v>706</v>
      </c>
      <c r="K709">
        <f>demanda!D707</f>
        <v>0</v>
      </c>
      <c r="L709">
        <f>demanda!I707</f>
        <v>15</v>
      </c>
      <c r="M709">
        <v>14.416809279416043</v>
      </c>
      <c r="N709">
        <f t="shared" ref="N709:N772" si="88">L709-M709</f>
        <v>0.58319072058395705</v>
      </c>
      <c r="O709">
        <v>7.4087557083441532E-4</v>
      </c>
      <c r="P709">
        <f t="shared" ref="P709:P772" si="89">N709/SQRT($X$6)</f>
        <v>5.8760813658909554E-2</v>
      </c>
      <c r="Q709">
        <f t="shared" ref="Q709:Q772" si="90">($X$6-N709^2/((1-O709)*$X$5))*$X$5/($X$5-1)</f>
        <v>98.553306243487526</v>
      </c>
      <c r="R709">
        <f t="shared" ref="R709:R772" si="91">N709/SQRT(Q709*(1-O709))</f>
        <v>5.8767327956256402E-2</v>
      </c>
      <c r="S709">
        <f t="shared" ref="S709:S772" si="92">_xlfn.T.DIST.2T(ABS(R709),$X$5)</f>
        <v>0.95314355069247325</v>
      </c>
      <c r="T709">
        <f t="shared" ref="T709:T772" si="93">(N709^2/$X$6)*(O709/(1-O709)^2)/($X$7+1)</f>
        <v>1.2809572488725558E-6</v>
      </c>
      <c r="U709">
        <f t="shared" ref="U709:U772" si="94">R709*SQRT(O709/(1-O709))</f>
        <v>1.6001825154010173E-3</v>
      </c>
    </row>
    <row r="710" spans="10:21" x14ac:dyDescent="0.35">
      <c r="J710">
        <f t="shared" ref="J710:J773" si="95">J709+1</f>
        <v>707</v>
      </c>
      <c r="K710">
        <f>demanda!D708</f>
        <v>0</v>
      </c>
      <c r="L710">
        <f>demanda!I708</f>
        <v>15</v>
      </c>
      <c r="M710">
        <v>14.416809279416043</v>
      </c>
      <c r="N710">
        <f t="shared" si="88"/>
        <v>0.58319072058395705</v>
      </c>
      <c r="O710">
        <v>7.4087557083441532E-4</v>
      </c>
      <c r="P710">
        <f t="shared" si="89"/>
        <v>5.8760813658909554E-2</v>
      </c>
      <c r="Q710">
        <f t="shared" si="90"/>
        <v>98.553306243487526</v>
      </c>
      <c r="R710">
        <f t="shared" si="91"/>
        <v>5.8767327956256402E-2</v>
      </c>
      <c r="S710">
        <f t="shared" si="92"/>
        <v>0.95314355069247325</v>
      </c>
      <c r="T710">
        <f t="shared" si="93"/>
        <v>1.2809572488725558E-6</v>
      </c>
      <c r="U710">
        <f t="shared" si="94"/>
        <v>1.6001825154010173E-3</v>
      </c>
    </row>
    <row r="711" spans="10:21" x14ac:dyDescent="0.35">
      <c r="J711">
        <f t="shared" si="95"/>
        <v>708</v>
      </c>
      <c r="K711">
        <f>demanda!D709</f>
        <v>0</v>
      </c>
      <c r="L711">
        <f>demanda!I709</f>
        <v>15</v>
      </c>
      <c r="M711">
        <v>14.416809279416043</v>
      </c>
      <c r="N711">
        <f t="shared" si="88"/>
        <v>0.58319072058395705</v>
      </c>
      <c r="O711">
        <v>7.4087557083441532E-4</v>
      </c>
      <c r="P711">
        <f t="shared" si="89"/>
        <v>5.8760813658909554E-2</v>
      </c>
      <c r="Q711">
        <f t="shared" si="90"/>
        <v>98.553306243487526</v>
      </c>
      <c r="R711">
        <f t="shared" si="91"/>
        <v>5.8767327956256402E-2</v>
      </c>
      <c r="S711">
        <f t="shared" si="92"/>
        <v>0.95314355069247325</v>
      </c>
      <c r="T711">
        <f t="shared" si="93"/>
        <v>1.2809572488725558E-6</v>
      </c>
      <c r="U711">
        <f t="shared" si="94"/>
        <v>1.6001825154010173E-3</v>
      </c>
    </row>
    <row r="712" spans="10:21" x14ac:dyDescent="0.35">
      <c r="J712">
        <f t="shared" si="95"/>
        <v>709</v>
      </c>
      <c r="K712">
        <f>demanda!D710</f>
        <v>0</v>
      </c>
      <c r="L712">
        <f>demanda!I710</f>
        <v>15</v>
      </c>
      <c r="M712">
        <v>14.416809279416043</v>
      </c>
      <c r="N712">
        <f t="shared" si="88"/>
        <v>0.58319072058395705</v>
      </c>
      <c r="O712">
        <v>7.4087557083441532E-4</v>
      </c>
      <c r="P712">
        <f t="shared" si="89"/>
        <v>5.8760813658909554E-2</v>
      </c>
      <c r="Q712">
        <f t="shared" si="90"/>
        <v>98.553306243487526</v>
      </c>
      <c r="R712">
        <f t="shared" si="91"/>
        <v>5.8767327956256402E-2</v>
      </c>
      <c r="S712">
        <f t="shared" si="92"/>
        <v>0.95314355069247325</v>
      </c>
      <c r="T712">
        <f t="shared" si="93"/>
        <v>1.2809572488725558E-6</v>
      </c>
      <c r="U712">
        <f t="shared" si="94"/>
        <v>1.6001825154010173E-3</v>
      </c>
    </row>
    <row r="713" spans="10:21" x14ac:dyDescent="0.35">
      <c r="J713">
        <f t="shared" si="95"/>
        <v>710</v>
      </c>
      <c r="K713">
        <f>demanda!D711</f>
        <v>0</v>
      </c>
      <c r="L713">
        <f>demanda!I711</f>
        <v>15</v>
      </c>
      <c r="M713">
        <v>14.416809279416043</v>
      </c>
      <c r="N713">
        <f t="shared" si="88"/>
        <v>0.58319072058395705</v>
      </c>
      <c r="O713">
        <v>7.4087557083441532E-4</v>
      </c>
      <c r="P713">
        <f t="shared" si="89"/>
        <v>5.8760813658909554E-2</v>
      </c>
      <c r="Q713">
        <f t="shared" si="90"/>
        <v>98.553306243487526</v>
      </c>
      <c r="R713">
        <f t="shared" si="91"/>
        <v>5.8767327956256402E-2</v>
      </c>
      <c r="S713">
        <f t="shared" si="92"/>
        <v>0.95314355069247325</v>
      </c>
      <c r="T713">
        <f t="shared" si="93"/>
        <v>1.2809572488725558E-6</v>
      </c>
      <c r="U713">
        <f t="shared" si="94"/>
        <v>1.6001825154010173E-3</v>
      </c>
    </row>
    <row r="714" spans="10:21" x14ac:dyDescent="0.35">
      <c r="J714">
        <f t="shared" si="95"/>
        <v>711</v>
      </c>
      <c r="K714">
        <f>demanda!D712</f>
        <v>0</v>
      </c>
      <c r="L714">
        <f>demanda!I712</f>
        <v>15</v>
      </c>
      <c r="M714">
        <v>14.416809279416043</v>
      </c>
      <c r="N714">
        <f t="shared" si="88"/>
        <v>0.58319072058395705</v>
      </c>
      <c r="O714">
        <v>7.4087557083441532E-4</v>
      </c>
      <c r="P714">
        <f t="shared" si="89"/>
        <v>5.8760813658909554E-2</v>
      </c>
      <c r="Q714">
        <f t="shared" si="90"/>
        <v>98.553306243487526</v>
      </c>
      <c r="R714">
        <f t="shared" si="91"/>
        <v>5.8767327956256402E-2</v>
      </c>
      <c r="S714">
        <f t="shared" si="92"/>
        <v>0.95314355069247325</v>
      </c>
      <c r="T714">
        <f t="shared" si="93"/>
        <v>1.2809572488725558E-6</v>
      </c>
      <c r="U714">
        <f t="shared" si="94"/>
        <v>1.6001825154010173E-3</v>
      </c>
    </row>
    <row r="715" spans="10:21" x14ac:dyDescent="0.35">
      <c r="J715">
        <f t="shared" si="95"/>
        <v>712</v>
      </c>
      <c r="K715">
        <f>demanda!D713</f>
        <v>0</v>
      </c>
      <c r="L715">
        <f>demanda!I713</f>
        <v>15</v>
      </c>
      <c r="M715">
        <v>14.416809279416043</v>
      </c>
      <c r="N715">
        <f t="shared" si="88"/>
        <v>0.58319072058395705</v>
      </c>
      <c r="O715">
        <v>7.4087557083441532E-4</v>
      </c>
      <c r="P715">
        <f t="shared" si="89"/>
        <v>5.8760813658909554E-2</v>
      </c>
      <c r="Q715">
        <f t="shared" si="90"/>
        <v>98.553306243487526</v>
      </c>
      <c r="R715">
        <f t="shared" si="91"/>
        <v>5.8767327956256402E-2</v>
      </c>
      <c r="S715">
        <f t="shared" si="92"/>
        <v>0.95314355069247325</v>
      </c>
      <c r="T715">
        <f t="shared" si="93"/>
        <v>1.2809572488725558E-6</v>
      </c>
      <c r="U715">
        <f t="shared" si="94"/>
        <v>1.6001825154010173E-3</v>
      </c>
    </row>
    <row r="716" spans="10:21" x14ac:dyDescent="0.35">
      <c r="J716">
        <f t="shared" si="95"/>
        <v>713</v>
      </c>
      <c r="K716">
        <f>demanda!D714</f>
        <v>0</v>
      </c>
      <c r="L716">
        <f>demanda!I714</f>
        <v>15</v>
      </c>
      <c r="M716">
        <v>14.416809279416043</v>
      </c>
      <c r="N716">
        <f t="shared" si="88"/>
        <v>0.58319072058395705</v>
      </c>
      <c r="O716">
        <v>7.4087557083441532E-4</v>
      </c>
      <c r="P716">
        <f t="shared" si="89"/>
        <v>5.8760813658909554E-2</v>
      </c>
      <c r="Q716">
        <f t="shared" si="90"/>
        <v>98.553306243487526</v>
      </c>
      <c r="R716">
        <f t="shared" si="91"/>
        <v>5.8767327956256402E-2</v>
      </c>
      <c r="S716">
        <f t="shared" si="92"/>
        <v>0.95314355069247325</v>
      </c>
      <c r="T716">
        <f t="shared" si="93"/>
        <v>1.2809572488725558E-6</v>
      </c>
      <c r="U716">
        <f t="shared" si="94"/>
        <v>1.6001825154010173E-3</v>
      </c>
    </row>
    <row r="717" spans="10:21" x14ac:dyDescent="0.35">
      <c r="J717">
        <f t="shared" si="95"/>
        <v>714</v>
      </c>
      <c r="K717">
        <f>demanda!D715</f>
        <v>0</v>
      </c>
      <c r="L717">
        <f>demanda!I715</f>
        <v>15</v>
      </c>
      <c r="M717">
        <v>14.416809279416043</v>
      </c>
      <c r="N717">
        <f t="shared" si="88"/>
        <v>0.58319072058395705</v>
      </c>
      <c r="O717">
        <v>7.4087557083441532E-4</v>
      </c>
      <c r="P717">
        <f t="shared" si="89"/>
        <v>5.8760813658909554E-2</v>
      </c>
      <c r="Q717">
        <f t="shared" si="90"/>
        <v>98.553306243487526</v>
      </c>
      <c r="R717">
        <f t="shared" si="91"/>
        <v>5.8767327956256402E-2</v>
      </c>
      <c r="S717">
        <f t="shared" si="92"/>
        <v>0.95314355069247325</v>
      </c>
      <c r="T717">
        <f t="shared" si="93"/>
        <v>1.2809572488725558E-6</v>
      </c>
      <c r="U717">
        <f t="shared" si="94"/>
        <v>1.6001825154010173E-3</v>
      </c>
    </row>
    <row r="718" spans="10:21" x14ac:dyDescent="0.35">
      <c r="J718">
        <f t="shared" si="95"/>
        <v>715</v>
      </c>
      <c r="K718">
        <f>demanda!D716</f>
        <v>0</v>
      </c>
      <c r="L718">
        <f>demanda!I716</f>
        <v>15</v>
      </c>
      <c r="M718">
        <v>14.416809279416043</v>
      </c>
      <c r="N718">
        <f t="shared" si="88"/>
        <v>0.58319072058395705</v>
      </c>
      <c r="O718">
        <v>7.4087557083441532E-4</v>
      </c>
      <c r="P718">
        <f t="shared" si="89"/>
        <v>5.8760813658909554E-2</v>
      </c>
      <c r="Q718">
        <f t="shared" si="90"/>
        <v>98.553306243487526</v>
      </c>
      <c r="R718">
        <f t="shared" si="91"/>
        <v>5.8767327956256402E-2</v>
      </c>
      <c r="S718">
        <f t="shared" si="92"/>
        <v>0.95314355069247325</v>
      </c>
      <c r="T718">
        <f t="shared" si="93"/>
        <v>1.2809572488725558E-6</v>
      </c>
      <c r="U718">
        <f t="shared" si="94"/>
        <v>1.6001825154010173E-3</v>
      </c>
    </row>
    <row r="719" spans="10:21" x14ac:dyDescent="0.35">
      <c r="J719">
        <f t="shared" si="95"/>
        <v>716</v>
      </c>
      <c r="K719">
        <f>demanda!D717</f>
        <v>0</v>
      </c>
      <c r="L719">
        <f>demanda!I717</f>
        <v>15</v>
      </c>
      <c r="M719">
        <v>14.416809279416043</v>
      </c>
      <c r="N719">
        <f t="shared" si="88"/>
        <v>0.58319072058395705</v>
      </c>
      <c r="O719">
        <v>7.4087557083441532E-4</v>
      </c>
      <c r="P719">
        <f t="shared" si="89"/>
        <v>5.8760813658909554E-2</v>
      </c>
      <c r="Q719">
        <f t="shared" si="90"/>
        <v>98.553306243487526</v>
      </c>
      <c r="R719">
        <f t="shared" si="91"/>
        <v>5.8767327956256402E-2</v>
      </c>
      <c r="S719">
        <f t="shared" si="92"/>
        <v>0.95314355069247325</v>
      </c>
      <c r="T719">
        <f t="shared" si="93"/>
        <v>1.2809572488725558E-6</v>
      </c>
      <c r="U719">
        <f t="shared" si="94"/>
        <v>1.6001825154010173E-3</v>
      </c>
    </row>
    <row r="720" spans="10:21" x14ac:dyDescent="0.35">
      <c r="J720">
        <f t="shared" si="95"/>
        <v>717</v>
      </c>
      <c r="K720">
        <f>demanda!D718</f>
        <v>0</v>
      </c>
      <c r="L720">
        <f>demanda!I718</f>
        <v>15</v>
      </c>
      <c r="M720">
        <v>14.416809279416043</v>
      </c>
      <c r="N720">
        <f t="shared" si="88"/>
        <v>0.58319072058395705</v>
      </c>
      <c r="O720">
        <v>7.4087557083441532E-4</v>
      </c>
      <c r="P720">
        <f t="shared" si="89"/>
        <v>5.8760813658909554E-2</v>
      </c>
      <c r="Q720">
        <f t="shared" si="90"/>
        <v>98.553306243487526</v>
      </c>
      <c r="R720">
        <f t="shared" si="91"/>
        <v>5.8767327956256402E-2</v>
      </c>
      <c r="S720">
        <f t="shared" si="92"/>
        <v>0.95314355069247325</v>
      </c>
      <c r="T720">
        <f t="shared" si="93"/>
        <v>1.2809572488725558E-6</v>
      </c>
      <c r="U720">
        <f t="shared" si="94"/>
        <v>1.6001825154010173E-3</v>
      </c>
    </row>
    <row r="721" spans="10:21" x14ac:dyDescent="0.35">
      <c r="J721">
        <f t="shared" si="95"/>
        <v>718</v>
      </c>
      <c r="K721">
        <f>demanda!D719</f>
        <v>0</v>
      </c>
      <c r="L721">
        <f>demanda!I719</f>
        <v>15</v>
      </c>
      <c r="M721">
        <v>14.416809279416043</v>
      </c>
      <c r="N721">
        <f t="shared" si="88"/>
        <v>0.58319072058395705</v>
      </c>
      <c r="O721">
        <v>7.4087557083441532E-4</v>
      </c>
      <c r="P721">
        <f t="shared" si="89"/>
        <v>5.8760813658909554E-2</v>
      </c>
      <c r="Q721">
        <f t="shared" si="90"/>
        <v>98.553306243487526</v>
      </c>
      <c r="R721">
        <f t="shared" si="91"/>
        <v>5.8767327956256402E-2</v>
      </c>
      <c r="S721">
        <f t="shared" si="92"/>
        <v>0.95314355069247325</v>
      </c>
      <c r="T721">
        <f t="shared" si="93"/>
        <v>1.2809572488725558E-6</v>
      </c>
      <c r="U721">
        <f t="shared" si="94"/>
        <v>1.6001825154010173E-3</v>
      </c>
    </row>
    <row r="722" spans="10:21" x14ac:dyDescent="0.35">
      <c r="J722">
        <f t="shared" si="95"/>
        <v>719</v>
      </c>
      <c r="K722">
        <f>demanda!D720</f>
        <v>0</v>
      </c>
      <c r="L722">
        <f>demanda!I720</f>
        <v>15</v>
      </c>
      <c r="M722">
        <v>14.416809279416043</v>
      </c>
      <c r="N722">
        <f t="shared" si="88"/>
        <v>0.58319072058395705</v>
      </c>
      <c r="O722">
        <v>7.4087557083441532E-4</v>
      </c>
      <c r="P722">
        <f t="shared" si="89"/>
        <v>5.8760813658909554E-2</v>
      </c>
      <c r="Q722">
        <f t="shared" si="90"/>
        <v>98.553306243487526</v>
      </c>
      <c r="R722">
        <f t="shared" si="91"/>
        <v>5.8767327956256402E-2</v>
      </c>
      <c r="S722">
        <f t="shared" si="92"/>
        <v>0.95314355069247325</v>
      </c>
      <c r="T722">
        <f t="shared" si="93"/>
        <v>1.2809572488725558E-6</v>
      </c>
      <c r="U722">
        <f t="shared" si="94"/>
        <v>1.6001825154010173E-3</v>
      </c>
    </row>
    <row r="723" spans="10:21" x14ac:dyDescent="0.35">
      <c r="J723">
        <f t="shared" si="95"/>
        <v>720</v>
      </c>
      <c r="K723">
        <f>demanda!D721</f>
        <v>0</v>
      </c>
      <c r="L723">
        <f>demanda!I721</f>
        <v>15</v>
      </c>
      <c r="M723">
        <v>14.416809279416043</v>
      </c>
      <c r="N723">
        <f t="shared" si="88"/>
        <v>0.58319072058395705</v>
      </c>
      <c r="O723">
        <v>7.4087557083441532E-4</v>
      </c>
      <c r="P723">
        <f t="shared" si="89"/>
        <v>5.8760813658909554E-2</v>
      </c>
      <c r="Q723">
        <f t="shared" si="90"/>
        <v>98.553306243487526</v>
      </c>
      <c r="R723">
        <f t="shared" si="91"/>
        <v>5.8767327956256402E-2</v>
      </c>
      <c r="S723">
        <f t="shared" si="92"/>
        <v>0.95314355069247325</v>
      </c>
      <c r="T723">
        <f t="shared" si="93"/>
        <v>1.2809572488725558E-6</v>
      </c>
      <c r="U723">
        <f t="shared" si="94"/>
        <v>1.6001825154010173E-3</v>
      </c>
    </row>
    <row r="724" spans="10:21" x14ac:dyDescent="0.35">
      <c r="J724">
        <f t="shared" si="95"/>
        <v>721</v>
      </c>
      <c r="K724">
        <f>demanda!D722</f>
        <v>0</v>
      </c>
      <c r="L724">
        <f>demanda!I722</f>
        <v>15</v>
      </c>
      <c r="M724">
        <v>14.416809279416043</v>
      </c>
      <c r="N724">
        <f t="shared" si="88"/>
        <v>0.58319072058395705</v>
      </c>
      <c r="O724">
        <v>7.4087557083441532E-4</v>
      </c>
      <c r="P724">
        <f t="shared" si="89"/>
        <v>5.8760813658909554E-2</v>
      </c>
      <c r="Q724">
        <f t="shared" si="90"/>
        <v>98.553306243487526</v>
      </c>
      <c r="R724">
        <f t="shared" si="91"/>
        <v>5.8767327956256402E-2</v>
      </c>
      <c r="S724">
        <f t="shared" si="92"/>
        <v>0.95314355069247325</v>
      </c>
      <c r="T724">
        <f t="shared" si="93"/>
        <v>1.2809572488725558E-6</v>
      </c>
      <c r="U724">
        <f t="shared" si="94"/>
        <v>1.6001825154010173E-3</v>
      </c>
    </row>
    <row r="725" spans="10:21" x14ac:dyDescent="0.35">
      <c r="J725">
        <f t="shared" si="95"/>
        <v>722</v>
      </c>
      <c r="K725">
        <f>demanda!D723</f>
        <v>0</v>
      </c>
      <c r="L725">
        <f>demanda!I723</f>
        <v>15</v>
      </c>
      <c r="M725">
        <v>14.416809279416043</v>
      </c>
      <c r="N725">
        <f t="shared" si="88"/>
        <v>0.58319072058395705</v>
      </c>
      <c r="O725">
        <v>7.4087557083441532E-4</v>
      </c>
      <c r="P725">
        <f t="shared" si="89"/>
        <v>5.8760813658909554E-2</v>
      </c>
      <c r="Q725">
        <f t="shared" si="90"/>
        <v>98.553306243487526</v>
      </c>
      <c r="R725">
        <f t="shared" si="91"/>
        <v>5.8767327956256402E-2</v>
      </c>
      <c r="S725">
        <f t="shared" si="92"/>
        <v>0.95314355069247325</v>
      </c>
      <c r="T725">
        <f t="shared" si="93"/>
        <v>1.2809572488725558E-6</v>
      </c>
      <c r="U725">
        <f t="shared" si="94"/>
        <v>1.6001825154010173E-3</v>
      </c>
    </row>
    <row r="726" spans="10:21" x14ac:dyDescent="0.35">
      <c r="J726">
        <f t="shared" si="95"/>
        <v>723</v>
      </c>
      <c r="K726">
        <f>demanda!D724</f>
        <v>0</v>
      </c>
      <c r="L726">
        <f>demanda!I724</f>
        <v>15</v>
      </c>
      <c r="M726">
        <v>14.416809279416043</v>
      </c>
      <c r="N726">
        <f t="shared" si="88"/>
        <v>0.58319072058395705</v>
      </c>
      <c r="O726">
        <v>7.4087557083441532E-4</v>
      </c>
      <c r="P726">
        <f t="shared" si="89"/>
        <v>5.8760813658909554E-2</v>
      </c>
      <c r="Q726">
        <f t="shared" si="90"/>
        <v>98.553306243487526</v>
      </c>
      <c r="R726">
        <f t="shared" si="91"/>
        <v>5.8767327956256402E-2</v>
      </c>
      <c r="S726">
        <f t="shared" si="92"/>
        <v>0.95314355069247325</v>
      </c>
      <c r="T726">
        <f t="shared" si="93"/>
        <v>1.2809572488725558E-6</v>
      </c>
      <c r="U726">
        <f t="shared" si="94"/>
        <v>1.6001825154010173E-3</v>
      </c>
    </row>
    <row r="727" spans="10:21" x14ac:dyDescent="0.35">
      <c r="J727">
        <f t="shared" si="95"/>
        <v>724</v>
      </c>
      <c r="K727">
        <f>demanda!D725</f>
        <v>0</v>
      </c>
      <c r="L727">
        <f>demanda!I725</f>
        <v>15</v>
      </c>
      <c r="M727">
        <v>14.416809279416043</v>
      </c>
      <c r="N727">
        <f t="shared" si="88"/>
        <v>0.58319072058395705</v>
      </c>
      <c r="O727">
        <v>7.4087557083441532E-4</v>
      </c>
      <c r="P727">
        <f t="shared" si="89"/>
        <v>5.8760813658909554E-2</v>
      </c>
      <c r="Q727">
        <f t="shared" si="90"/>
        <v>98.553306243487526</v>
      </c>
      <c r="R727">
        <f t="shared" si="91"/>
        <v>5.8767327956256402E-2</v>
      </c>
      <c r="S727">
        <f t="shared" si="92"/>
        <v>0.95314355069247325</v>
      </c>
      <c r="T727">
        <f t="shared" si="93"/>
        <v>1.2809572488725558E-6</v>
      </c>
      <c r="U727">
        <f t="shared" si="94"/>
        <v>1.6001825154010173E-3</v>
      </c>
    </row>
    <row r="728" spans="10:21" x14ac:dyDescent="0.35">
      <c r="J728">
        <f t="shared" si="95"/>
        <v>725</v>
      </c>
      <c r="K728">
        <f>demanda!D726</f>
        <v>0</v>
      </c>
      <c r="L728">
        <f>demanda!I726</f>
        <v>15</v>
      </c>
      <c r="M728">
        <v>14.416809279416043</v>
      </c>
      <c r="N728">
        <f t="shared" si="88"/>
        <v>0.58319072058395705</v>
      </c>
      <c r="O728">
        <v>7.4087557083441532E-4</v>
      </c>
      <c r="P728">
        <f t="shared" si="89"/>
        <v>5.8760813658909554E-2</v>
      </c>
      <c r="Q728">
        <f t="shared" si="90"/>
        <v>98.553306243487526</v>
      </c>
      <c r="R728">
        <f t="shared" si="91"/>
        <v>5.8767327956256402E-2</v>
      </c>
      <c r="S728">
        <f t="shared" si="92"/>
        <v>0.95314355069247325</v>
      </c>
      <c r="T728">
        <f t="shared" si="93"/>
        <v>1.2809572488725558E-6</v>
      </c>
      <c r="U728">
        <f t="shared" si="94"/>
        <v>1.6001825154010173E-3</v>
      </c>
    </row>
    <row r="729" spans="10:21" x14ac:dyDescent="0.35">
      <c r="J729">
        <f t="shared" si="95"/>
        <v>726</v>
      </c>
      <c r="K729">
        <f>demanda!D727</f>
        <v>0</v>
      </c>
      <c r="L729">
        <f>demanda!I727</f>
        <v>15</v>
      </c>
      <c r="M729">
        <v>14.416809279416043</v>
      </c>
      <c r="N729">
        <f t="shared" si="88"/>
        <v>0.58319072058395705</v>
      </c>
      <c r="O729">
        <v>7.4087557083441532E-4</v>
      </c>
      <c r="P729">
        <f t="shared" si="89"/>
        <v>5.8760813658909554E-2</v>
      </c>
      <c r="Q729">
        <f t="shared" si="90"/>
        <v>98.553306243487526</v>
      </c>
      <c r="R729">
        <f t="shared" si="91"/>
        <v>5.8767327956256402E-2</v>
      </c>
      <c r="S729">
        <f t="shared" si="92"/>
        <v>0.95314355069247325</v>
      </c>
      <c r="T729">
        <f t="shared" si="93"/>
        <v>1.2809572488725558E-6</v>
      </c>
      <c r="U729">
        <f t="shared" si="94"/>
        <v>1.6001825154010173E-3</v>
      </c>
    </row>
    <row r="730" spans="10:21" x14ac:dyDescent="0.35">
      <c r="J730">
        <f t="shared" si="95"/>
        <v>727</v>
      </c>
      <c r="K730">
        <f>demanda!D728</f>
        <v>0</v>
      </c>
      <c r="L730">
        <f>demanda!I728</f>
        <v>4</v>
      </c>
      <c r="M730">
        <v>14.416809279416043</v>
      </c>
      <c r="N730">
        <f t="shared" si="88"/>
        <v>-10.416809279416043</v>
      </c>
      <c r="O730">
        <v>7.4087557083441532E-4</v>
      </c>
      <c r="P730">
        <f t="shared" si="89"/>
        <v>-1.0495712078121913</v>
      </c>
      <c r="Q730">
        <f t="shared" si="90"/>
        <v>98.49686724248096</v>
      </c>
      <c r="R730">
        <f t="shared" si="91"/>
        <v>-1.049988258586362</v>
      </c>
      <c r="S730">
        <f t="shared" si="92"/>
        <v>0.29385572056513598</v>
      </c>
      <c r="T730">
        <f t="shared" si="93"/>
        <v>4.0867949778204384E-4</v>
      </c>
      <c r="U730">
        <f t="shared" si="94"/>
        <v>-2.8590254333443563E-2</v>
      </c>
    </row>
    <row r="731" spans="10:21" x14ac:dyDescent="0.35">
      <c r="J731">
        <f t="shared" si="95"/>
        <v>728</v>
      </c>
      <c r="K731">
        <f>demanda!D729</f>
        <v>0</v>
      </c>
      <c r="L731">
        <f>demanda!I729</f>
        <v>2</v>
      </c>
      <c r="M731">
        <v>14.416809279416043</v>
      </c>
      <c r="N731">
        <f t="shared" si="88"/>
        <v>-12.416809279416043</v>
      </c>
      <c r="O731">
        <v>7.4087557083441532E-4</v>
      </c>
      <c r="P731">
        <f t="shared" si="89"/>
        <v>-1.2510861208069368</v>
      </c>
      <c r="Q731">
        <f t="shared" si="90"/>
        <v>98.473039768058015</v>
      </c>
      <c r="R731">
        <f t="shared" si="91"/>
        <v>-1.2517346575747474</v>
      </c>
      <c r="S731">
        <f t="shared" si="92"/>
        <v>0.21081911987933932</v>
      </c>
      <c r="T731">
        <f t="shared" si="93"/>
        <v>5.8067542491350977E-4</v>
      </c>
      <c r="U731">
        <f t="shared" si="94"/>
        <v>-3.4083630864815417E-2</v>
      </c>
    </row>
    <row r="732" spans="10:21" x14ac:dyDescent="0.35">
      <c r="J732">
        <f t="shared" si="95"/>
        <v>729</v>
      </c>
      <c r="K732">
        <f>demanda!D730</f>
        <v>1</v>
      </c>
      <c r="L732">
        <f>demanda!I730</f>
        <v>3</v>
      </c>
      <c r="M732">
        <v>11.786175589530247</v>
      </c>
      <c r="N732">
        <f t="shared" si="88"/>
        <v>-8.7861755895302469</v>
      </c>
      <c r="O732">
        <v>5.2058796926701797E-4</v>
      </c>
      <c r="P732">
        <f t="shared" si="89"/>
        <v>-0.88527270474037267</v>
      </c>
      <c r="Q732">
        <f t="shared" si="90"/>
        <v>98.513214102399758</v>
      </c>
      <c r="R732">
        <f t="shared" si="91"/>
        <v>-0.88545339538896362</v>
      </c>
      <c r="S732">
        <f t="shared" si="92"/>
        <v>0.37602308055069167</v>
      </c>
      <c r="T732">
        <f t="shared" si="93"/>
        <v>2.0420697614382047E-4</v>
      </c>
      <c r="U732">
        <f t="shared" si="94"/>
        <v>-2.0208116875988336E-2</v>
      </c>
    </row>
    <row r="733" spans="10:21" x14ac:dyDescent="0.35">
      <c r="J733">
        <f t="shared" si="95"/>
        <v>730</v>
      </c>
      <c r="K733">
        <f>demanda!D731</f>
        <v>0</v>
      </c>
      <c r="L733">
        <f>demanda!I731</f>
        <v>11</v>
      </c>
      <c r="M733">
        <v>14.416809279416043</v>
      </c>
      <c r="N733">
        <f t="shared" si="88"/>
        <v>-3.416809279416043</v>
      </c>
      <c r="O733">
        <v>7.4087557083441532E-4</v>
      </c>
      <c r="P733">
        <f t="shared" si="89"/>
        <v>-0.34426901233058166</v>
      </c>
      <c r="Q733">
        <f t="shared" si="90"/>
        <v>98.547392334261005</v>
      </c>
      <c r="R733">
        <f t="shared" si="91"/>
        <v>-0.34431750934619676</v>
      </c>
      <c r="S733">
        <f t="shared" si="92"/>
        <v>0.73064524437297085</v>
      </c>
      <c r="T733">
        <f t="shared" si="93"/>
        <v>4.3969841615361785E-5</v>
      </c>
      <c r="U733">
        <f t="shared" si="94"/>
        <v>-9.3754621379472432E-3</v>
      </c>
    </row>
    <row r="734" spans="10:21" x14ac:dyDescent="0.35">
      <c r="J734">
        <f t="shared" si="95"/>
        <v>731</v>
      </c>
      <c r="K734">
        <f>demanda!D732</f>
        <v>2</v>
      </c>
      <c r="L734">
        <f>demanda!I732</f>
        <v>3</v>
      </c>
      <c r="M734">
        <v>9.1555418996444509</v>
      </c>
      <c r="N734">
        <f t="shared" si="88"/>
        <v>-6.1555418996444509</v>
      </c>
      <c r="O734">
        <v>7.3144910189317154E-4</v>
      </c>
      <c r="P734">
        <f t="shared" si="89"/>
        <v>-0.62021674517118131</v>
      </c>
      <c r="Q734">
        <f t="shared" si="90"/>
        <v>98.533713924458709</v>
      </c>
      <c r="R734">
        <f t="shared" si="91"/>
        <v>-0.62034424251421916</v>
      </c>
      <c r="S734">
        <f t="shared" si="92"/>
        <v>0.53510483257501296</v>
      </c>
      <c r="T734">
        <f t="shared" si="93"/>
        <v>1.4088885884323287E-4</v>
      </c>
      <c r="U734">
        <f t="shared" si="94"/>
        <v>-1.6783545165498539E-2</v>
      </c>
    </row>
    <row r="735" spans="10:21" x14ac:dyDescent="0.35">
      <c r="J735">
        <f t="shared" si="95"/>
        <v>732</v>
      </c>
      <c r="K735">
        <f>demanda!D733</f>
        <v>2</v>
      </c>
      <c r="L735">
        <f>demanda!I733</f>
        <v>2</v>
      </c>
      <c r="M735">
        <v>9.1555418996444509</v>
      </c>
      <c r="N735">
        <f t="shared" si="88"/>
        <v>-7.1555418996444509</v>
      </c>
      <c r="O735">
        <v>7.3144910189317154E-4</v>
      </c>
      <c r="P735">
        <f t="shared" si="89"/>
        <v>-0.72097420166855408</v>
      </c>
      <c r="Q735">
        <f t="shared" si="90"/>
        <v>98.526768759022602</v>
      </c>
      <c r="R735">
        <f t="shared" si="91"/>
        <v>-0.72114782718324122</v>
      </c>
      <c r="S735">
        <f t="shared" si="92"/>
        <v>0.47090641241117204</v>
      </c>
      <c r="T735">
        <f t="shared" si="93"/>
        <v>1.9038342084795563E-4</v>
      </c>
      <c r="U735">
        <f t="shared" si="94"/>
        <v>-1.9510807546913981E-2</v>
      </c>
    </row>
    <row r="736" spans="10:21" x14ac:dyDescent="0.35">
      <c r="J736">
        <f t="shared" si="95"/>
        <v>733</v>
      </c>
      <c r="K736">
        <f>demanda!D734</f>
        <v>2</v>
      </c>
      <c r="L736">
        <f>demanda!I734</f>
        <v>3</v>
      </c>
      <c r="M736">
        <v>9.1555418996444509</v>
      </c>
      <c r="N736">
        <f t="shared" si="88"/>
        <v>-6.1555418996444509</v>
      </c>
      <c r="O736">
        <v>7.3144910189317154E-4</v>
      </c>
      <c r="P736">
        <f t="shared" si="89"/>
        <v>-0.62021674517118131</v>
      </c>
      <c r="Q736">
        <f t="shared" si="90"/>
        <v>98.533713924458709</v>
      </c>
      <c r="R736">
        <f t="shared" si="91"/>
        <v>-0.62034424251421916</v>
      </c>
      <c r="S736">
        <f t="shared" si="92"/>
        <v>0.53510483257501296</v>
      </c>
      <c r="T736">
        <f t="shared" si="93"/>
        <v>1.4088885884323287E-4</v>
      </c>
      <c r="U736">
        <f t="shared" si="94"/>
        <v>-1.6783545165498539E-2</v>
      </c>
    </row>
    <row r="737" spans="10:21" x14ac:dyDescent="0.35">
      <c r="J737">
        <f t="shared" si="95"/>
        <v>734</v>
      </c>
      <c r="K737">
        <f>demanda!D735</f>
        <v>0</v>
      </c>
      <c r="L737">
        <f>demanda!I735</f>
        <v>4</v>
      </c>
      <c r="M737">
        <v>14.416809279416043</v>
      </c>
      <c r="N737">
        <f t="shared" si="88"/>
        <v>-10.416809279416043</v>
      </c>
      <c r="O737">
        <v>7.4087557083441532E-4</v>
      </c>
      <c r="P737">
        <f t="shared" si="89"/>
        <v>-1.0495712078121913</v>
      </c>
      <c r="Q737">
        <f t="shared" si="90"/>
        <v>98.49686724248096</v>
      </c>
      <c r="R737">
        <f t="shared" si="91"/>
        <v>-1.049988258586362</v>
      </c>
      <c r="S737">
        <f t="shared" si="92"/>
        <v>0.29385572056513598</v>
      </c>
      <c r="T737">
        <f t="shared" si="93"/>
        <v>4.0867949778204384E-4</v>
      </c>
      <c r="U737">
        <f t="shared" si="94"/>
        <v>-2.8590254333443563E-2</v>
      </c>
    </row>
    <row r="738" spans="10:21" x14ac:dyDescent="0.35">
      <c r="J738">
        <f t="shared" si="95"/>
        <v>735</v>
      </c>
      <c r="K738">
        <f>demanda!D736</f>
        <v>0</v>
      </c>
      <c r="L738">
        <f>demanda!I736</f>
        <v>12</v>
      </c>
      <c r="M738">
        <v>14.416809279416043</v>
      </c>
      <c r="N738">
        <f t="shared" si="88"/>
        <v>-2.416809279416043</v>
      </c>
      <c r="O738">
        <v>7.4087557083441532E-4</v>
      </c>
      <c r="P738">
        <f t="shared" si="89"/>
        <v>-0.24351155583320885</v>
      </c>
      <c r="Q738">
        <f t="shared" si="90"/>
        <v>98.55043610055337</v>
      </c>
      <c r="R738">
        <f t="shared" si="91"/>
        <v>-0.24354209816225414</v>
      </c>
      <c r="S738">
        <f t="shared" si="92"/>
        <v>0.80761150818210881</v>
      </c>
      <c r="T738">
        <f t="shared" si="93"/>
        <v>2.199875915262289E-5</v>
      </c>
      <c r="U738">
        <f t="shared" si="94"/>
        <v>-6.6314365617133417E-3</v>
      </c>
    </row>
    <row r="739" spans="10:21" x14ac:dyDescent="0.35">
      <c r="J739">
        <f t="shared" si="95"/>
        <v>736</v>
      </c>
      <c r="K739">
        <f>demanda!D737</f>
        <v>3</v>
      </c>
      <c r="L739">
        <f>demanda!I737</f>
        <v>11</v>
      </c>
      <c r="M739">
        <v>6.5249082097586548</v>
      </c>
      <c r="N739">
        <f t="shared" si="88"/>
        <v>4.4750917902413452</v>
      </c>
      <c r="O739">
        <v>1.3734589687128761E-3</v>
      </c>
      <c r="P739">
        <f t="shared" si="89"/>
        <v>0.4508988663769925</v>
      </c>
      <c r="Q739">
        <f t="shared" si="90"/>
        <v>98.543028023320858</v>
      </c>
      <c r="R739">
        <f t="shared" si="91"/>
        <v>0.45111518275893658</v>
      </c>
      <c r="S739">
        <f t="shared" si="92"/>
        <v>0.65195750576320555</v>
      </c>
      <c r="T739">
        <f t="shared" si="93"/>
        <v>1.4000313870442385E-4</v>
      </c>
      <c r="U739">
        <f t="shared" si="94"/>
        <v>1.6729915084659874E-2</v>
      </c>
    </row>
    <row r="740" spans="10:21" x14ac:dyDescent="0.35">
      <c r="J740">
        <f t="shared" si="95"/>
        <v>737</v>
      </c>
      <c r="K740">
        <f>demanda!D738</f>
        <v>2</v>
      </c>
      <c r="L740">
        <f>demanda!I738</f>
        <v>8</v>
      </c>
      <c r="M740">
        <v>9.1555418996444509</v>
      </c>
      <c r="N740">
        <f t="shared" si="88"/>
        <v>-1.1555418996444509</v>
      </c>
      <c r="O740">
        <v>7.3144910189317154E-4</v>
      </c>
      <c r="P740">
        <f t="shared" si="89"/>
        <v>-0.11642946268431729</v>
      </c>
      <c r="Q740">
        <f t="shared" si="90"/>
        <v>98.552787009441474</v>
      </c>
      <c r="R740">
        <f t="shared" si="91"/>
        <v>-0.11644212771865178</v>
      </c>
      <c r="S740">
        <f t="shared" si="92"/>
        <v>0.90731433340227419</v>
      </c>
      <c r="T740">
        <f t="shared" si="93"/>
        <v>4.964956671961163E-6</v>
      </c>
      <c r="U740">
        <f t="shared" si="94"/>
        <v>-3.1503664833126038E-3</v>
      </c>
    </row>
    <row r="741" spans="10:21" x14ac:dyDescent="0.35">
      <c r="J741">
        <f t="shared" si="95"/>
        <v>738</v>
      </c>
      <c r="K741">
        <f>demanda!D739</f>
        <v>0</v>
      </c>
      <c r="L741">
        <f>demanda!I739</f>
        <v>8</v>
      </c>
      <c r="M741">
        <v>14.416809279416043</v>
      </c>
      <c r="N741">
        <f t="shared" si="88"/>
        <v>-6.416809279416043</v>
      </c>
      <c r="O741">
        <v>7.4087557083441532E-4</v>
      </c>
      <c r="P741">
        <f t="shared" si="89"/>
        <v>-0.64654138182270005</v>
      </c>
      <c r="Q741">
        <f t="shared" si="90"/>
        <v>98.531999879441045</v>
      </c>
      <c r="R741">
        <f t="shared" si="91"/>
        <v>-0.64668296559256133</v>
      </c>
      <c r="S741">
        <f t="shared" si="92"/>
        <v>0.51791448613837154</v>
      </c>
      <c r="T741">
        <f t="shared" si="93"/>
        <v>1.5507853448804487E-4</v>
      </c>
      <c r="U741">
        <f t="shared" si="94"/>
        <v>-1.7608606866032061E-2</v>
      </c>
    </row>
    <row r="742" spans="10:21" x14ac:dyDescent="0.35">
      <c r="J742">
        <f t="shared" si="95"/>
        <v>739</v>
      </c>
      <c r="K742">
        <f>demanda!D740</f>
        <v>1</v>
      </c>
      <c r="L742">
        <f>demanda!I740</f>
        <v>3</v>
      </c>
      <c r="M742">
        <v>11.786175589530247</v>
      </c>
      <c r="N742">
        <f t="shared" si="88"/>
        <v>-8.7861755895302469</v>
      </c>
      <c r="O742">
        <v>5.2058796926701797E-4</v>
      </c>
      <c r="P742">
        <f t="shared" si="89"/>
        <v>-0.88527270474037267</v>
      </c>
      <c r="Q742">
        <f t="shared" si="90"/>
        <v>98.513214102399758</v>
      </c>
      <c r="R742">
        <f t="shared" si="91"/>
        <v>-0.88545339538896362</v>
      </c>
      <c r="S742">
        <f t="shared" si="92"/>
        <v>0.37602308055069167</v>
      </c>
      <c r="T742">
        <f t="shared" si="93"/>
        <v>2.0420697614382047E-4</v>
      </c>
      <c r="U742">
        <f t="shared" si="94"/>
        <v>-2.0208116875988336E-2</v>
      </c>
    </row>
    <row r="743" spans="10:21" x14ac:dyDescent="0.35">
      <c r="J743">
        <f t="shared" si="95"/>
        <v>740</v>
      </c>
      <c r="K743">
        <f>demanda!D741</f>
        <v>0</v>
      </c>
      <c r="L743">
        <f>demanda!I741</f>
        <v>37</v>
      </c>
      <c r="M743">
        <v>14.416809279416043</v>
      </c>
      <c r="N743">
        <f t="shared" si="88"/>
        <v>22.583190720583957</v>
      </c>
      <c r="O743">
        <v>7.4087557083441532E-4</v>
      </c>
      <c r="P743">
        <f t="shared" si="89"/>
        <v>2.2754248566011115</v>
      </c>
      <c r="Q743">
        <f t="shared" si="90"/>
        <v>98.287384310954877</v>
      </c>
      <c r="R743">
        <f t="shared" si="91"/>
        <v>2.2787535185019636</v>
      </c>
      <c r="S743">
        <f t="shared" si="92"/>
        <v>2.2791143982754013E-2</v>
      </c>
      <c r="T743">
        <f t="shared" si="93"/>
        <v>1.9208083279927454E-3</v>
      </c>
      <c r="U743">
        <f t="shared" si="94"/>
        <v>6.2048448755907586E-2</v>
      </c>
    </row>
    <row r="744" spans="10:21" x14ac:dyDescent="0.35">
      <c r="J744">
        <f t="shared" si="95"/>
        <v>741</v>
      </c>
      <c r="K744">
        <f>demanda!D742</f>
        <v>0</v>
      </c>
      <c r="L744">
        <f>demanda!I742</f>
        <v>5</v>
      </c>
      <c r="M744">
        <v>14.416809279416043</v>
      </c>
      <c r="N744">
        <f t="shared" si="88"/>
        <v>-9.416809279416043</v>
      </c>
      <c r="O744">
        <v>7.4087557083441532E-4</v>
      </c>
      <c r="P744">
        <f t="shared" si="89"/>
        <v>-0.94881375131481849</v>
      </c>
      <c r="Q744">
        <f t="shared" si="90"/>
        <v>98.507215690706701</v>
      </c>
      <c r="R744">
        <f t="shared" si="91"/>
        <v>-0.94914090693055775</v>
      </c>
      <c r="S744">
        <f t="shared" si="92"/>
        <v>0.34266846368408377</v>
      </c>
      <c r="T744">
        <f t="shared" si="93"/>
        <v>3.339803955874275E-4</v>
      </c>
      <c r="U744">
        <f t="shared" si="94"/>
        <v>-2.5844269881602652E-2</v>
      </c>
    </row>
    <row r="745" spans="10:21" x14ac:dyDescent="0.35">
      <c r="J745">
        <f t="shared" si="95"/>
        <v>742</v>
      </c>
      <c r="K745">
        <f>demanda!D743</f>
        <v>2</v>
      </c>
      <c r="L745">
        <f>demanda!I743</f>
        <v>5</v>
      </c>
      <c r="M745">
        <v>9.1555418996444509</v>
      </c>
      <c r="N745">
        <f t="shared" si="88"/>
        <v>-4.1555418996444509</v>
      </c>
      <c r="O745">
        <v>7.3144910189317154E-4</v>
      </c>
      <c r="P745">
        <f t="shared" si="89"/>
        <v>-0.4187018321764357</v>
      </c>
      <c r="Q745">
        <f t="shared" si="90"/>
        <v>98.544473706891381</v>
      </c>
      <c r="R745">
        <f t="shared" si="91"/>
        <v>-0.41876504056165376</v>
      </c>
      <c r="S745">
        <f t="shared" si="92"/>
        <v>0.67543472022045181</v>
      </c>
      <c r="T745">
        <f t="shared" si="93"/>
        <v>6.420951640425571E-5</v>
      </c>
      <c r="U745">
        <f t="shared" si="94"/>
        <v>-1.1329777066218591E-2</v>
      </c>
    </row>
    <row r="746" spans="10:21" x14ac:dyDescent="0.35">
      <c r="J746">
        <f t="shared" si="95"/>
        <v>743</v>
      </c>
      <c r="K746">
        <f>demanda!D744</f>
        <v>4</v>
      </c>
      <c r="L746">
        <f>demanda!I744</f>
        <v>3</v>
      </c>
      <c r="M746">
        <v>3.8942745198728588</v>
      </c>
      <c r="N746">
        <f t="shared" si="88"/>
        <v>-0.89427451987285878</v>
      </c>
      <c r="O746">
        <v>2.4466175697261316E-3</v>
      </c>
      <c r="P746">
        <f t="shared" si="89"/>
        <v>-9.0104826032798527E-2</v>
      </c>
      <c r="Q746">
        <f t="shared" si="90"/>
        <v>98.553065719630368</v>
      </c>
      <c r="R746">
        <f t="shared" si="91"/>
        <v>-9.0191937130002245E-2</v>
      </c>
      <c r="S746">
        <f t="shared" si="92"/>
        <v>0.92814410376796586</v>
      </c>
      <c r="T746">
        <f t="shared" si="93"/>
        <v>9.9806748742546123E-6</v>
      </c>
      <c r="U746">
        <f t="shared" si="94"/>
        <v>-4.4666578568412878E-3</v>
      </c>
    </row>
    <row r="747" spans="10:21" x14ac:dyDescent="0.35">
      <c r="J747">
        <f t="shared" si="95"/>
        <v>744</v>
      </c>
      <c r="K747">
        <f>demanda!D745</f>
        <v>0</v>
      </c>
      <c r="L747">
        <f>demanda!I745</f>
        <v>9</v>
      </c>
      <c r="M747">
        <v>14.416809279416043</v>
      </c>
      <c r="N747">
        <f t="shared" si="88"/>
        <v>-5.416809279416043</v>
      </c>
      <c r="O747">
        <v>7.4087557083441532E-4</v>
      </c>
      <c r="P747">
        <f t="shared" si="89"/>
        <v>-0.54578392532532727</v>
      </c>
      <c r="Q747">
        <f t="shared" si="90"/>
        <v>98.538174223704843</v>
      </c>
      <c r="R747">
        <f t="shared" si="91"/>
        <v>-0.54588634131956315</v>
      </c>
      <c r="S747">
        <f t="shared" si="92"/>
        <v>0.58520751823074413</v>
      </c>
      <c r="T747">
        <f t="shared" si="93"/>
        <v>1.1050972928307278E-4</v>
      </c>
      <c r="U747">
        <f t="shared" si="94"/>
        <v>-1.4864003676090257E-2</v>
      </c>
    </row>
    <row r="748" spans="10:21" x14ac:dyDescent="0.35">
      <c r="J748">
        <f t="shared" si="95"/>
        <v>745</v>
      </c>
      <c r="K748">
        <f>demanda!D746</f>
        <v>3</v>
      </c>
      <c r="L748">
        <f>demanda!I746</f>
        <v>4</v>
      </c>
      <c r="M748">
        <v>6.5249082097586548</v>
      </c>
      <c r="N748">
        <f t="shared" si="88"/>
        <v>-2.5249082097586548</v>
      </c>
      <c r="O748">
        <v>1.3734589687128761E-3</v>
      </c>
      <c r="P748">
        <f t="shared" si="89"/>
        <v>-0.2544033291046171</v>
      </c>
      <c r="Q748">
        <f t="shared" si="90"/>
        <v>98.550155270625524</v>
      </c>
      <c r="R748">
        <f t="shared" si="91"/>
        <v>-0.25451617384299874</v>
      </c>
      <c r="S748">
        <f t="shared" si="92"/>
        <v>0.79912408038987892</v>
      </c>
      <c r="T748">
        <f t="shared" si="93"/>
        <v>4.4568197050885148E-5</v>
      </c>
      <c r="U748">
        <f t="shared" si="94"/>
        <v>-9.4389063786870474E-3</v>
      </c>
    </row>
    <row r="749" spans="10:21" x14ac:dyDescent="0.35">
      <c r="J749">
        <f t="shared" si="95"/>
        <v>746</v>
      </c>
      <c r="K749">
        <f>demanda!D747</f>
        <v>2</v>
      </c>
      <c r="L749">
        <f>demanda!I747</f>
        <v>2</v>
      </c>
      <c r="M749">
        <v>9.1555418996444509</v>
      </c>
      <c r="N749">
        <f t="shared" si="88"/>
        <v>-7.1555418996444509</v>
      </c>
      <c r="O749">
        <v>7.3144910189317154E-4</v>
      </c>
      <c r="P749">
        <f t="shared" si="89"/>
        <v>-0.72097420166855408</v>
      </c>
      <c r="Q749">
        <f t="shared" si="90"/>
        <v>98.526768759022602</v>
      </c>
      <c r="R749">
        <f t="shared" si="91"/>
        <v>-0.72114782718324122</v>
      </c>
      <c r="S749">
        <f t="shared" si="92"/>
        <v>0.47090641241117204</v>
      </c>
      <c r="T749">
        <f t="shared" si="93"/>
        <v>1.9038342084795563E-4</v>
      </c>
      <c r="U749">
        <f t="shared" si="94"/>
        <v>-1.9510807546913981E-2</v>
      </c>
    </row>
    <row r="750" spans="10:21" x14ac:dyDescent="0.35">
      <c r="J750">
        <f t="shared" si="95"/>
        <v>747</v>
      </c>
      <c r="K750">
        <f>demanda!D748</f>
        <v>1</v>
      </c>
      <c r="L750">
        <f>demanda!I748</f>
        <v>12</v>
      </c>
      <c r="M750">
        <v>11.786175589530247</v>
      </c>
      <c r="N750">
        <f t="shared" si="88"/>
        <v>0.21382441046975309</v>
      </c>
      <c r="O750">
        <v>5.2058796926701797E-4</v>
      </c>
      <c r="P750">
        <f t="shared" si="89"/>
        <v>2.1544403735982532E-2</v>
      </c>
      <c r="Q750">
        <f t="shared" si="90"/>
        <v>98.55345985083423</v>
      </c>
      <c r="R750">
        <f t="shared" si="91"/>
        <v>2.1544400773202785E-2</v>
      </c>
      <c r="S750">
        <f t="shared" si="92"/>
        <v>0.98281362479024093</v>
      </c>
      <c r="T750">
        <f t="shared" si="93"/>
        <v>1.2094429421903031E-7</v>
      </c>
      <c r="U750">
        <f t="shared" si="94"/>
        <v>4.9169360139701592E-4</v>
      </c>
    </row>
    <row r="751" spans="10:21" x14ac:dyDescent="0.35">
      <c r="J751">
        <f t="shared" si="95"/>
        <v>748</v>
      </c>
      <c r="K751">
        <f>demanda!D749</f>
        <v>1</v>
      </c>
      <c r="L751">
        <f>demanda!I749</f>
        <v>6</v>
      </c>
      <c r="M751">
        <v>11.786175589530247</v>
      </c>
      <c r="N751">
        <f t="shared" si="88"/>
        <v>-5.7861755895302469</v>
      </c>
      <c r="O751">
        <v>5.2058796926701797E-4</v>
      </c>
      <c r="P751">
        <f t="shared" si="89"/>
        <v>-0.58300033524825434</v>
      </c>
      <c r="Q751">
        <f t="shared" si="90"/>
        <v>98.536019015832139</v>
      </c>
      <c r="R751">
        <f t="shared" si="91"/>
        <v>-0.58305184819450462</v>
      </c>
      <c r="S751">
        <f t="shared" si="92"/>
        <v>0.55992690572315473</v>
      </c>
      <c r="T751">
        <f t="shared" si="93"/>
        <v>8.8563349919163143E-5</v>
      </c>
      <c r="U751">
        <f t="shared" si="94"/>
        <v>-1.3306606484805191E-2</v>
      </c>
    </row>
    <row r="752" spans="10:21" x14ac:dyDescent="0.35">
      <c r="J752">
        <f t="shared" si="95"/>
        <v>749</v>
      </c>
      <c r="K752">
        <f>demanda!D750</f>
        <v>0</v>
      </c>
      <c r="L752">
        <f>demanda!I750</f>
        <v>9</v>
      </c>
      <c r="M752">
        <v>14.416809279416043</v>
      </c>
      <c r="N752">
        <f t="shared" si="88"/>
        <v>-5.416809279416043</v>
      </c>
      <c r="O752">
        <v>7.4087557083441532E-4</v>
      </c>
      <c r="P752">
        <f t="shared" si="89"/>
        <v>-0.54578392532532727</v>
      </c>
      <c r="Q752">
        <f t="shared" si="90"/>
        <v>98.538174223704843</v>
      </c>
      <c r="R752">
        <f t="shared" si="91"/>
        <v>-0.54588634131956315</v>
      </c>
      <c r="S752">
        <f t="shared" si="92"/>
        <v>0.58520751823074413</v>
      </c>
      <c r="T752">
        <f t="shared" si="93"/>
        <v>1.1050972928307278E-4</v>
      </c>
      <c r="U752">
        <f t="shared" si="94"/>
        <v>-1.4864003676090257E-2</v>
      </c>
    </row>
    <row r="753" spans="10:21" x14ac:dyDescent="0.35">
      <c r="J753">
        <f t="shared" si="95"/>
        <v>750</v>
      </c>
      <c r="K753">
        <f>demanda!D751</f>
        <v>1</v>
      </c>
      <c r="L753">
        <f>demanda!I751</f>
        <v>13</v>
      </c>
      <c r="M753">
        <v>11.786175589530247</v>
      </c>
      <c r="N753">
        <f t="shared" si="88"/>
        <v>1.2138244104697531</v>
      </c>
      <c r="O753">
        <v>5.2058796926701797E-4</v>
      </c>
      <c r="P753">
        <f t="shared" si="89"/>
        <v>0.12230186023335533</v>
      </c>
      <c r="Q753">
        <f t="shared" si="90"/>
        <v>98.552715120685733</v>
      </c>
      <c r="R753">
        <f t="shared" si="91"/>
        <v>0.12230230551078146</v>
      </c>
      <c r="S753">
        <f t="shared" si="92"/>
        <v>0.90267241210292171</v>
      </c>
      <c r="T753">
        <f t="shared" si="93"/>
        <v>3.8974679450726784E-6</v>
      </c>
      <c r="U753">
        <f t="shared" si="94"/>
        <v>2.7912245826094769E-3</v>
      </c>
    </row>
    <row r="754" spans="10:21" x14ac:dyDescent="0.35">
      <c r="J754">
        <f t="shared" si="95"/>
        <v>751</v>
      </c>
      <c r="K754">
        <f>demanda!D752</f>
        <v>2</v>
      </c>
      <c r="L754">
        <f>demanda!I752</f>
        <v>3</v>
      </c>
      <c r="M754">
        <v>9.1555418996444509</v>
      </c>
      <c r="N754">
        <f t="shared" si="88"/>
        <v>-6.1555418996444509</v>
      </c>
      <c r="O754">
        <v>7.3144910189317154E-4</v>
      </c>
      <c r="P754">
        <f t="shared" si="89"/>
        <v>-0.62021674517118131</v>
      </c>
      <c r="Q754">
        <f t="shared" si="90"/>
        <v>98.533713924458709</v>
      </c>
      <c r="R754">
        <f t="shared" si="91"/>
        <v>-0.62034424251421916</v>
      </c>
      <c r="S754">
        <f t="shared" si="92"/>
        <v>0.53510483257501296</v>
      </c>
      <c r="T754">
        <f t="shared" si="93"/>
        <v>1.4088885884323287E-4</v>
      </c>
      <c r="U754">
        <f t="shared" si="94"/>
        <v>-1.6783545165498539E-2</v>
      </c>
    </row>
    <row r="755" spans="10:21" x14ac:dyDescent="0.35">
      <c r="J755">
        <f t="shared" si="95"/>
        <v>752</v>
      </c>
      <c r="K755">
        <f>demanda!D753</f>
        <v>0</v>
      </c>
      <c r="L755">
        <f>demanda!I753</f>
        <v>32</v>
      </c>
      <c r="M755">
        <v>14.416809279416043</v>
      </c>
      <c r="N755">
        <f t="shared" si="88"/>
        <v>17.583190720583957</v>
      </c>
      <c r="O755">
        <v>7.4087557083441532E-4</v>
      </c>
      <c r="P755">
        <f t="shared" si="89"/>
        <v>1.7716375741142472</v>
      </c>
      <c r="Q755">
        <f t="shared" si="90"/>
        <v>98.392170968398787</v>
      </c>
      <c r="R755">
        <f t="shared" si="91"/>
        <v>1.7732842385483347</v>
      </c>
      <c r="S755">
        <f t="shared" si="92"/>
        <v>7.6340197833702841E-2</v>
      </c>
      <c r="T755">
        <f t="shared" si="93"/>
        <v>1.1644177018541677E-3</v>
      </c>
      <c r="U755">
        <f t="shared" si="94"/>
        <v>4.8284966018421152E-2</v>
      </c>
    </row>
    <row r="756" spans="10:21" x14ac:dyDescent="0.35">
      <c r="J756">
        <f t="shared" si="95"/>
        <v>753</v>
      </c>
      <c r="K756">
        <f>demanda!D754</f>
        <v>1</v>
      </c>
      <c r="L756">
        <f>demanda!I754</f>
        <v>4</v>
      </c>
      <c r="M756">
        <v>11.786175589530247</v>
      </c>
      <c r="N756">
        <f t="shared" si="88"/>
        <v>-7.7861755895302469</v>
      </c>
      <c r="O756">
        <v>5.2058796926701797E-4</v>
      </c>
      <c r="P756">
        <f t="shared" si="89"/>
        <v>-0.7845152482429999</v>
      </c>
      <c r="Q756">
        <f t="shared" si="90"/>
        <v>98.52185903620547</v>
      </c>
      <c r="R756">
        <f t="shared" si="91"/>
        <v>-0.784640946599786</v>
      </c>
      <c r="S756">
        <f t="shared" si="92"/>
        <v>0.43276096337473069</v>
      </c>
      <c r="T756">
        <f t="shared" si="93"/>
        <v>1.6036855085321727E-4</v>
      </c>
      <c r="U756">
        <f t="shared" si="94"/>
        <v>-1.7907341071981879E-2</v>
      </c>
    </row>
    <row r="757" spans="10:21" x14ac:dyDescent="0.35">
      <c r="J757">
        <f t="shared" si="95"/>
        <v>754</v>
      </c>
      <c r="K757">
        <f>demanda!D755</f>
        <v>6</v>
      </c>
      <c r="L757">
        <f>demanda!I755</f>
        <v>3</v>
      </c>
      <c r="M757">
        <v>-1.3669928598987333</v>
      </c>
      <c r="N757">
        <f t="shared" si="88"/>
        <v>4.3669928598987333</v>
      </c>
      <c r="O757">
        <v>5.8863809743332956E-3</v>
      </c>
      <c r="P757">
        <f t="shared" si="89"/>
        <v>0.44000709310558428</v>
      </c>
      <c r="Q757">
        <f t="shared" si="90"/>
        <v>98.543481851032595</v>
      </c>
      <c r="R757">
        <f t="shared" si="91"/>
        <v>0.44121525371752685</v>
      </c>
      <c r="S757">
        <f t="shared" si="92"/>
        <v>0.65910687609302177</v>
      </c>
      <c r="T757">
        <f t="shared" si="93"/>
        <v>5.7658810569327667E-4</v>
      </c>
      <c r="U757">
        <f t="shared" si="94"/>
        <v>3.3951322043777717E-2</v>
      </c>
    </row>
    <row r="758" spans="10:21" x14ac:dyDescent="0.35">
      <c r="J758">
        <f t="shared" si="95"/>
        <v>755</v>
      </c>
      <c r="K758">
        <f>demanda!D756</f>
        <v>2</v>
      </c>
      <c r="L758">
        <f>demanda!I756</f>
        <v>4</v>
      </c>
      <c r="M758">
        <v>9.1555418996444509</v>
      </c>
      <c r="N758">
        <f t="shared" si="88"/>
        <v>-5.1555418996444509</v>
      </c>
      <c r="O758">
        <v>7.3144910189317154E-4</v>
      </c>
      <c r="P758">
        <f t="shared" si="89"/>
        <v>-0.51945928867380853</v>
      </c>
      <c r="Q758">
        <f t="shared" si="90"/>
        <v>98.539615573748293</v>
      </c>
      <c r="R758">
        <f t="shared" si="91"/>
        <v>-0.51955051447259837</v>
      </c>
      <c r="S758">
        <f t="shared" si="92"/>
        <v>0.60343681513546954</v>
      </c>
      <c r="T758">
        <f t="shared" si="93"/>
        <v>9.8830890695332879E-5</v>
      </c>
      <c r="U758">
        <f t="shared" si="94"/>
        <v>-1.4056549457229766E-2</v>
      </c>
    </row>
    <row r="759" spans="10:21" x14ac:dyDescent="0.35">
      <c r="J759">
        <f t="shared" si="95"/>
        <v>756</v>
      </c>
      <c r="K759">
        <f>demanda!D757</f>
        <v>0</v>
      </c>
      <c r="L759">
        <f>demanda!I757</f>
        <v>11</v>
      </c>
      <c r="M759">
        <v>14.416809279416043</v>
      </c>
      <c r="N759">
        <f t="shared" si="88"/>
        <v>-3.416809279416043</v>
      </c>
      <c r="O759">
        <v>7.4087557083441532E-4</v>
      </c>
      <c r="P759">
        <f t="shared" si="89"/>
        <v>-0.34426901233058166</v>
      </c>
      <c r="Q759">
        <f t="shared" si="90"/>
        <v>98.547392334261005</v>
      </c>
      <c r="R759">
        <f t="shared" si="91"/>
        <v>-0.34431750934619676</v>
      </c>
      <c r="S759">
        <f t="shared" si="92"/>
        <v>0.73064524437297085</v>
      </c>
      <c r="T759">
        <f t="shared" si="93"/>
        <v>4.3969841615361785E-5</v>
      </c>
      <c r="U759">
        <f t="shared" si="94"/>
        <v>-9.3754621379472432E-3</v>
      </c>
    </row>
    <row r="760" spans="10:21" x14ac:dyDescent="0.35">
      <c r="J760">
        <f t="shared" si="95"/>
        <v>757</v>
      </c>
      <c r="K760">
        <f>demanda!D758</f>
        <v>1</v>
      </c>
      <c r="L760">
        <f>demanda!I758</f>
        <v>3</v>
      </c>
      <c r="M760">
        <v>11.786175589530247</v>
      </c>
      <c r="N760">
        <f t="shared" si="88"/>
        <v>-8.7861755895302469</v>
      </c>
      <c r="O760">
        <v>5.2058796926701797E-4</v>
      </c>
      <c r="P760">
        <f t="shared" si="89"/>
        <v>-0.88527270474037267</v>
      </c>
      <c r="Q760">
        <f t="shared" si="90"/>
        <v>98.513214102399758</v>
      </c>
      <c r="R760">
        <f t="shared" si="91"/>
        <v>-0.88545339538896362</v>
      </c>
      <c r="S760">
        <f t="shared" si="92"/>
        <v>0.37602308055069167</v>
      </c>
      <c r="T760">
        <f t="shared" si="93"/>
        <v>2.0420697614382047E-4</v>
      </c>
      <c r="U760">
        <f t="shared" si="94"/>
        <v>-2.0208116875988336E-2</v>
      </c>
    </row>
    <row r="761" spans="10:21" x14ac:dyDescent="0.35">
      <c r="J761">
        <f t="shared" si="95"/>
        <v>758</v>
      </c>
      <c r="K761">
        <f>demanda!D759</f>
        <v>3</v>
      </c>
      <c r="L761">
        <f>demanda!I759</f>
        <v>4</v>
      </c>
      <c r="M761">
        <v>6.5249082097586548</v>
      </c>
      <c r="N761">
        <f t="shared" si="88"/>
        <v>-2.5249082097586548</v>
      </c>
      <c r="O761">
        <v>1.3734589687128761E-3</v>
      </c>
      <c r="P761">
        <f t="shared" si="89"/>
        <v>-0.2544033291046171</v>
      </c>
      <c r="Q761">
        <f t="shared" si="90"/>
        <v>98.550155270625524</v>
      </c>
      <c r="R761">
        <f t="shared" si="91"/>
        <v>-0.25451617384299874</v>
      </c>
      <c r="S761">
        <f t="shared" si="92"/>
        <v>0.79912408038987892</v>
      </c>
      <c r="T761">
        <f t="shared" si="93"/>
        <v>4.4568197050885148E-5</v>
      </c>
      <c r="U761">
        <f t="shared" si="94"/>
        <v>-9.4389063786870474E-3</v>
      </c>
    </row>
    <row r="762" spans="10:21" x14ac:dyDescent="0.35">
      <c r="J762">
        <f t="shared" si="95"/>
        <v>759</v>
      </c>
      <c r="K762">
        <f>demanda!D760</f>
        <v>1</v>
      </c>
      <c r="L762">
        <f>demanda!I760</f>
        <v>6</v>
      </c>
      <c r="M762">
        <v>11.786175589530247</v>
      </c>
      <c r="N762">
        <f t="shared" si="88"/>
        <v>-5.7861755895302469</v>
      </c>
      <c r="O762">
        <v>5.2058796926701797E-4</v>
      </c>
      <c r="P762">
        <f t="shared" si="89"/>
        <v>-0.58300033524825434</v>
      </c>
      <c r="Q762">
        <f t="shared" si="90"/>
        <v>98.536019015832139</v>
      </c>
      <c r="R762">
        <f t="shared" si="91"/>
        <v>-0.58305184819450462</v>
      </c>
      <c r="S762">
        <f t="shared" si="92"/>
        <v>0.55992690572315473</v>
      </c>
      <c r="T762">
        <f t="shared" si="93"/>
        <v>8.8563349919163143E-5</v>
      </c>
      <c r="U762">
        <f t="shared" si="94"/>
        <v>-1.3306606484805191E-2</v>
      </c>
    </row>
    <row r="763" spans="10:21" x14ac:dyDescent="0.35">
      <c r="J763">
        <f t="shared" si="95"/>
        <v>760</v>
      </c>
      <c r="K763">
        <f>demanda!D761</f>
        <v>2</v>
      </c>
      <c r="L763">
        <f>demanda!I761</f>
        <v>8</v>
      </c>
      <c r="M763">
        <v>9.1555418996444509</v>
      </c>
      <c r="N763">
        <f t="shared" si="88"/>
        <v>-1.1555418996444509</v>
      </c>
      <c r="O763">
        <v>7.3144910189317154E-4</v>
      </c>
      <c r="P763">
        <f t="shared" si="89"/>
        <v>-0.11642946268431729</v>
      </c>
      <c r="Q763">
        <f t="shared" si="90"/>
        <v>98.552787009441474</v>
      </c>
      <c r="R763">
        <f t="shared" si="91"/>
        <v>-0.11644212771865178</v>
      </c>
      <c r="S763">
        <f t="shared" si="92"/>
        <v>0.90731433340227419</v>
      </c>
      <c r="T763">
        <f t="shared" si="93"/>
        <v>4.964956671961163E-6</v>
      </c>
      <c r="U763">
        <f t="shared" si="94"/>
        <v>-3.1503664833126038E-3</v>
      </c>
    </row>
    <row r="764" spans="10:21" x14ac:dyDescent="0.35">
      <c r="J764">
        <f t="shared" si="95"/>
        <v>761</v>
      </c>
      <c r="K764">
        <f>demanda!D762</f>
        <v>0</v>
      </c>
      <c r="L764">
        <f>demanda!I762</f>
        <v>24</v>
      </c>
      <c r="M764">
        <v>14.416809279416043</v>
      </c>
      <c r="N764">
        <f t="shared" si="88"/>
        <v>9.583190720583957</v>
      </c>
      <c r="O764">
        <v>7.4087557083441532E-4</v>
      </c>
      <c r="P764">
        <f t="shared" si="89"/>
        <v>0.96557792213526483</v>
      </c>
      <c r="Q764">
        <f t="shared" si="90"/>
        <v>98.505566268803875</v>
      </c>
      <c r="R764">
        <f t="shared" si="91"/>
        <v>0.9659189449099983</v>
      </c>
      <c r="S764">
        <f t="shared" si="92"/>
        <v>0.33420645107335933</v>
      </c>
      <c r="T764">
        <f t="shared" si="93"/>
        <v>3.4588656089781892E-4</v>
      </c>
      <c r="U764">
        <f t="shared" si="94"/>
        <v>2.6301121059818876E-2</v>
      </c>
    </row>
    <row r="765" spans="10:21" x14ac:dyDescent="0.35">
      <c r="J765">
        <f t="shared" si="95"/>
        <v>762</v>
      </c>
      <c r="K765">
        <f>demanda!D763</f>
        <v>0</v>
      </c>
      <c r="L765">
        <f>demanda!I763</f>
        <v>13</v>
      </c>
      <c r="M765">
        <v>14.416809279416043</v>
      </c>
      <c r="N765">
        <f t="shared" si="88"/>
        <v>-1.416809279416043</v>
      </c>
      <c r="O765">
        <v>7.4087557083441532E-4</v>
      </c>
      <c r="P765">
        <f t="shared" si="89"/>
        <v>-0.14275409933583605</v>
      </c>
      <c r="Q765">
        <f t="shared" si="90"/>
        <v>98.552436340855238</v>
      </c>
      <c r="R765">
        <f t="shared" si="91"/>
        <v>-0.14277055533334676</v>
      </c>
      <c r="S765">
        <f t="shared" si="92"/>
        <v>0.88648638054980111</v>
      </c>
      <c r="T765">
        <f t="shared" si="93"/>
        <v>7.5602509372950483E-6</v>
      </c>
      <c r="U765">
        <f t="shared" si="94"/>
        <v>-3.8875163173756836E-3</v>
      </c>
    </row>
    <row r="766" spans="10:21" x14ac:dyDescent="0.35">
      <c r="J766">
        <f t="shared" si="95"/>
        <v>763</v>
      </c>
      <c r="K766">
        <f>demanda!D764</f>
        <v>0</v>
      </c>
      <c r="L766">
        <f>demanda!I764</f>
        <v>20</v>
      </c>
      <c r="M766">
        <v>14.416809279416043</v>
      </c>
      <c r="N766">
        <f t="shared" si="88"/>
        <v>5.583190720583957</v>
      </c>
      <c r="O766">
        <v>7.4087557083441532E-4</v>
      </c>
      <c r="P766">
        <f t="shared" si="89"/>
        <v>0.56254809614577361</v>
      </c>
      <c r="Q766">
        <f t="shared" si="90"/>
        <v>98.537219295234792</v>
      </c>
      <c r="R766">
        <f t="shared" si="91"/>
        <v>0.56265638426953379</v>
      </c>
      <c r="S766">
        <f t="shared" si="92"/>
        <v>0.57373461200688847</v>
      </c>
      <c r="T766">
        <f t="shared" si="93"/>
        <v>1.1740277235750991E-4</v>
      </c>
      <c r="U766">
        <f t="shared" si="94"/>
        <v>1.5320637156704552E-2</v>
      </c>
    </row>
    <row r="767" spans="10:21" x14ac:dyDescent="0.35">
      <c r="J767">
        <f t="shared" si="95"/>
        <v>764</v>
      </c>
      <c r="K767">
        <f>demanda!D765</f>
        <v>0</v>
      </c>
      <c r="L767">
        <f>demanda!I765</f>
        <v>19</v>
      </c>
      <c r="M767">
        <v>14.416809279416043</v>
      </c>
      <c r="N767">
        <f t="shared" si="88"/>
        <v>4.583190720583957</v>
      </c>
      <c r="O767">
        <v>7.4087557083441532E-4</v>
      </c>
      <c r="P767">
        <f t="shared" si="89"/>
        <v>0.46179063964840078</v>
      </c>
      <c r="Q767">
        <f t="shared" si="90"/>
        <v>98.542523736866301</v>
      </c>
      <c r="R767">
        <f t="shared" si="91"/>
        <v>0.46186710097403588</v>
      </c>
      <c r="S767">
        <f t="shared" si="92"/>
        <v>0.64422898084639124</v>
      </c>
      <c r="T767">
        <f t="shared" si="93"/>
        <v>7.9113260840960322E-5</v>
      </c>
      <c r="U767">
        <f t="shared" si="94"/>
        <v>1.2576233855106329E-2</v>
      </c>
    </row>
    <row r="768" spans="10:21" x14ac:dyDescent="0.35">
      <c r="J768">
        <f t="shared" si="95"/>
        <v>765</v>
      </c>
      <c r="K768">
        <f>demanda!D766</f>
        <v>0</v>
      </c>
      <c r="L768">
        <f>demanda!I766</f>
        <v>72</v>
      </c>
      <c r="M768">
        <v>14.416809279416043</v>
      </c>
      <c r="N768">
        <f t="shared" si="88"/>
        <v>57.583190720583957</v>
      </c>
      <c r="O768">
        <v>7.4087557083441532E-4</v>
      </c>
      <c r="P768">
        <f t="shared" si="89"/>
        <v>5.8019358340091598</v>
      </c>
      <c r="Q768">
        <f t="shared" si="90"/>
        <v>96.82340951550853</v>
      </c>
      <c r="R768">
        <f t="shared" si="91"/>
        <v>5.8541854852321213</v>
      </c>
      <c r="S768">
        <f t="shared" si="92"/>
        <v>5.6250475830092431E-9</v>
      </c>
      <c r="T768">
        <f t="shared" si="93"/>
        <v>1.2488344684150532E-2</v>
      </c>
      <c r="U768">
        <f t="shared" si="94"/>
        <v>0.1594043081617694</v>
      </c>
    </row>
    <row r="769" spans="10:21" x14ac:dyDescent="0.35">
      <c r="J769">
        <f t="shared" si="95"/>
        <v>766</v>
      </c>
      <c r="K769">
        <f>demanda!D767</f>
        <v>0</v>
      </c>
      <c r="L769">
        <f>demanda!I767</f>
        <v>26</v>
      </c>
      <c r="M769">
        <v>14.416809279416043</v>
      </c>
      <c r="N769">
        <f t="shared" si="88"/>
        <v>11.583190720583957</v>
      </c>
      <c r="O769">
        <v>7.4087557083441532E-4</v>
      </c>
      <c r="P769">
        <f t="shared" si="89"/>
        <v>1.1670928351300105</v>
      </c>
      <c r="Q769">
        <f t="shared" si="90"/>
        <v>98.483478599645508</v>
      </c>
      <c r="R769">
        <f t="shared" si="91"/>
        <v>1.1676359443906161</v>
      </c>
      <c r="S769">
        <f t="shared" si="92"/>
        <v>0.24309869943124471</v>
      </c>
      <c r="T769">
        <f t="shared" si="93"/>
        <v>5.0532390065243979E-4</v>
      </c>
      <c r="U769">
        <f t="shared" si="94"/>
        <v>3.1793697068520609E-2</v>
      </c>
    </row>
    <row r="770" spans="10:21" x14ac:dyDescent="0.35">
      <c r="J770">
        <f t="shared" si="95"/>
        <v>767</v>
      </c>
      <c r="K770">
        <f>demanda!D768</f>
        <v>0</v>
      </c>
      <c r="L770">
        <f>demanda!I768</f>
        <v>26</v>
      </c>
      <c r="M770">
        <v>14.416809279416043</v>
      </c>
      <c r="N770">
        <f t="shared" si="88"/>
        <v>11.583190720583957</v>
      </c>
      <c r="O770">
        <v>7.4087557083441532E-4</v>
      </c>
      <c r="P770">
        <f t="shared" si="89"/>
        <v>1.1670928351300105</v>
      </c>
      <c r="Q770">
        <f t="shared" si="90"/>
        <v>98.483478599645508</v>
      </c>
      <c r="R770">
        <f t="shared" si="91"/>
        <v>1.1676359443906161</v>
      </c>
      <c r="S770">
        <f t="shared" si="92"/>
        <v>0.24309869943124471</v>
      </c>
      <c r="T770">
        <f t="shared" si="93"/>
        <v>5.0532390065243979E-4</v>
      </c>
      <c r="U770">
        <f t="shared" si="94"/>
        <v>3.1793697068520609E-2</v>
      </c>
    </row>
    <row r="771" spans="10:21" x14ac:dyDescent="0.35">
      <c r="J771">
        <f t="shared" si="95"/>
        <v>768</v>
      </c>
      <c r="K771">
        <f>demanda!D769</f>
        <v>1</v>
      </c>
      <c r="L771">
        <f>demanda!I769</f>
        <v>13</v>
      </c>
      <c r="M771">
        <v>11.786175589530247</v>
      </c>
      <c r="N771">
        <f t="shared" si="88"/>
        <v>1.2138244104697531</v>
      </c>
      <c r="O771">
        <v>5.2058796926701797E-4</v>
      </c>
      <c r="P771">
        <f t="shared" si="89"/>
        <v>0.12230186023335533</v>
      </c>
      <c r="Q771">
        <f t="shared" si="90"/>
        <v>98.552715120685733</v>
      </c>
      <c r="R771">
        <f t="shared" si="91"/>
        <v>0.12230230551078146</v>
      </c>
      <c r="S771">
        <f t="shared" si="92"/>
        <v>0.90267241210292171</v>
      </c>
      <c r="T771">
        <f t="shared" si="93"/>
        <v>3.8974679450726784E-6</v>
      </c>
      <c r="U771">
        <f t="shared" si="94"/>
        <v>2.7912245826094769E-3</v>
      </c>
    </row>
    <row r="772" spans="10:21" x14ac:dyDescent="0.35">
      <c r="J772">
        <f t="shared" si="95"/>
        <v>769</v>
      </c>
      <c r="K772">
        <f>demanda!D770</f>
        <v>0</v>
      </c>
      <c r="L772">
        <f>demanda!I770</f>
        <v>13</v>
      </c>
      <c r="M772">
        <v>14.416809279416043</v>
      </c>
      <c r="N772">
        <f t="shared" si="88"/>
        <v>-1.416809279416043</v>
      </c>
      <c r="O772">
        <v>7.4087557083441532E-4</v>
      </c>
      <c r="P772">
        <f t="shared" si="89"/>
        <v>-0.14275409933583605</v>
      </c>
      <c r="Q772">
        <f t="shared" si="90"/>
        <v>98.552436340855238</v>
      </c>
      <c r="R772">
        <f t="shared" si="91"/>
        <v>-0.14277055533334676</v>
      </c>
      <c r="S772">
        <f t="shared" si="92"/>
        <v>0.88648638054980111</v>
      </c>
      <c r="T772">
        <f t="shared" si="93"/>
        <v>7.5602509372950483E-6</v>
      </c>
      <c r="U772">
        <f t="shared" si="94"/>
        <v>-3.8875163173756836E-3</v>
      </c>
    </row>
    <row r="773" spans="10:21" x14ac:dyDescent="0.35">
      <c r="J773">
        <f t="shared" si="95"/>
        <v>770</v>
      </c>
      <c r="K773">
        <f>demanda!D771</f>
        <v>0</v>
      </c>
      <c r="L773">
        <f>demanda!I771</f>
        <v>61</v>
      </c>
      <c r="M773">
        <v>14.416809279416043</v>
      </c>
      <c r="N773">
        <f t="shared" ref="N773:N836" si="96">L773-M773</f>
        <v>46.583190720583957</v>
      </c>
      <c r="O773">
        <v>7.4087557083441532E-4</v>
      </c>
      <c r="P773">
        <f t="shared" ref="P773:P836" si="97">N773/SQRT($X$6)</f>
        <v>4.6936038125380586</v>
      </c>
      <c r="Q773">
        <f t="shared" ref="Q773:Q836" si="98">($X$6-N773^2/((1-O773)*$X$5))*$X$5/($X$5-1)</f>
        <v>97.421261310535598</v>
      </c>
      <c r="R773">
        <f t="shared" ref="R773:R836" si="99">N773/SQRT(Q773*(1-O773))</f>
        <v>4.7213184785585192</v>
      </c>
      <c r="S773">
        <f t="shared" ref="S773:S836" si="100">_xlfn.T.DIST.2T(ABS(R773),$X$5)</f>
        <v>2.5128925783736746E-6</v>
      </c>
      <c r="T773">
        <f t="shared" ref="T773:T836" si="101">(N773^2/$X$6)*(O773/(1-O773)^2)/($X$7+1)</f>
        <v>8.1728191715569679E-3</v>
      </c>
      <c r="U773">
        <f t="shared" ref="U773:U836" si="102">R773*SQRT(O773/(1-O773))</f>
        <v>0.1285573386057749</v>
      </c>
    </row>
    <row r="774" spans="10:21" x14ac:dyDescent="0.35">
      <c r="J774">
        <f t="shared" ref="J774:J837" si="103">J773+1</f>
        <v>771</v>
      </c>
      <c r="K774">
        <f>demanda!D772</f>
        <v>3</v>
      </c>
      <c r="L774">
        <f>demanda!I772</f>
        <v>3</v>
      </c>
      <c r="M774">
        <v>6.5249082097586548</v>
      </c>
      <c r="N774">
        <f t="shared" si="96"/>
        <v>-3.5249082097586548</v>
      </c>
      <c r="O774">
        <v>1.3734589687128761E-3</v>
      </c>
      <c r="P774">
        <f t="shared" si="97"/>
        <v>-0.35516078560198994</v>
      </c>
      <c r="Q774">
        <f t="shared" si="98"/>
        <v>98.546996700749531</v>
      </c>
      <c r="R774">
        <f t="shared" si="99"/>
        <v>-0.35532401713098288</v>
      </c>
      <c r="S774">
        <f t="shared" si="100"/>
        <v>0.72238591463660118</v>
      </c>
      <c r="T774">
        <f t="shared" si="101"/>
        <v>8.6861935283639592E-5</v>
      </c>
      <c r="U774">
        <f t="shared" si="102"/>
        <v>-1.3177434192717408E-2</v>
      </c>
    </row>
    <row r="775" spans="10:21" x14ac:dyDescent="0.35">
      <c r="J775">
        <f t="shared" si="103"/>
        <v>772</v>
      </c>
      <c r="K775">
        <f>demanda!D773</f>
        <v>2</v>
      </c>
      <c r="L775">
        <f>demanda!I773</f>
        <v>3</v>
      </c>
      <c r="M775">
        <v>9.1555418996444509</v>
      </c>
      <c r="N775">
        <f t="shared" si="96"/>
        <v>-6.1555418996444509</v>
      </c>
      <c r="O775">
        <v>7.3144910189317154E-4</v>
      </c>
      <c r="P775">
        <f t="shared" si="97"/>
        <v>-0.62021674517118131</v>
      </c>
      <c r="Q775">
        <f t="shared" si="98"/>
        <v>98.533713924458709</v>
      </c>
      <c r="R775">
        <f t="shared" si="99"/>
        <v>-0.62034424251421916</v>
      </c>
      <c r="S775">
        <f t="shared" si="100"/>
        <v>0.53510483257501296</v>
      </c>
      <c r="T775">
        <f t="shared" si="101"/>
        <v>1.4088885884323287E-4</v>
      </c>
      <c r="U775">
        <f t="shared" si="102"/>
        <v>-1.6783545165498539E-2</v>
      </c>
    </row>
    <row r="776" spans="10:21" x14ac:dyDescent="0.35">
      <c r="J776">
        <f t="shared" si="103"/>
        <v>773</v>
      </c>
      <c r="K776">
        <f>demanda!D774</f>
        <v>0</v>
      </c>
      <c r="L776">
        <f>demanda!I774</f>
        <v>2</v>
      </c>
      <c r="M776">
        <v>14.416809279416043</v>
      </c>
      <c r="N776">
        <f t="shared" si="96"/>
        <v>-12.416809279416043</v>
      </c>
      <c r="O776">
        <v>7.4087557083441532E-4</v>
      </c>
      <c r="P776">
        <f t="shared" si="97"/>
        <v>-1.2510861208069368</v>
      </c>
      <c r="Q776">
        <f t="shared" si="98"/>
        <v>98.473039768058015</v>
      </c>
      <c r="R776">
        <f t="shared" si="99"/>
        <v>-1.2517346575747474</v>
      </c>
      <c r="S776">
        <f t="shared" si="100"/>
        <v>0.21081911987933932</v>
      </c>
      <c r="T776">
        <f t="shared" si="101"/>
        <v>5.8067542491350977E-4</v>
      </c>
      <c r="U776">
        <f t="shared" si="102"/>
        <v>-3.4083630864815417E-2</v>
      </c>
    </row>
    <row r="777" spans="10:21" x14ac:dyDescent="0.35">
      <c r="J777">
        <f t="shared" si="103"/>
        <v>774</v>
      </c>
      <c r="K777">
        <f>demanda!D775</f>
        <v>0</v>
      </c>
      <c r="L777">
        <f>demanda!I775</f>
        <v>10</v>
      </c>
      <c r="M777">
        <v>14.416809279416043</v>
      </c>
      <c r="N777">
        <f t="shared" si="96"/>
        <v>-4.416809279416043</v>
      </c>
      <c r="O777">
        <v>7.4087557083441532E-4</v>
      </c>
      <c r="P777">
        <f t="shared" si="97"/>
        <v>-0.44502646882795449</v>
      </c>
      <c r="Q777">
        <f t="shared" si="98"/>
        <v>98.543305041978172</v>
      </c>
      <c r="R777">
        <f t="shared" si="99"/>
        <v>-0.44509838991165818</v>
      </c>
      <c r="S777">
        <f t="shared" si="100"/>
        <v>0.65629885256814913</v>
      </c>
      <c r="T777">
        <f t="shared" si="101"/>
        <v>7.3473498325511761E-5</v>
      </c>
      <c r="U777">
        <f t="shared" si="102"/>
        <v>-1.2119636640616644E-2</v>
      </c>
    </row>
    <row r="778" spans="10:21" x14ac:dyDescent="0.35">
      <c r="J778">
        <f t="shared" si="103"/>
        <v>775</v>
      </c>
      <c r="K778">
        <f>demanda!D776</f>
        <v>0</v>
      </c>
      <c r="L778">
        <f>demanda!I776</f>
        <v>4</v>
      </c>
      <c r="M778">
        <v>14.416809279416043</v>
      </c>
      <c r="N778">
        <f t="shared" si="96"/>
        <v>-10.416809279416043</v>
      </c>
      <c r="O778">
        <v>7.4087557083441532E-4</v>
      </c>
      <c r="P778">
        <f t="shared" si="97"/>
        <v>-1.0495712078121913</v>
      </c>
      <c r="Q778">
        <f t="shared" si="98"/>
        <v>98.49686724248096</v>
      </c>
      <c r="R778">
        <f t="shared" si="99"/>
        <v>-1.049988258586362</v>
      </c>
      <c r="S778">
        <f t="shared" si="100"/>
        <v>0.29385572056513598</v>
      </c>
      <c r="T778">
        <f t="shared" si="101"/>
        <v>4.0867949778204384E-4</v>
      </c>
      <c r="U778">
        <f t="shared" si="102"/>
        <v>-2.8590254333443563E-2</v>
      </c>
    </row>
    <row r="779" spans="10:21" x14ac:dyDescent="0.35">
      <c r="J779">
        <f t="shared" si="103"/>
        <v>776</v>
      </c>
      <c r="K779">
        <f>demanda!D777</f>
        <v>3</v>
      </c>
      <c r="L779">
        <f>demanda!I777</f>
        <v>7</v>
      </c>
      <c r="M779">
        <v>6.5249082097586548</v>
      </c>
      <c r="N779">
        <f t="shared" si="96"/>
        <v>0.47509179024134518</v>
      </c>
      <c r="O779">
        <v>1.3734589687128761E-3</v>
      </c>
      <c r="P779">
        <f t="shared" si="97"/>
        <v>4.7869040387501303E-2</v>
      </c>
      <c r="Q779">
        <f t="shared" si="98"/>
        <v>98.553365858159935</v>
      </c>
      <c r="R779">
        <f t="shared" si="99"/>
        <v>4.7889493409082308E-2</v>
      </c>
      <c r="S779">
        <f t="shared" si="100"/>
        <v>0.96180929609305088</v>
      </c>
      <c r="T779">
        <f t="shared" si="101"/>
        <v>1.5779343417974939E-6</v>
      </c>
      <c r="U779">
        <f t="shared" si="102"/>
        <v>1.7760146162259802E-3</v>
      </c>
    </row>
    <row r="780" spans="10:21" x14ac:dyDescent="0.35">
      <c r="J780">
        <f t="shared" si="103"/>
        <v>777</v>
      </c>
      <c r="K780">
        <f>demanda!D778</f>
        <v>3</v>
      </c>
      <c r="L780">
        <f>demanda!I778</f>
        <v>3</v>
      </c>
      <c r="M780">
        <v>6.5249082097586548</v>
      </c>
      <c r="N780">
        <f t="shared" si="96"/>
        <v>-3.5249082097586548</v>
      </c>
      <c r="O780">
        <v>1.3734589687128761E-3</v>
      </c>
      <c r="P780">
        <f t="shared" si="97"/>
        <v>-0.35516078560198994</v>
      </c>
      <c r="Q780">
        <f t="shared" si="98"/>
        <v>98.546996700749531</v>
      </c>
      <c r="R780">
        <f t="shared" si="99"/>
        <v>-0.35532401713098288</v>
      </c>
      <c r="S780">
        <f t="shared" si="100"/>
        <v>0.72238591463660118</v>
      </c>
      <c r="T780">
        <f t="shared" si="101"/>
        <v>8.6861935283639592E-5</v>
      </c>
      <c r="U780">
        <f t="shared" si="102"/>
        <v>-1.3177434192717408E-2</v>
      </c>
    </row>
    <row r="781" spans="10:21" x14ac:dyDescent="0.35">
      <c r="J781">
        <f t="shared" si="103"/>
        <v>778</v>
      </c>
      <c r="K781">
        <f>demanda!D779</f>
        <v>7</v>
      </c>
      <c r="L781">
        <f>demanda!I779</f>
        <v>2</v>
      </c>
      <c r="M781">
        <v>-3.9976265497845276</v>
      </c>
      <c r="N781">
        <f t="shared" si="96"/>
        <v>5.9976265497845276</v>
      </c>
      <c r="O781">
        <v>8.2529857779272044E-3</v>
      </c>
      <c r="P781">
        <f t="shared" si="97"/>
        <v>0.60430559617740265</v>
      </c>
      <c r="Q781">
        <f t="shared" si="98"/>
        <v>98.534572925657486</v>
      </c>
      <c r="R781">
        <f t="shared" si="99"/>
        <v>0.60671488537774965</v>
      </c>
      <c r="S781">
        <f t="shared" si="100"/>
        <v>0.54411191093668032</v>
      </c>
      <c r="T781">
        <f t="shared" si="101"/>
        <v>1.5321191111339831E-3</v>
      </c>
      <c r="U781">
        <f t="shared" si="102"/>
        <v>5.5346447184707208E-2</v>
      </c>
    </row>
    <row r="782" spans="10:21" x14ac:dyDescent="0.35">
      <c r="J782">
        <f t="shared" si="103"/>
        <v>779</v>
      </c>
      <c r="K782">
        <f>demanda!D780</f>
        <v>3</v>
      </c>
      <c r="L782">
        <f>demanda!I780</f>
        <v>7</v>
      </c>
      <c r="M782">
        <v>6.5249082097586548</v>
      </c>
      <c r="N782">
        <f t="shared" si="96"/>
        <v>0.47509179024134518</v>
      </c>
      <c r="O782">
        <v>1.3734589687128761E-3</v>
      </c>
      <c r="P782">
        <f t="shared" si="97"/>
        <v>4.7869040387501303E-2</v>
      </c>
      <c r="Q782">
        <f t="shared" si="98"/>
        <v>98.553365858159935</v>
      </c>
      <c r="R782">
        <f t="shared" si="99"/>
        <v>4.7889493409082308E-2</v>
      </c>
      <c r="S782">
        <f t="shared" si="100"/>
        <v>0.96180929609305088</v>
      </c>
      <c r="T782">
        <f t="shared" si="101"/>
        <v>1.5779343417974939E-6</v>
      </c>
      <c r="U782">
        <f t="shared" si="102"/>
        <v>1.7760146162259802E-3</v>
      </c>
    </row>
    <row r="783" spans="10:21" x14ac:dyDescent="0.35">
      <c r="J783">
        <f t="shared" si="103"/>
        <v>780</v>
      </c>
      <c r="K783">
        <f>demanda!D781</f>
        <v>0</v>
      </c>
      <c r="L783">
        <f>demanda!I781</f>
        <v>14</v>
      </c>
      <c r="M783">
        <v>14.416809279416043</v>
      </c>
      <c r="N783">
        <f t="shared" si="96"/>
        <v>-0.41680927941604295</v>
      </c>
      <c r="O783">
        <v>7.4087557083441532E-4</v>
      </c>
      <c r="P783">
        <f t="shared" si="97"/>
        <v>-4.1996642838463258E-2</v>
      </c>
      <c r="Q783">
        <f t="shared" si="98"/>
        <v>98.553393055166637</v>
      </c>
      <c r="R783">
        <f t="shared" si="99"/>
        <v>-4.2001280140228352E-2</v>
      </c>
      <c r="S783">
        <f t="shared" si="100"/>
        <v>0.96650204701357412</v>
      </c>
      <c r="T783">
        <f t="shared" si="101"/>
        <v>6.5431696937827154E-7</v>
      </c>
      <c r="U783">
        <f t="shared" si="102"/>
        <v>-1.1436578187608104E-3</v>
      </c>
    </row>
    <row r="784" spans="10:21" x14ac:dyDescent="0.35">
      <c r="J784">
        <f t="shared" si="103"/>
        <v>781</v>
      </c>
      <c r="K784">
        <f>demanda!D782</f>
        <v>0</v>
      </c>
      <c r="L784">
        <f>demanda!I782</f>
        <v>14</v>
      </c>
      <c r="M784">
        <v>14.416809279416043</v>
      </c>
      <c r="N784">
        <f t="shared" si="96"/>
        <v>-0.41680927941604295</v>
      </c>
      <c r="O784">
        <v>7.4087557083441532E-4</v>
      </c>
      <c r="P784">
        <f t="shared" si="97"/>
        <v>-4.1996642838463258E-2</v>
      </c>
      <c r="Q784">
        <f t="shared" si="98"/>
        <v>98.553393055166637</v>
      </c>
      <c r="R784">
        <f t="shared" si="99"/>
        <v>-4.2001280140228352E-2</v>
      </c>
      <c r="S784">
        <f t="shared" si="100"/>
        <v>0.96650204701357412</v>
      </c>
      <c r="T784">
        <f t="shared" si="101"/>
        <v>6.5431696937827154E-7</v>
      </c>
      <c r="U784">
        <f t="shared" si="102"/>
        <v>-1.1436578187608104E-3</v>
      </c>
    </row>
    <row r="785" spans="10:21" x14ac:dyDescent="0.35">
      <c r="J785">
        <f t="shared" si="103"/>
        <v>782</v>
      </c>
      <c r="K785">
        <f>demanda!D783</f>
        <v>0</v>
      </c>
      <c r="L785">
        <f>demanda!I783</f>
        <v>9</v>
      </c>
      <c r="M785">
        <v>14.416809279416043</v>
      </c>
      <c r="N785">
        <f t="shared" si="96"/>
        <v>-5.416809279416043</v>
      </c>
      <c r="O785">
        <v>7.4087557083441532E-4</v>
      </c>
      <c r="P785">
        <f t="shared" si="97"/>
        <v>-0.54578392532532727</v>
      </c>
      <c r="Q785">
        <f t="shared" si="98"/>
        <v>98.538174223704843</v>
      </c>
      <c r="R785">
        <f t="shared" si="99"/>
        <v>-0.54588634131956315</v>
      </c>
      <c r="S785">
        <f t="shared" si="100"/>
        <v>0.58520751823074413</v>
      </c>
      <c r="T785">
        <f t="shared" si="101"/>
        <v>1.1050972928307278E-4</v>
      </c>
      <c r="U785">
        <f t="shared" si="102"/>
        <v>-1.4864003676090257E-2</v>
      </c>
    </row>
    <row r="786" spans="10:21" x14ac:dyDescent="0.35">
      <c r="J786">
        <f t="shared" si="103"/>
        <v>783</v>
      </c>
      <c r="K786">
        <f>demanda!D784</f>
        <v>1</v>
      </c>
      <c r="L786">
        <f>demanda!I784</f>
        <v>22</v>
      </c>
      <c r="M786">
        <v>11.786175589530247</v>
      </c>
      <c r="N786">
        <f t="shared" si="96"/>
        <v>10.213824410469753</v>
      </c>
      <c r="O786">
        <v>5.2058796926701797E-4</v>
      </c>
      <c r="P786">
        <f t="shared" si="97"/>
        <v>1.0291189687097106</v>
      </c>
      <c r="Q786">
        <f t="shared" si="98"/>
        <v>98.499064229577968</v>
      </c>
      <c r="R786">
        <f t="shared" si="99"/>
        <v>1.0294029508567815</v>
      </c>
      <c r="S786">
        <f t="shared" si="100"/>
        <v>0.30342008877727494</v>
      </c>
      <c r="T786">
        <f t="shared" si="101"/>
        <v>2.7596092551003982E-4</v>
      </c>
      <c r="U786">
        <f t="shared" si="102"/>
        <v>2.3493382318854904E-2</v>
      </c>
    </row>
    <row r="787" spans="10:21" x14ac:dyDescent="0.35">
      <c r="J787">
        <f t="shared" si="103"/>
        <v>784</v>
      </c>
      <c r="K787">
        <f>demanda!D785</f>
        <v>0</v>
      </c>
      <c r="L787">
        <f>demanda!I785</f>
        <v>5</v>
      </c>
      <c r="M787">
        <v>14.416809279416043</v>
      </c>
      <c r="N787">
        <f t="shared" si="96"/>
        <v>-9.416809279416043</v>
      </c>
      <c r="O787">
        <v>7.4087557083441532E-4</v>
      </c>
      <c r="P787">
        <f t="shared" si="97"/>
        <v>-0.94881375131481849</v>
      </c>
      <c r="Q787">
        <f t="shared" si="98"/>
        <v>98.507215690706701</v>
      </c>
      <c r="R787">
        <f t="shared" si="99"/>
        <v>-0.94914090693055775</v>
      </c>
      <c r="S787">
        <f t="shared" si="100"/>
        <v>0.34266846368408377</v>
      </c>
      <c r="T787">
        <f t="shared" si="101"/>
        <v>3.339803955874275E-4</v>
      </c>
      <c r="U787">
        <f t="shared" si="102"/>
        <v>-2.5844269881602652E-2</v>
      </c>
    </row>
    <row r="788" spans="10:21" x14ac:dyDescent="0.35">
      <c r="J788">
        <f t="shared" si="103"/>
        <v>785</v>
      </c>
      <c r="K788">
        <f>demanda!D786</f>
        <v>5</v>
      </c>
      <c r="L788">
        <f>demanda!I786</f>
        <v>2</v>
      </c>
      <c r="M788">
        <v>1.2636408299870627</v>
      </c>
      <c r="N788">
        <f t="shared" si="96"/>
        <v>0.73635917001293727</v>
      </c>
      <c r="O788">
        <v>3.9509249049329382E-3</v>
      </c>
      <c r="P788">
        <f t="shared" si="97"/>
        <v>7.4193677039020078E-2</v>
      </c>
      <c r="Q788">
        <f t="shared" si="98"/>
        <v>98.553199876422468</v>
      </c>
      <c r="R788">
        <f t="shared" si="99"/>
        <v>7.4321414457959423E-2</v>
      </c>
      <c r="S788">
        <f t="shared" si="100"/>
        <v>0.94076238398569867</v>
      </c>
      <c r="T788">
        <f t="shared" si="101"/>
        <v>1.0960770814463366E-5</v>
      </c>
      <c r="U788">
        <f t="shared" si="102"/>
        <v>4.680831262592092E-3</v>
      </c>
    </row>
    <row r="789" spans="10:21" x14ac:dyDescent="0.35">
      <c r="J789">
        <f t="shared" si="103"/>
        <v>786</v>
      </c>
      <c r="K789">
        <f>demanda!D787</f>
        <v>9</v>
      </c>
      <c r="L789">
        <f>demanda!I787</f>
        <v>3</v>
      </c>
      <c r="M789">
        <v>-9.2588939295561232</v>
      </c>
      <c r="N789">
        <f t="shared" si="96"/>
        <v>12.258893929556123</v>
      </c>
      <c r="O789">
        <v>1.4279641587695676E-2</v>
      </c>
      <c r="P789">
        <f t="shared" si="97"/>
        <v>1.2351749718131586</v>
      </c>
      <c r="Q789">
        <f t="shared" si="98"/>
        <v>98.473995943423589</v>
      </c>
      <c r="R789">
        <f t="shared" si="99"/>
        <v>1.2442671730963037</v>
      </c>
      <c r="S789">
        <f t="shared" si="100"/>
        <v>0.21355319968557721</v>
      </c>
      <c r="T789">
        <f t="shared" si="101"/>
        <v>1.1210805678532313E-2</v>
      </c>
      <c r="U789">
        <f t="shared" si="102"/>
        <v>0.1497598629125175</v>
      </c>
    </row>
    <row r="790" spans="10:21" x14ac:dyDescent="0.35">
      <c r="J790">
        <f t="shared" si="103"/>
        <v>787</v>
      </c>
      <c r="K790">
        <f>demanda!D788</f>
        <v>1</v>
      </c>
      <c r="L790">
        <f>demanda!I788</f>
        <v>3</v>
      </c>
      <c r="M790">
        <v>11.786175589530247</v>
      </c>
      <c r="N790">
        <f t="shared" si="96"/>
        <v>-8.7861755895302469</v>
      </c>
      <c r="O790">
        <v>5.2058796926701797E-4</v>
      </c>
      <c r="P790">
        <f t="shared" si="97"/>
        <v>-0.88527270474037267</v>
      </c>
      <c r="Q790">
        <f t="shared" si="98"/>
        <v>98.513214102399758</v>
      </c>
      <c r="R790">
        <f t="shared" si="99"/>
        <v>-0.88545339538896362</v>
      </c>
      <c r="S790">
        <f t="shared" si="100"/>
        <v>0.37602308055069167</v>
      </c>
      <c r="T790">
        <f t="shared" si="101"/>
        <v>2.0420697614382047E-4</v>
      </c>
      <c r="U790">
        <f t="shared" si="102"/>
        <v>-2.0208116875988336E-2</v>
      </c>
    </row>
    <row r="791" spans="10:21" x14ac:dyDescent="0.35">
      <c r="J791">
        <f t="shared" si="103"/>
        <v>788</v>
      </c>
      <c r="K791">
        <f>demanda!D789</f>
        <v>0</v>
      </c>
      <c r="L791">
        <f>demanda!I789</f>
        <v>15</v>
      </c>
      <c r="M791">
        <v>14.416809279416043</v>
      </c>
      <c r="N791">
        <f t="shared" si="96"/>
        <v>0.58319072058395705</v>
      </c>
      <c r="O791">
        <v>7.4087557083441532E-4</v>
      </c>
      <c r="P791">
        <f t="shared" si="97"/>
        <v>5.8760813658909554E-2</v>
      </c>
      <c r="Q791">
        <f t="shared" si="98"/>
        <v>98.553306243487526</v>
      </c>
      <c r="R791">
        <f t="shared" si="99"/>
        <v>5.8767327956256402E-2</v>
      </c>
      <c r="S791">
        <f t="shared" si="100"/>
        <v>0.95314355069247325</v>
      </c>
      <c r="T791">
        <f t="shared" si="101"/>
        <v>1.2809572488725558E-6</v>
      </c>
      <c r="U791">
        <f t="shared" si="102"/>
        <v>1.6001825154010173E-3</v>
      </c>
    </row>
    <row r="792" spans="10:21" x14ac:dyDescent="0.35">
      <c r="J792">
        <f t="shared" si="103"/>
        <v>789</v>
      </c>
      <c r="K792">
        <f>demanda!D790</f>
        <v>4</v>
      </c>
      <c r="L792">
        <f>demanda!I790</f>
        <v>2</v>
      </c>
      <c r="M792">
        <v>3.8942745198728588</v>
      </c>
      <c r="N792">
        <f t="shared" si="96"/>
        <v>-1.8942745198728588</v>
      </c>
      <c r="O792">
        <v>2.4466175697261316E-3</v>
      </c>
      <c r="P792">
        <f t="shared" si="97"/>
        <v>-0.19086228253017132</v>
      </c>
      <c r="Q792">
        <f t="shared" si="98"/>
        <v>98.551608270054842</v>
      </c>
      <c r="R792">
        <f t="shared" si="99"/>
        <v>-0.19104821608300357</v>
      </c>
      <c r="S792">
        <f t="shared" si="100"/>
        <v>0.84850802764464628</v>
      </c>
      <c r="T792">
        <f t="shared" si="101"/>
        <v>4.4782056131641625E-5</v>
      </c>
      <c r="U792">
        <f t="shared" si="102"/>
        <v>-9.4614556750527434E-3</v>
      </c>
    </row>
    <row r="793" spans="10:21" x14ac:dyDescent="0.35">
      <c r="J793">
        <f t="shared" si="103"/>
        <v>790</v>
      </c>
      <c r="K793">
        <f>demanda!D791</f>
        <v>1</v>
      </c>
      <c r="L793">
        <f>demanda!I791</f>
        <v>4</v>
      </c>
      <c r="M793">
        <v>11.786175589530247</v>
      </c>
      <c r="N793">
        <f t="shared" si="96"/>
        <v>-7.7861755895302469</v>
      </c>
      <c r="O793">
        <v>5.2058796926701797E-4</v>
      </c>
      <c r="P793">
        <f t="shared" si="97"/>
        <v>-0.7845152482429999</v>
      </c>
      <c r="Q793">
        <f t="shared" si="98"/>
        <v>98.52185903620547</v>
      </c>
      <c r="R793">
        <f t="shared" si="99"/>
        <v>-0.784640946599786</v>
      </c>
      <c r="S793">
        <f t="shared" si="100"/>
        <v>0.43276096337473069</v>
      </c>
      <c r="T793">
        <f t="shared" si="101"/>
        <v>1.6036855085321727E-4</v>
      </c>
      <c r="U793">
        <f t="shared" si="102"/>
        <v>-1.7907341071981879E-2</v>
      </c>
    </row>
    <row r="794" spans="10:21" x14ac:dyDescent="0.35">
      <c r="J794">
        <f t="shared" si="103"/>
        <v>791</v>
      </c>
      <c r="K794">
        <f>demanda!D792</f>
        <v>4</v>
      </c>
      <c r="L794">
        <f>demanda!I792</f>
        <v>2</v>
      </c>
      <c r="M794">
        <v>3.8942745198728588</v>
      </c>
      <c r="N794">
        <f t="shared" si="96"/>
        <v>-1.8942745198728588</v>
      </c>
      <c r="O794">
        <v>2.4466175697261316E-3</v>
      </c>
      <c r="P794">
        <f t="shared" si="97"/>
        <v>-0.19086228253017132</v>
      </c>
      <c r="Q794">
        <f t="shared" si="98"/>
        <v>98.551608270054842</v>
      </c>
      <c r="R794">
        <f t="shared" si="99"/>
        <v>-0.19104821608300357</v>
      </c>
      <c r="S794">
        <f t="shared" si="100"/>
        <v>0.84850802764464628</v>
      </c>
      <c r="T794">
        <f t="shared" si="101"/>
        <v>4.4782056131641625E-5</v>
      </c>
      <c r="U794">
        <f t="shared" si="102"/>
        <v>-9.4614556750527434E-3</v>
      </c>
    </row>
    <row r="795" spans="10:21" x14ac:dyDescent="0.35">
      <c r="J795">
        <f t="shared" si="103"/>
        <v>792</v>
      </c>
      <c r="K795">
        <f>demanda!D793</f>
        <v>0</v>
      </c>
      <c r="L795">
        <f>demanda!I793</f>
        <v>15</v>
      </c>
      <c r="M795">
        <v>14.416809279416043</v>
      </c>
      <c r="N795">
        <f t="shared" si="96"/>
        <v>0.58319072058395705</v>
      </c>
      <c r="O795">
        <v>7.4087557083441532E-4</v>
      </c>
      <c r="P795">
        <f t="shared" si="97"/>
        <v>5.8760813658909554E-2</v>
      </c>
      <c r="Q795">
        <f t="shared" si="98"/>
        <v>98.553306243487526</v>
      </c>
      <c r="R795">
        <f t="shared" si="99"/>
        <v>5.8767327956256402E-2</v>
      </c>
      <c r="S795">
        <f t="shared" si="100"/>
        <v>0.95314355069247325</v>
      </c>
      <c r="T795">
        <f t="shared" si="101"/>
        <v>1.2809572488725558E-6</v>
      </c>
      <c r="U795">
        <f t="shared" si="102"/>
        <v>1.6001825154010173E-3</v>
      </c>
    </row>
    <row r="796" spans="10:21" x14ac:dyDescent="0.35">
      <c r="J796">
        <f t="shared" si="103"/>
        <v>793</v>
      </c>
      <c r="K796">
        <f>demanda!D794</f>
        <v>0</v>
      </c>
      <c r="L796">
        <f>demanda!I794</f>
        <v>8</v>
      </c>
      <c r="M796">
        <v>14.416809279416043</v>
      </c>
      <c r="N796">
        <f t="shared" si="96"/>
        <v>-6.416809279416043</v>
      </c>
      <c r="O796">
        <v>7.4087557083441532E-4</v>
      </c>
      <c r="P796">
        <f t="shared" si="97"/>
        <v>-0.64654138182270005</v>
      </c>
      <c r="Q796">
        <f t="shared" si="98"/>
        <v>98.531999879441045</v>
      </c>
      <c r="R796">
        <f t="shared" si="99"/>
        <v>-0.64668296559256133</v>
      </c>
      <c r="S796">
        <f t="shared" si="100"/>
        <v>0.51791448613837154</v>
      </c>
      <c r="T796">
        <f t="shared" si="101"/>
        <v>1.5507853448804487E-4</v>
      </c>
      <c r="U796">
        <f t="shared" si="102"/>
        <v>-1.7608606866032061E-2</v>
      </c>
    </row>
    <row r="797" spans="10:21" x14ac:dyDescent="0.35">
      <c r="J797">
        <f t="shared" si="103"/>
        <v>794</v>
      </c>
      <c r="K797">
        <f>demanda!D795</f>
        <v>1</v>
      </c>
      <c r="L797">
        <f>demanda!I795</f>
        <v>10</v>
      </c>
      <c r="M797">
        <v>11.786175589530247</v>
      </c>
      <c r="N797">
        <f t="shared" si="96"/>
        <v>-1.7861755895302469</v>
      </c>
      <c r="O797">
        <v>5.2058796926701797E-4</v>
      </c>
      <c r="P797">
        <f t="shared" si="97"/>
        <v>-0.17997050925876307</v>
      </c>
      <c r="Q797">
        <f t="shared" si="98"/>
        <v>98.551819423146526</v>
      </c>
      <c r="R797">
        <f t="shared" si="99"/>
        <v>-0.17997198233721365</v>
      </c>
      <c r="S797">
        <f t="shared" si="100"/>
        <v>0.85719356553697068</v>
      </c>
      <c r="T797">
        <f t="shared" si="101"/>
        <v>8.4395466396640202E-6</v>
      </c>
      <c r="U797">
        <f t="shared" si="102"/>
        <v>-4.1073814527258093E-3</v>
      </c>
    </row>
    <row r="798" spans="10:21" x14ac:dyDescent="0.35">
      <c r="J798">
        <f t="shared" si="103"/>
        <v>795</v>
      </c>
      <c r="K798">
        <f>demanda!D796</f>
        <v>0</v>
      </c>
      <c r="L798">
        <f>demanda!I796</f>
        <v>15</v>
      </c>
      <c r="M798">
        <v>14.416809279416043</v>
      </c>
      <c r="N798">
        <f t="shared" si="96"/>
        <v>0.58319072058395705</v>
      </c>
      <c r="O798">
        <v>7.4087557083441532E-4</v>
      </c>
      <c r="P798">
        <f t="shared" si="97"/>
        <v>5.8760813658909554E-2</v>
      </c>
      <c r="Q798">
        <f t="shared" si="98"/>
        <v>98.553306243487526</v>
      </c>
      <c r="R798">
        <f t="shared" si="99"/>
        <v>5.8767327956256402E-2</v>
      </c>
      <c r="S798">
        <f t="shared" si="100"/>
        <v>0.95314355069247325</v>
      </c>
      <c r="T798">
        <f t="shared" si="101"/>
        <v>1.2809572488725558E-6</v>
      </c>
      <c r="U798">
        <f t="shared" si="102"/>
        <v>1.6001825154010173E-3</v>
      </c>
    </row>
    <row r="799" spans="10:21" x14ac:dyDescent="0.35">
      <c r="J799">
        <f t="shared" si="103"/>
        <v>796</v>
      </c>
      <c r="K799">
        <f>demanda!D797</f>
        <v>0</v>
      </c>
      <c r="L799">
        <f>demanda!I797</f>
        <v>7</v>
      </c>
      <c r="M799">
        <v>14.416809279416043</v>
      </c>
      <c r="N799">
        <f t="shared" si="96"/>
        <v>-7.416809279416043</v>
      </c>
      <c r="O799">
        <v>7.4087557083441532E-4</v>
      </c>
      <c r="P799">
        <f t="shared" si="97"/>
        <v>-0.74729883832007293</v>
      </c>
      <c r="Q799">
        <f t="shared" si="98"/>
        <v>98.524782009186751</v>
      </c>
      <c r="R799">
        <f t="shared" si="99"/>
        <v>-0.74748986544241569</v>
      </c>
      <c r="S799">
        <f t="shared" si="100"/>
        <v>0.45485950007005715</v>
      </c>
      <c r="T799">
        <f t="shared" si="101"/>
        <v>2.0717991394042799E-4</v>
      </c>
      <c r="U799">
        <f t="shared" si="102"/>
        <v>-2.0353489850869988E-2</v>
      </c>
    </row>
    <row r="800" spans="10:21" x14ac:dyDescent="0.35">
      <c r="J800">
        <f t="shared" si="103"/>
        <v>797</v>
      </c>
      <c r="K800">
        <f>demanda!D798</f>
        <v>0</v>
      </c>
      <c r="L800">
        <f>demanda!I798</f>
        <v>15</v>
      </c>
      <c r="M800">
        <v>14.416809279416043</v>
      </c>
      <c r="N800">
        <f t="shared" si="96"/>
        <v>0.58319072058395705</v>
      </c>
      <c r="O800">
        <v>7.4087557083441532E-4</v>
      </c>
      <c r="P800">
        <f t="shared" si="97"/>
        <v>5.8760813658909554E-2</v>
      </c>
      <c r="Q800">
        <f t="shared" si="98"/>
        <v>98.553306243487526</v>
      </c>
      <c r="R800">
        <f t="shared" si="99"/>
        <v>5.8767327956256402E-2</v>
      </c>
      <c r="S800">
        <f t="shared" si="100"/>
        <v>0.95314355069247325</v>
      </c>
      <c r="T800">
        <f t="shared" si="101"/>
        <v>1.2809572488725558E-6</v>
      </c>
      <c r="U800">
        <f t="shared" si="102"/>
        <v>1.6001825154010173E-3</v>
      </c>
    </row>
    <row r="801" spans="10:21" x14ac:dyDescent="0.35">
      <c r="J801">
        <f t="shared" si="103"/>
        <v>798</v>
      </c>
      <c r="K801">
        <f>demanda!D799</f>
        <v>0</v>
      </c>
      <c r="L801">
        <f>demanda!I799</f>
        <v>15</v>
      </c>
      <c r="M801">
        <v>14.416809279416043</v>
      </c>
      <c r="N801">
        <f t="shared" si="96"/>
        <v>0.58319072058395705</v>
      </c>
      <c r="O801">
        <v>7.4087557083441532E-4</v>
      </c>
      <c r="P801">
        <f t="shared" si="97"/>
        <v>5.8760813658909554E-2</v>
      </c>
      <c r="Q801">
        <f t="shared" si="98"/>
        <v>98.553306243487526</v>
      </c>
      <c r="R801">
        <f t="shared" si="99"/>
        <v>5.8767327956256402E-2</v>
      </c>
      <c r="S801">
        <f t="shared" si="100"/>
        <v>0.95314355069247325</v>
      </c>
      <c r="T801">
        <f t="shared" si="101"/>
        <v>1.2809572488725558E-6</v>
      </c>
      <c r="U801">
        <f t="shared" si="102"/>
        <v>1.6001825154010173E-3</v>
      </c>
    </row>
    <row r="802" spans="10:21" x14ac:dyDescent="0.35">
      <c r="J802">
        <f t="shared" si="103"/>
        <v>799</v>
      </c>
      <c r="K802">
        <f>demanda!D800</f>
        <v>0</v>
      </c>
      <c r="L802">
        <f>demanda!I800</f>
        <v>15</v>
      </c>
      <c r="M802">
        <v>14.416809279416043</v>
      </c>
      <c r="N802">
        <f t="shared" si="96"/>
        <v>0.58319072058395705</v>
      </c>
      <c r="O802">
        <v>7.4087557083441532E-4</v>
      </c>
      <c r="P802">
        <f t="shared" si="97"/>
        <v>5.8760813658909554E-2</v>
      </c>
      <c r="Q802">
        <f t="shared" si="98"/>
        <v>98.553306243487526</v>
      </c>
      <c r="R802">
        <f t="shared" si="99"/>
        <v>5.8767327956256402E-2</v>
      </c>
      <c r="S802">
        <f t="shared" si="100"/>
        <v>0.95314355069247325</v>
      </c>
      <c r="T802">
        <f t="shared" si="101"/>
        <v>1.2809572488725558E-6</v>
      </c>
      <c r="U802">
        <f t="shared" si="102"/>
        <v>1.6001825154010173E-3</v>
      </c>
    </row>
    <row r="803" spans="10:21" x14ac:dyDescent="0.35">
      <c r="J803">
        <f t="shared" si="103"/>
        <v>800</v>
      </c>
      <c r="K803">
        <f>demanda!D801</f>
        <v>0</v>
      </c>
      <c r="L803">
        <f>demanda!I801</f>
        <v>15</v>
      </c>
      <c r="M803">
        <v>14.416809279416043</v>
      </c>
      <c r="N803">
        <f t="shared" si="96"/>
        <v>0.58319072058395705</v>
      </c>
      <c r="O803">
        <v>7.4087557083441532E-4</v>
      </c>
      <c r="P803">
        <f t="shared" si="97"/>
        <v>5.8760813658909554E-2</v>
      </c>
      <c r="Q803">
        <f t="shared" si="98"/>
        <v>98.553306243487526</v>
      </c>
      <c r="R803">
        <f t="shared" si="99"/>
        <v>5.8767327956256402E-2</v>
      </c>
      <c r="S803">
        <f t="shared" si="100"/>
        <v>0.95314355069247325</v>
      </c>
      <c r="T803">
        <f t="shared" si="101"/>
        <v>1.2809572488725558E-6</v>
      </c>
      <c r="U803">
        <f t="shared" si="102"/>
        <v>1.6001825154010173E-3</v>
      </c>
    </row>
    <row r="804" spans="10:21" x14ac:dyDescent="0.35">
      <c r="J804">
        <f t="shared" si="103"/>
        <v>801</v>
      </c>
      <c r="K804">
        <f>demanda!D802</f>
        <v>0</v>
      </c>
      <c r="L804">
        <f>demanda!I802</f>
        <v>15</v>
      </c>
      <c r="M804">
        <v>14.416809279416043</v>
      </c>
      <c r="N804">
        <f t="shared" si="96"/>
        <v>0.58319072058395705</v>
      </c>
      <c r="O804">
        <v>7.4087557083441532E-4</v>
      </c>
      <c r="P804">
        <f t="shared" si="97"/>
        <v>5.8760813658909554E-2</v>
      </c>
      <c r="Q804">
        <f t="shared" si="98"/>
        <v>98.553306243487526</v>
      </c>
      <c r="R804">
        <f t="shared" si="99"/>
        <v>5.8767327956256402E-2</v>
      </c>
      <c r="S804">
        <f t="shared" si="100"/>
        <v>0.95314355069247325</v>
      </c>
      <c r="T804">
        <f t="shared" si="101"/>
        <v>1.2809572488725558E-6</v>
      </c>
      <c r="U804">
        <f t="shared" si="102"/>
        <v>1.6001825154010173E-3</v>
      </c>
    </row>
    <row r="805" spans="10:21" x14ac:dyDescent="0.35">
      <c r="J805">
        <f t="shared" si="103"/>
        <v>802</v>
      </c>
      <c r="K805">
        <f>demanda!D803</f>
        <v>0</v>
      </c>
      <c r="L805">
        <f>demanda!I803</f>
        <v>15</v>
      </c>
      <c r="M805">
        <v>14.416809279416043</v>
      </c>
      <c r="N805">
        <f t="shared" si="96"/>
        <v>0.58319072058395705</v>
      </c>
      <c r="O805">
        <v>7.4087557083441532E-4</v>
      </c>
      <c r="P805">
        <f t="shared" si="97"/>
        <v>5.8760813658909554E-2</v>
      </c>
      <c r="Q805">
        <f t="shared" si="98"/>
        <v>98.553306243487526</v>
      </c>
      <c r="R805">
        <f t="shared" si="99"/>
        <v>5.8767327956256402E-2</v>
      </c>
      <c r="S805">
        <f t="shared" si="100"/>
        <v>0.95314355069247325</v>
      </c>
      <c r="T805">
        <f t="shared" si="101"/>
        <v>1.2809572488725558E-6</v>
      </c>
      <c r="U805">
        <f t="shared" si="102"/>
        <v>1.6001825154010173E-3</v>
      </c>
    </row>
    <row r="806" spans="10:21" x14ac:dyDescent="0.35">
      <c r="J806">
        <f t="shared" si="103"/>
        <v>803</v>
      </c>
      <c r="K806">
        <f>demanda!D804</f>
        <v>0</v>
      </c>
      <c r="L806">
        <f>demanda!I804</f>
        <v>15</v>
      </c>
      <c r="M806">
        <v>14.416809279416043</v>
      </c>
      <c r="N806">
        <f t="shared" si="96"/>
        <v>0.58319072058395705</v>
      </c>
      <c r="O806">
        <v>7.4087557083441532E-4</v>
      </c>
      <c r="P806">
        <f t="shared" si="97"/>
        <v>5.8760813658909554E-2</v>
      </c>
      <c r="Q806">
        <f t="shared" si="98"/>
        <v>98.553306243487526</v>
      </c>
      <c r="R806">
        <f t="shared" si="99"/>
        <v>5.8767327956256402E-2</v>
      </c>
      <c r="S806">
        <f t="shared" si="100"/>
        <v>0.95314355069247325</v>
      </c>
      <c r="T806">
        <f t="shared" si="101"/>
        <v>1.2809572488725558E-6</v>
      </c>
      <c r="U806">
        <f t="shared" si="102"/>
        <v>1.6001825154010173E-3</v>
      </c>
    </row>
    <row r="807" spans="10:21" x14ac:dyDescent="0.35">
      <c r="J807">
        <f t="shared" si="103"/>
        <v>804</v>
      </c>
      <c r="K807">
        <f>demanda!D805</f>
        <v>0</v>
      </c>
      <c r="L807">
        <f>demanda!I805</f>
        <v>15</v>
      </c>
      <c r="M807">
        <v>14.416809279416043</v>
      </c>
      <c r="N807">
        <f t="shared" si="96"/>
        <v>0.58319072058395705</v>
      </c>
      <c r="O807">
        <v>7.4087557083441532E-4</v>
      </c>
      <c r="P807">
        <f t="shared" si="97"/>
        <v>5.8760813658909554E-2</v>
      </c>
      <c r="Q807">
        <f t="shared" si="98"/>
        <v>98.553306243487526</v>
      </c>
      <c r="R807">
        <f t="shared" si="99"/>
        <v>5.8767327956256402E-2</v>
      </c>
      <c r="S807">
        <f t="shared" si="100"/>
        <v>0.95314355069247325</v>
      </c>
      <c r="T807">
        <f t="shared" si="101"/>
        <v>1.2809572488725558E-6</v>
      </c>
      <c r="U807">
        <f t="shared" si="102"/>
        <v>1.6001825154010173E-3</v>
      </c>
    </row>
    <row r="808" spans="10:21" x14ac:dyDescent="0.35">
      <c r="J808">
        <f t="shared" si="103"/>
        <v>805</v>
      </c>
      <c r="K808">
        <f>demanda!D806</f>
        <v>0</v>
      </c>
      <c r="L808">
        <f>demanda!I806</f>
        <v>15</v>
      </c>
      <c r="M808">
        <v>14.416809279416043</v>
      </c>
      <c r="N808">
        <f t="shared" si="96"/>
        <v>0.58319072058395705</v>
      </c>
      <c r="O808">
        <v>7.4087557083441532E-4</v>
      </c>
      <c r="P808">
        <f t="shared" si="97"/>
        <v>5.8760813658909554E-2</v>
      </c>
      <c r="Q808">
        <f t="shared" si="98"/>
        <v>98.553306243487526</v>
      </c>
      <c r="R808">
        <f t="shared" si="99"/>
        <v>5.8767327956256402E-2</v>
      </c>
      <c r="S808">
        <f t="shared" si="100"/>
        <v>0.95314355069247325</v>
      </c>
      <c r="T808">
        <f t="shared" si="101"/>
        <v>1.2809572488725558E-6</v>
      </c>
      <c r="U808">
        <f t="shared" si="102"/>
        <v>1.6001825154010173E-3</v>
      </c>
    </row>
    <row r="809" spans="10:21" x14ac:dyDescent="0.35">
      <c r="J809">
        <f t="shared" si="103"/>
        <v>806</v>
      </c>
      <c r="K809">
        <f>demanda!D807</f>
        <v>0</v>
      </c>
      <c r="L809">
        <f>demanda!I807</f>
        <v>15</v>
      </c>
      <c r="M809">
        <v>14.416809279416043</v>
      </c>
      <c r="N809">
        <f t="shared" si="96"/>
        <v>0.58319072058395705</v>
      </c>
      <c r="O809">
        <v>7.4087557083441532E-4</v>
      </c>
      <c r="P809">
        <f t="shared" si="97"/>
        <v>5.8760813658909554E-2</v>
      </c>
      <c r="Q809">
        <f t="shared" si="98"/>
        <v>98.553306243487526</v>
      </c>
      <c r="R809">
        <f t="shared" si="99"/>
        <v>5.8767327956256402E-2</v>
      </c>
      <c r="S809">
        <f t="shared" si="100"/>
        <v>0.95314355069247325</v>
      </c>
      <c r="T809">
        <f t="shared" si="101"/>
        <v>1.2809572488725558E-6</v>
      </c>
      <c r="U809">
        <f t="shared" si="102"/>
        <v>1.6001825154010173E-3</v>
      </c>
    </row>
    <row r="810" spans="10:21" x14ac:dyDescent="0.35">
      <c r="J810">
        <f t="shared" si="103"/>
        <v>807</v>
      </c>
      <c r="K810">
        <f>demanda!D808</f>
        <v>0</v>
      </c>
      <c r="L810">
        <f>demanda!I808</f>
        <v>15</v>
      </c>
      <c r="M810">
        <v>14.416809279416043</v>
      </c>
      <c r="N810">
        <f t="shared" si="96"/>
        <v>0.58319072058395705</v>
      </c>
      <c r="O810">
        <v>7.4087557083441532E-4</v>
      </c>
      <c r="P810">
        <f t="shared" si="97"/>
        <v>5.8760813658909554E-2</v>
      </c>
      <c r="Q810">
        <f t="shared" si="98"/>
        <v>98.553306243487526</v>
      </c>
      <c r="R810">
        <f t="shared" si="99"/>
        <v>5.8767327956256402E-2</v>
      </c>
      <c r="S810">
        <f t="shared" si="100"/>
        <v>0.95314355069247325</v>
      </c>
      <c r="T810">
        <f t="shared" si="101"/>
        <v>1.2809572488725558E-6</v>
      </c>
      <c r="U810">
        <f t="shared" si="102"/>
        <v>1.6001825154010173E-3</v>
      </c>
    </row>
    <row r="811" spans="10:21" x14ac:dyDescent="0.35">
      <c r="J811">
        <f t="shared" si="103"/>
        <v>808</v>
      </c>
      <c r="K811">
        <f>demanda!D809</f>
        <v>0</v>
      </c>
      <c r="L811">
        <f>demanda!I809</f>
        <v>15</v>
      </c>
      <c r="M811">
        <v>14.416809279416043</v>
      </c>
      <c r="N811">
        <f t="shared" si="96"/>
        <v>0.58319072058395705</v>
      </c>
      <c r="O811">
        <v>7.4087557083441532E-4</v>
      </c>
      <c r="P811">
        <f t="shared" si="97"/>
        <v>5.8760813658909554E-2</v>
      </c>
      <c r="Q811">
        <f t="shared" si="98"/>
        <v>98.553306243487526</v>
      </c>
      <c r="R811">
        <f t="shared" si="99"/>
        <v>5.8767327956256402E-2</v>
      </c>
      <c r="S811">
        <f t="shared" si="100"/>
        <v>0.95314355069247325</v>
      </c>
      <c r="T811">
        <f t="shared" si="101"/>
        <v>1.2809572488725558E-6</v>
      </c>
      <c r="U811">
        <f t="shared" si="102"/>
        <v>1.6001825154010173E-3</v>
      </c>
    </row>
    <row r="812" spans="10:21" x14ac:dyDescent="0.35">
      <c r="J812">
        <f t="shared" si="103"/>
        <v>809</v>
      </c>
      <c r="K812">
        <f>demanda!D810</f>
        <v>0</v>
      </c>
      <c r="L812">
        <f>demanda!I810</f>
        <v>15</v>
      </c>
      <c r="M812">
        <v>14.416809279416043</v>
      </c>
      <c r="N812">
        <f t="shared" si="96"/>
        <v>0.58319072058395705</v>
      </c>
      <c r="O812">
        <v>7.4087557083441532E-4</v>
      </c>
      <c r="P812">
        <f t="shared" si="97"/>
        <v>5.8760813658909554E-2</v>
      </c>
      <c r="Q812">
        <f t="shared" si="98"/>
        <v>98.553306243487526</v>
      </c>
      <c r="R812">
        <f t="shared" si="99"/>
        <v>5.8767327956256402E-2</v>
      </c>
      <c r="S812">
        <f t="shared" si="100"/>
        <v>0.95314355069247325</v>
      </c>
      <c r="T812">
        <f t="shared" si="101"/>
        <v>1.2809572488725558E-6</v>
      </c>
      <c r="U812">
        <f t="shared" si="102"/>
        <v>1.6001825154010173E-3</v>
      </c>
    </row>
    <row r="813" spans="10:21" x14ac:dyDescent="0.35">
      <c r="J813">
        <f t="shared" si="103"/>
        <v>810</v>
      </c>
      <c r="K813">
        <f>demanda!D811</f>
        <v>0</v>
      </c>
      <c r="L813">
        <f>demanda!I811</f>
        <v>15</v>
      </c>
      <c r="M813">
        <v>14.416809279416043</v>
      </c>
      <c r="N813">
        <f t="shared" si="96"/>
        <v>0.58319072058395705</v>
      </c>
      <c r="O813">
        <v>7.4087557083441532E-4</v>
      </c>
      <c r="P813">
        <f t="shared" si="97"/>
        <v>5.8760813658909554E-2</v>
      </c>
      <c r="Q813">
        <f t="shared" si="98"/>
        <v>98.553306243487526</v>
      </c>
      <c r="R813">
        <f t="shared" si="99"/>
        <v>5.8767327956256402E-2</v>
      </c>
      <c r="S813">
        <f t="shared" si="100"/>
        <v>0.95314355069247325</v>
      </c>
      <c r="T813">
        <f t="shared" si="101"/>
        <v>1.2809572488725558E-6</v>
      </c>
      <c r="U813">
        <f t="shared" si="102"/>
        <v>1.6001825154010173E-3</v>
      </c>
    </row>
    <row r="814" spans="10:21" x14ac:dyDescent="0.35">
      <c r="J814">
        <f t="shared" si="103"/>
        <v>811</v>
      </c>
      <c r="K814">
        <f>demanda!D812</f>
        <v>0</v>
      </c>
      <c r="L814">
        <f>demanda!I812</f>
        <v>15</v>
      </c>
      <c r="M814">
        <v>14.416809279416043</v>
      </c>
      <c r="N814">
        <f t="shared" si="96"/>
        <v>0.58319072058395705</v>
      </c>
      <c r="O814">
        <v>7.4087557083441532E-4</v>
      </c>
      <c r="P814">
        <f t="shared" si="97"/>
        <v>5.8760813658909554E-2</v>
      </c>
      <c r="Q814">
        <f t="shared" si="98"/>
        <v>98.553306243487526</v>
      </c>
      <c r="R814">
        <f t="shared" si="99"/>
        <v>5.8767327956256402E-2</v>
      </c>
      <c r="S814">
        <f t="shared" si="100"/>
        <v>0.95314355069247325</v>
      </c>
      <c r="T814">
        <f t="shared" si="101"/>
        <v>1.2809572488725558E-6</v>
      </c>
      <c r="U814">
        <f t="shared" si="102"/>
        <v>1.6001825154010173E-3</v>
      </c>
    </row>
    <row r="815" spans="10:21" x14ac:dyDescent="0.35">
      <c r="J815">
        <f t="shared" si="103"/>
        <v>812</v>
      </c>
      <c r="K815">
        <f>demanda!D813</f>
        <v>0</v>
      </c>
      <c r="L815">
        <f>demanda!I813</f>
        <v>15</v>
      </c>
      <c r="M815">
        <v>14.416809279416043</v>
      </c>
      <c r="N815">
        <f t="shared" si="96"/>
        <v>0.58319072058395705</v>
      </c>
      <c r="O815">
        <v>7.4087557083441532E-4</v>
      </c>
      <c r="P815">
        <f t="shared" si="97"/>
        <v>5.8760813658909554E-2</v>
      </c>
      <c r="Q815">
        <f t="shared" si="98"/>
        <v>98.553306243487526</v>
      </c>
      <c r="R815">
        <f t="shared" si="99"/>
        <v>5.8767327956256402E-2</v>
      </c>
      <c r="S815">
        <f t="shared" si="100"/>
        <v>0.95314355069247325</v>
      </c>
      <c r="T815">
        <f t="shared" si="101"/>
        <v>1.2809572488725558E-6</v>
      </c>
      <c r="U815">
        <f t="shared" si="102"/>
        <v>1.6001825154010173E-3</v>
      </c>
    </row>
    <row r="816" spans="10:21" x14ac:dyDescent="0.35">
      <c r="J816">
        <f t="shared" si="103"/>
        <v>813</v>
      </c>
      <c r="K816">
        <f>demanda!D814</f>
        <v>0</v>
      </c>
      <c r="L816">
        <f>demanda!I814</f>
        <v>15</v>
      </c>
      <c r="M816">
        <v>14.416809279416043</v>
      </c>
      <c r="N816">
        <f t="shared" si="96"/>
        <v>0.58319072058395705</v>
      </c>
      <c r="O816">
        <v>7.4087557083441532E-4</v>
      </c>
      <c r="P816">
        <f t="shared" si="97"/>
        <v>5.8760813658909554E-2</v>
      </c>
      <c r="Q816">
        <f t="shared" si="98"/>
        <v>98.553306243487526</v>
      </c>
      <c r="R816">
        <f t="shared" si="99"/>
        <v>5.8767327956256402E-2</v>
      </c>
      <c r="S816">
        <f t="shared" si="100"/>
        <v>0.95314355069247325</v>
      </c>
      <c r="T816">
        <f t="shared" si="101"/>
        <v>1.2809572488725558E-6</v>
      </c>
      <c r="U816">
        <f t="shared" si="102"/>
        <v>1.6001825154010173E-3</v>
      </c>
    </row>
    <row r="817" spans="10:21" x14ac:dyDescent="0.35">
      <c r="J817">
        <f t="shared" si="103"/>
        <v>814</v>
      </c>
      <c r="K817">
        <f>demanda!D815</f>
        <v>0</v>
      </c>
      <c r="L817">
        <f>demanda!I815</f>
        <v>15</v>
      </c>
      <c r="M817">
        <v>14.416809279416043</v>
      </c>
      <c r="N817">
        <f t="shared" si="96"/>
        <v>0.58319072058395705</v>
      </c>
      <c r="O817">
        <v>7.4087557083441532E-4</v>
      </c>
      <c r="P817">
        <f t="shared" si="97"/>
        <v>5.8760813658909554E-2</v>
      </c>
      <c r="Q817">
        <f t="shared" si="98"/>
        <v>98.553306243487526</v>
      </c>
      <c r="R817">
        <f t="shared" si="99"/>
        <v>5.8767327956256402E-2</v>
      </c>
      <c r="S817">
        <f t="shared" si="100"/>
        <v>0.95314355069247325</v>
      </c>
      <c r="T817">
        <f t="shared" si="101"/>
        <v>1.2809572488725558E-6</v>
      </c>
      <c r="U817">
        <f t="shared" si="102"/>
        <v>1.6001825154010173E-3</v>
      </c>
    </row>
    <row r="818" spans="10:21" x14ac:dyDescent="0.35">
      <c r="J818">
        <f t="shared" si="103"/>
        <v>815</v>
      </c>
      <c r="K818">
        <f>demanda!D816</f>
        <v>0</v>
      </c>
      <c r="L818">
        <f>demanda!I816</f>
        <v>15</v>
      </c>
      <c r="M818">
        <v>14.416809279416043</v>
      </c>
      <c r="N818">
        <f t="shared" si="96"/>
        <v>0.58319072058395705</v>
      </c>
      <c r="O818">
        <v>7.4087557083441532E-4</v>
      </c>
      <c r="P818">
        <f t="shared" si="97"/>
        <v>5.8760813658909554E-2</v>
      </c>
      <c r="Q818">
        <f t="shared" si="98"/>
        <v>98.553306243487526</v>
      </c>
      <c r="R818">
        <f t="shared" si="99"/>
        <v>5.8767327956256402E-2</v>
      </c>
      <c r="S818">
        <f t="shared" si="100"/>
        <v>0.95314355069247325</v>
      </c>
      <c r="T818">
        <f t="shared" si="101"/>
        <v>1.2809572488725558E-6</v>
      </c>
      <c r="U818">
        <f t="shared" si="102"/>
        <v>1.6001825154010173E-3</v>
      </c>
    </row>
    <row r="819" spans="10:21" x14ac:dyDescent="0.35">
      <c r="J819">
        <f t="shared" si="103"/>
        <v>816</v>
      </c>
      <c r="K819">
        <f>demanda!D817</f>
        <v>0</v>
      </c>
      <c r="L819">
        <f>demanda!I817</f>
        <v>15</v>
      </c>
      <c r="M819">
        <v>14.416809279416043</v>
      </c>
      <c r="N819">
        <f t="shared" si="96"/>
        <v>0.58319072058395705</v>
      </c>
      <c r="O819">
        <v>7.4087557083441532E-4</v>
      </c>
      <c r="P819">
        <f t="shared" si="97"/>
        <v>5.8760813658909554E-2</v>
      </c>
      <c r="Q819">
        <f t="shared" si="98"/>
        <v>98.553306243487526</v>
      </c>
      <c r="R819">
        <f t="shared" si="99"/>
        <v>5.8767327956256402E-2</v>
      </c>
      <c r="S819">
        <f t="shared" si="100"/>
        <v>0.95314355069247325</v>
      </c>
      <c r="T819">
        <f t="shared" si="101"/>
        <v>1.2809572488725558E-6</v>
      </c>
      <c r="U819">
        <f t="shared" si="102"/>
        <v>1.6001825154010173E-3</v>
      </c>
    </row>
    <row r="820" spans="10:21" x14ac:dyDescent="0.35">
      <c r="J820">
        <f t="shared" si="103"/>
        <v>817</v>
      </c>
      <c r="K820">
        <f>demanda!D818</f>
        <v>0</v>
      </c>
      <c r="L820">
        <f>demanda!I818</f>
        <v>15</v>
      </c>
      <c r="M820">
        <v>14.416809279416043</v>
      </c>
      <c r="N820">
        <f t="shared" si="96"/>
        <v>0.58319072058395705</v>
      </c>
      <c r="O820">
        <v>7.4087557083441532E-4</v>
      </c>
      <c r="P820">
        <f t="shared" si="97"/>
        <v>5.8760813658909554E-2</v>
      </c>
      <c r="Q820">
        <f t="shared" si="98"/>
        <v>98.553306243487526</v>
      </c>
      <c r="R820">
        <f t="shared" si="99"/>
        <v>5.8767327956256402E-2</v>
      </c>
      <c r="S820">
        <f t="shared" si="100"/>
        <v>0.95314355069247325</v>
      </c>
      <c r="T820">
        <f t="shared" si="101"/>
        <v>1.2809572488725558E-6</v>
      </c>
      <c r="U820">
        <f t="shared" si="102"/>
        <v>1.6001825154010173E-3</v>
      </c>
    </row>
    <row r="821" spans="10:21" x14ac:dyDescent="0.35">
      <c r="J821">
        <f t="shared" si="103"/>
        <v>818</v>
      </c>
      <c r="K821">
        <f>demanda!D819</f>
        <v>0</v>
      </c>
      <c r="L821">
        <f>demanda!I819</f>
        <v>15</v>
      </c>
      <c r="M821">
        <v>14.416809279416043</v>
      </c>
      <c r="N821">
        <f t="shared" si="96"/>
        <v>0.58319072058395705</v>
      </c>
      <c r="O821">
        <v>7.4087557083441532E-4</v>
      </c>
      <c r="P821">
        <f t="shared" si="97"/>
        <v>5.8760813658909554E-2</v>
      </c>
      <c r="Q821">
        <f t="shared" si="98"/>
        <v>98.553306243487526</v>
      </c>
      <c r="R821">
        <f t="shared" si="99"/>
        <v>5.8767327956256402E-2</v>
      </c>
      <c r="S821">
        <f t="shared" si="100"/>
        <v>0.95314355069247325</v>
      </c>
      <c r="T821">
        <f t="shared" si="101"/>
        <v>1.2809572488725558E-6</v>
      </c>
      <c r="U821">
        <f t="shared" si="102"/>
        <v>1.6001825154010173E-3</v>
      </c>
    </row>
    <row r="822" spans="10:21" x14ac:dyDescent="0.35">
      <c r="J822">
        <f t="shared" si="103"/>
        <v>819</v>
      </c>
      <c r="K822">
        <f>demanda!D820</f>
        <v>0</v>
      </c>
      <c r="L822">
        <f>demanda!I820</f>
        <v>15</v>
      </c>
      <c r="M822">
        <v>14.416809279416043</v>
      </c>
      <c r="N822">
        <f t="shared" si="96"/>
        <v>0.58319072058395705</v>
      </c>
      <c r="O822">
        <v>7.4087557083441532E-4</v>
      </c>
      <c r="P822">
        <f t="shared" si="97"/>
        <v>5.8760813658909554E-2</v>
      </c>
      <c r="Q822">
        <f t="shared" si="98"/>
        <v>98.553306243487526</v>
      </c>
      <c r="R822">
        <f t="shared" si="99"/>
        <v>5.8767327956256402E-2</v>
      </c>
      <c r="S822">
        <f t="shared" si="100"/>
        <v>0.95314355069247325</v>
      </c>
      <c r="T822">
        <f t="shared" si="101"/>
        <v>1.2809572488725558E-6</v>
      </c>
      <c r="U822">
        <f t="shared" si="102"/>
        <v>1.6001825154010173E-3</v>
      </c>
    </row>
    <row r="823" spans="10:21" x14ac:dyDescent="0.35">
      <c r="J823">
        <f t="shared" si="103"/>
        <v>820</v>
      </c>
      <c r="K823">
        <f>demanda!D821</f>
        <v>0</v>
      </c>
      <c r="L823">
        <f>demanda!I821</f>
        <v>4</v>
      </c>
      <c r="M823">
        <v>14.416809279416043</v>
      </c>
      <c r="N823">
        <f t="shared" si="96"/>
        <v>-10.416809279416043</v>
      </c>
      <c r="O823">
        <v>7.4087557083441532E-4</v>
      </c>
      <c r="P823">
        <f t="shared" si="97"/>
        <v>-1.0495712078121913</v>
      </c>
      <c r="Q823">
        <f t="shared" si="98"/>
        <v>98.49686724248096</v>
      </c>
      <c r="R823">
        <f t="shared" si="99"/>
        <v>-1.049988258586362</v>
      </c>
      <c r="S823">
        <f t="shared" si="100"/>
        <v>0.29385572056513598</v>
      </c>
      <c r="T823">
        <f t="shared" si="101"/>
        <v>4.0867949778204384E-4</v>
      </c>
      <c r="U823">
        <f t="shared" si="102"/>
        <v>-2.8590254333443563E-2</v>
      </c>
    </row>
    <row r="824" spans="10:21" x14ac:dyDescent="0.35">
      <c r="J824">
        <f t="shared" si="103"/>
        <v>821</v>
      </c>
      <c r="K824">
        <f>demanda!D822</f>
        <v>4</v>
      </c>
      <c r="L824">
        <f>demanda!I822</f>
        <v>2</v>
      </c>
      <c r="M824">
        <v>3.8942745198728588</v>
      </c>
      <c r="N824">
        <f t="shared" si="96"/>
        <v>-1.8942745198728588</v>
      </c>
      <c r="O824">
        <v>2.4466175697261316E-3</v>
      </c>
      <c r="P824">
        <f t="shared" si="97"/>
        <v>-0.19086228253017132</v>
      </c>
      <c r="Q824">
        <f t="shared" si="98"/>
        <v>98.551608270054842</v>
      </c>
      <c r="R824">
        <f t="shared" si="99"/>
        <v>-0.19104821608300357</v>
      </c>
      <c r="S824">
        <f t="shared" si="100"/>
        <v>0.84850802764464628</v>
      </c>
      <c r="T824">
        <f t="shared" si="101"/>
        <v>4.4782056131641625E-5</v>
      </c>
      <c r="U824">
        <f t="shared" si="102"/>
        <v>-9.4614556750527434E-3</v>
      </c>
    </row>
    <row r="825" spans="10:21" x14ac:dyDescent="0.35">
      <c r="J825">
        <f t="shared" si="103"/>
        <v>822</v>
      </c>
      <c r="K825">
        <f>demanda!D823</f>
        <v>3</v>
      </c>
      <c r="L825">
        <f>demanda!I823</f>
        <v>3</v>
      </c>
      <c r="M825">
        <v>6.5249082097586548</v>
      </c>
      <c r="N825">
        <f t="shared" si="96"/>
        <v>-3.5249082097586548</v>
      </c>
      <c r="O825">
        <v>1.3734589687128761E-3</v>
      </c>
      <c r="P825">
        <f t="shared" si="97"/>
        <v>-0.35516078560198994</v>
      </c>
      <c r="Q825">
        <f t="shared" si="98"/>
        <v>98.546996700749531</v>
      </c>
      <c r="R825">
        <f t="shared" si="99"/>
        <v>-0.35532401713098288</v>
      </c>
      <c r="S825">
        <f t="shared" si="100"/>
        <v>0.72238591463660118</v>
      </c>
      <c r="T825">
        <f t="shared" si="101"/>
        <v>8.6861935283639592E-5</v>
      </c>
      <c r="U825">
        <f t="shared" si="102"/>
        <v>-1.3177434192717408E-2</v>
      </c>
    </row>
    <row r="826" spans="10:21" x14ac:dyDescent="0.35">
      <c r="J826">
        <f t="shared" si="103"/>
        <v>823</v>
      </c>
      <c r="K826">
        <f>demanda!D824</f>
        <v>4</v>
      </c>
      <c r="L826">
        <f>demanda!I824</f>
        <v>4</v>
      </c>
      <c r="M826">
        <v>3.8942745198728588</v>
      </c>
      <c r="N826">
        <f t="shared" si="96"/>
        <v>0.10572548012714122</v>
      </c>
      <c r="O826">
        <v>2.4466175697261316E-3</v>
      </c>
      <c r="P826">
        <f t="shared" si="97"/>
        <v>1.0652630464574285E-2</v>
      </c>
      <c r="Q826">
        <f t="shared" si="98"/>
        <v>98.553477858863673</v>
      </c>
      <c r="R826">
        <f t="shared" si="99"/>
        <v>1.0662906866275572E-2</v>
      </c>
      <c r="S826">
        <f t="shared" si="100"/>
        <v>0.99149350080457299</v>
      </c>
      <c r="T826">
        <f t="shared" si="101"/>
        <v>1.3950106623021426E-7</v>
      </c>
      <c r="U826">
        <f t="shared" si="102"/>
        <v>5.2806889669490694E-4</v>
      </c>
    </row>
    <row r="827" spans="10:21" x14ac:dyDescent="0.35">
      <c r="J827">
        <f t="shared" si="103"/>
        <v>824</v>
      </c>
      <c r="K827">
        <f>demanda!D825</f>
        <v>0</v>
      </c>
      <c r="L827">
        <f>demanda!I825</f>
        <v>16</v>
      </c>
      <c r="M827">
        <v>14.416809279416043</v>
      </c>
      <c r="N827">
        <f t="shared" si="96"/>
        <v>1.583190720583957</v>
      </c>
      <c r="O827">
        <v>7.4087557083441532E-4</v>
      </c>
      <c r="P827">
        <f t="shared" si="97"/>
        <v>0.15951827015628237</v>
      </c>
      <c r="Q827">
        <f t="shared" si="98"/>
        <v>98.552175905817947</v>
      </c>
      <c r="R827">
        <f t="shared" si="99"/>
        <v>0.1595368694422851</v>
      </c>
      <c r="S827">
        <f t="shared" si="100"/>
        <v>0.87326270170878273</v>
      </c>
      <c r="T827">
        <f t="shared" si="101"/>
        <v>9.440171775777902E-6</v>
      </c>
      <c r="U827">
        <f t="shared" si="102"/>
        <v>4.3440482649370034E-3</v>
      </c>
    </row>
    <row r="828" spans="10:21" x14ac:dyDescent="0.35">
      <c r="J828">
        <f t="shared" si="103"/>
        <v>825</v>
      </c>
      <c r="K828">
        <f>demanda!D826</f>
        <v>0</v>
      </c>
      <c r="L828">
        <f>demanda!I826</f>
        <v>3</v>
      </c>
      <c r="M828">
        <v>14.416809279416043</v>
      </c>
      <c r="N828">
        <f t="shared" si="96"/>
        <v>-11.416809279416043</v>
      </c>
      <c r="O828">
        <v>7.4087557083441532E-4</v>
      </c>
      <c r="P828">
        <f t="shared" si="97"/>
        <v>-1.150328664309564</v>
      </c>
      <c r="Q828">
        <f t="shared" si="98"/>
        <v>98.485475268264722</v>
      </c>
      <c r="R828">
        <f t="shared" si="99"/>
        <v>-1.1508523061099405</v>
      </c>
      <c r="S828">
        <f t="shared" si="100"/>
        <v>0.24993638008158123</v>
      </c>
      <c r="T828">
        <f t="shared" si="101"/>
        <v>4.9091117422407117E-4</v>
      </c>
      <c r="U828">
        <f t="shared" si="102"/>
        <v>-3.1336693399040466E-2</v>
      </c>
    </row>
    <row r="829" spans="10:21" x14ac:dyDescent="0.35">
      <c r="J829">
        <f t="shared" si="103"/>
        <v>826</v>
      </c>
      <c r="K829">
        <f>demanda!D827</f>
        <v>2</v>
      </c>
      <c r="L829">
        <f>demanda!I827</f>
        <v>3</v>
      </c>
      <c r="M829">
        <v>9.1555418996444509</v>
      </c>
      <c r="N829">
        <f t="shared" si="96"/>
        <v>-6.1555418996444509</v>
      </c>
      <c r="O829">
        <v>7.3144910189317154E-4</v>
      </c>
      <c r="P829">
        <f t="shared" si="97"/>
        <v>-0.62021674517118131</v>
      </c>
      <c r="Q829">
        <f t="shared" si="98"/>
        <v>98.533713924458709</v>
      </c>
      <c r="R829">
        <f t="shared" si="99"/>
        <v>-0.62034424251421916</v>
      </c>
      <c r="S829">
        <f t="shared" si="100"/>
        <v>0.53510483257501296</v>
      </c>
      <c r="T829">
        <f t="shared" si="101"/>
        <v>1.4088885884323287E-4</v>
      </c>
      <c r="U829">
        <f t="shared" si="102"/>
        <v>-1.6783545165498539E-2</v>
      </c>
    </row>
    <row r="830" spans="10:21" x14ac:dyDescent="0.35">
      <c r="J830">
        <f t="shared" si="103"/>
        <v>827</v>
      </c>
      <c r="K830">
        <f>demanda!D828</f>
        <v>1</v>
      </c>
      <c r="L830">
        <f>demanda!I828</f>
        <v>3</v>
      </c>
      <c r="M830">
        <v>11.786175589530247</v>
      </c>
      <c r="N830">
        <f t="shared" si="96"/>
        <v>-8.7861755895302469</v>
      </c>
      <c r="O830">
        <v>5.2058796926701797E-4</v>
      </c>
      <c r="P830">
        <f t="shared" si="97"/>
        <v>-0.88527270474037267</v>
      </c>
      <c r="Q830">
        <f t="shared" si="98"/>
        <v>98.513214102399758</v>
      </c>
      <c r="R830">
        <f t="shared" si="99"/>
        <v>-0.88545339538896362</v>
      </c>
      <c r="S830">
        <f t="shared" si="100"/>
        <v>0.37602308055069167</v>
      </c>
      <c r="T830">
        <f t="shared" si="101"/>
        <v>2.0420697614382047E-4</v>
      </c>
      <c r="U830">
        <f t="shared" si="102"/>
        <v>-2.0208116875988336E-2</v>
      </c>
    </row>
    <row r="831" spans="10:21" x14ac:dyDescent="0.35">
      <c r="J831">
        <f t="shared" si="103"/>
        <v>828</v>
      </c>
      <c r="K831">
        <f>demanda!D829</f>
        <v>0</v>
      </c>
      <c r="L831">
        <f>demanda!I829</f>
        <v>25</v>
      </c>
      <c r="M831">
        <v>14.416809279416043</v>
      </c>
      <c r="N831">
        <f t="shared" si="96"/>
        <v>10.583190720583957</v>
      </c>
      <c r="O831">
        <v>7.4087557083441532E-4</v>
      </c>
      <c r="P831">
        <f t="shared" si="97"/>
        <v>1.0663353786326375</v>
      </c>
      <c r="Q831">
        <f t="shared" si="98"/>
        <v>98.49504419721994</v>
      </c>
      <c r="R831">
        <f t="shared" si="99"/>
        <v>1.0667689629874253</v>
      </c>
      <c r="S831">
        <f t="shared" si="100"/>
        <v>0.28621036416391138</v>
      </c>
      <c r="T831">
        <f t="shared" si="101"/>
        <v>4.2183894365142377E-4</v>
      </c>
      <c r="U831">
        <f t="shared" si="102"/>
        <v>2.9047178115969151E-2</v>
      </c>
    </row>
    <row r="832" spans="10:21" x14ac:dyDescent="0.35">
      <c r="J832">
        <f t="shared" si="103"/>
        <v>829</v>
      </c>
      <c r="K832">
        <f>demanda!D830</f>
        <v>0</v>
      </c>
      <c r="L832">
        <f>demanda!I830</f>
        <v>18</v>
      </c>
      <c r="M832">
        <v>14.416809279416043</v>
      </c>
      <c r="N832">
        <f t="shared" si="96"/>
        <v>3.583190720583957</v>
      </c>
      <c r="O832">
        <v>7.4087557083441532E-4</v>
      </c>
      <c r="P832">
        <f t="shared" si="97"/>
        <v>0.36103318315102795</v>
      </c>
      <c r="Q832">
        <f t="shared" si="98"/>
        <v>98.546784652507341</v>
      </c>
      <c r="R832">
        <f t="shared" si="99"/>
        <v>0.3610851550254302</v>
      </c>
      <c r="S832">
        <f t="shared" si="100"/>
        <v>0.7180755365508017</v>
      </c>
      <c r="T832">
        <f t="shared" si="101"/>
        <v>4.8356323571821784E-5</v>
      </c>
      <c r="U832">
        <f t="shared" si="102"/>
        <v>9.8320303429934326E-3</v>
      </c>
    </row>
    <row r="833" spans="10:21" x14ac:dyDescent="0.35">
      <c r="J833">
        <f t="shared" si="103"/>
        <v>830</v>
      </c>
      <c r="K833">
        <f>demanda!D831</f>
        <v>0</v>
      </c>
      <c r="L833">
        <f>demanda!I831</f>
        <v>9</v>
      </c>
      <c r="M833">
        <v>14.416809279416043</v>
      </c>
      <c r="N833">
        <f t="shared" si="96"/>
        <v>-5.416809279416043</v>
      </c>
      <c r="O833">
        <v>7.4087557083441532E-4</v>
      </c>
      <c r="P833">
        <f t="shared" si="97"/>
        <v>-0.54578392532532727</v>
      </c>
      <c r="Q833">
        <f t="shared" si="98"/>
        <v>98.538174223704843</v>
      </c>
      <c r="R833">
        <f t="shared" si="99"/>
        <v>-0.54588634131956315</v>
      </c>
      <c r="S833">
        <f t="shared" si="100"/>
        <v>0.58520751823074413</v>
      </c>
      <c r="T833">
        <f t="shared" si="101"/>
        <v>1.1050972928307278E-4</v>
      </c>
      <c r="U833">
        <f t="shared" si="102"/>
        <v>-1.4864003676090257E-2</v>
      </c>
    </row>
    <row r="834" spans="10:21" x14ac:dyDescent="0.35">
      <c r="J834">
        <f t="shared" si="103"/>
        <v>831</v>
      </c>
      <c r="K834">
        <f>demanda!D832</f>
        <v>0</v>
      </c>
      <c r="L834">
        <f>demanda!I832</f>
        <v>2</v>
      </c>
      <c r="M834">
        <v>14.416809279416043</v>
      </c>
      <c r="N834">
        <f t="shared" si="96"/>
        <v>-12.416809279416043</v>
      </c>
      <c r="O834">
        <v>7.4087557083441532E-4</v>
      </c>
      <c r="P834">
        <f t="shared" si="97"/>
        <v>-1.2510861208069368</v>
      </c>
      <c r="Q834">
        <f t="shared" si="98"/>
        <v>98.473039768058015</v>
      </c>
      <c r="R834">
        <f t="shared" si="99"/>
        <v>-1.2517346575747474</v>
      </c>
      <c r="S834">
        <f t="shared" si="100"/>
        <v>0.21081911987933932</v>
      </c>
      <c r="T834">
        <f t="shared" si="101"/>
        <v>5.8067542491350977E-4</v>
      </c>
      <c r="U834">
        <f t="shared" si="102"/>
        <v>-3.4083630864815417E-2</v>
      </c>
    </row>
    <row r="835" spans="10:21" x14ac:dyDescent="0.35">
      <c r="J835">
        <f t="shared" si="103"/>
        <v>832</v>
      </c>
      <c r="K835">
        <f>demanda!D833</f>
        <v>1</v>
      </c>
      <c r="L835">
        <f>demanda!I833</f>
        <v>3</v>
      </c>
      <c r="M835">
        <v>11.786175589530247</v>
      </c>
      <c r="N835">
        <f t="shared" si="96"/>
        <v>-8.7861755895302469</v>
      </c>
      <c r="O835">
        <v>5.2058796926701797E-4</v>
      </c>
      <c r="P835">
        <f t="shared" si="97"/>
        <v>-0.88527270474037267</v>
      </c>
      <c r="Q835">
        <f t="shared" si="98"/>
        <v>98.513214102399758</v>
      </c>
      <c r="R835">
        <f t="shared" si="99"/>
        <v>-0.88545339538896362</v>
      </c>
      <c r="S835">
        <f t="shared" si="100"/>
        <v>0.37602308055069167</v>
      </c>
      <c r="T835">
        <f t="shared" si="101"/>
        <v>2.0420697614382047E-4</v>
      </c>
      <c r="U835">
        <f t="shared" si="102"/>
        <v>-2.0208116875988336E-2</v>
      </c>
    </row>
    <row r="836" spans="10:21" x14ac:dyDescent="0.35">
      <c r="J836">
        <f t="shared" si="103"/>
        <v>833</v>
      </c>
      <c r="K836">
        <f>demanda!D834</f>
        <v>0</v>
      </c>
      <c r="L836">
        <f>demanda!I834</f>
        <v>23</v>
      </c>
      <c r="M836">
        <v>14.416809279416043</v>
      </c>
      <c r="N836">
        <f t="shared" si="96"/>
        <v>8.583190720583957</v>
      </c>
      <c r="O836">
        <v>7.4087557083441532E-4</v>
      </c>
      <c r="P836">
        <f t="shared" si="97"/>
        <v>0.86482046563789194</v>
      </c>
      <c r="Q836">
        <f t="shared" si="98"/>
        <v>98.515044814397314</v>
      </c>
      <c r="R836">
        <f t="shared" si="99"/>
        <v>0.86508428320119957</v>
      </c>
      <c r="S836">
        <f t="shared" si="100"/>
        <v>0.38710065879826105</v>
      </c>
      <c r="T836">
        <f t="shared" si="101"/>
        <v>2.7746675239162511E-4</v>
      </c>
      <c r="U836">
        <f t="shared" si="102"/>
        <v>2.3555482144044106E-2</v>
      </c>
    </row>
    <row r="837" spans="10:21" x14ac:dyDescent="0.35">
      <c r="J837">
        <f t="shared" si="103"/>
        <v>834</v>
      </c>
      <c r="K837">
        <f>demanda!D835</f>
        <v>1</v>
      </c>
      <c r="L837">
        <f>demanda!I835</f>
        <v>3</v>
      </c>
      <c r="M837">
        <v>11.786175589530247</v>
      </c>
      <c r="N837">
        <f t="shared" ref="N837:N900" si="104">L837-M837</f>
        <v>-8.7861755895302469</v>
      </c>
      <c r="O837">
        <v>5.2058796926701797E-4</v>
      </c>
      <c r="P837">
        <f t="shared" ref="P837:P900" si="105">N837/SQRT($X$6)</f>
        <v>-0.88527270474037267</v>
      </c>
      <c r="Q837">
        <f t="shared" ref="Q837:Q900" si="106">($X$6-N837^2/((1-O837)*$X$5))*$X$5/($X$5-1)</f>
        <v>98.513214102399758</v>
      </c>
      <c r="R837">
        <f t="shared" ref="R837:R900" si="107">N837/SQRT(Q837*(1-O837))</f>
        <v>-0.88545339538896362</v>
      </c>
      <c r="S837">
        <f t="shared" ref="S837:S900" si="108">_xlfn.T.DIST.2T(ABS(R837),$X$5)</f>
        <v>0.37602308055069167</v>
      </c>
      <c r="T837">
        <f t="shared" ref="T837:T900" si="109">(N837^2/$X$6)*(O837/(1-O837)^2)/($X$7+1)</f>
        <v>2.0420697614382047E-4</v>
      </c>
      <c r="U837">
        <f t="shared" ref="U837:U900" si="110">R837*SQRT(O837/(1-O837))</f>
        <v>-2.0208116875988336E-2</v>
      </c>
    </row>
    <row r="838" spans="10:21" x14ac:dyDescent="0.35">
      <c r="J838">
        <f t="shared" ref="J838:J901" si="111">J837+1</f>
        <v>835</v>
      </c>
      <c r="K838">
        <f>demanda!D836</f>
        <v>0</v>
      </c>
      <c r="L838">
        <f>demanda!I836</f>
        <v>6</v>
      </c>
      <c r="M838">
        <v>14.416809279416043</v>
      </c>
      <c r="N838">
        <f t="shared" si="104"/>
        <v>-8.416809279416043</v>
      </c>
      <c r="O838">
        <v>7.4087557083441532E-4</v>
      </c>
      <c r="P838">
        <f t="shared" si="105"/>
        <v>-0.84805629481744571</v>
      </c>
      <c r="Q838">
        <f t="shared" si="106"/>
        <v>98.51652061294196</v>
      </c>
      <c r="R838">
        <f t="shared" si="107"/>
        <v>-0.8483086443975183</v>
      </c>
      <c r="S838">
        <f t="shared" si="108"/>
        <v>0.39637190285902191</v>
      </c>
      <c r="T838">
        <f t="shared" si="109"/>
        <v>2.6681386764022222E-4</v>
      </c>
      <c r="U838">
        <f t="shared" si="110"/>
        <v>-2.3098696293268058E-2</v>
      </c>
    </row>
    <row r="839" spans="10:21" x14ac:dyDescent="0.35">
      <c r="J839">
        <f t="shared" si="111"/>
        <v>836</v>
      </c>
      <c r="K839">
        <f>demanda!D837</f>
        <v>1</v>
      </c>
      <c r="L839">
        <f>demanda!I837</f>
        <v>2</v>
      </c>
      <c r="M839">
        <v>11.786175589530247</v>
      </c>
      <c r="N839">
        <f t="shared" si="104"/>
        <v>-9.7861755895302469</v>
      </c>
      <c r="O839">
        <v>5.2058796926701797E-4</v>
      </c>
      <c r="P839">
        <f t="shared" si="105"/>
        <v>-0.98603016123774556</v>
      </c>
      <c r="Q839">
        <f t="shared" si="106"/>
        <v>98.503525872599127</v>
      </c>
      <c r="R839">
        <f t="shared" si="107"/>
        <v>-0.98627991600190701</v>
      </c>
      <c r="S839">
        <f t="shared" si="108"/>
        <v>0.32412010689798754</v>
      </c>
      <c r="T839">
        <f t="shared" si="109"/>
        <v>2.5333595131680776E-4</v>
      </c>
      <c r="U839">
        <f t="shared" si="110"/>
        <v>-2.2509213831916283E-2</v>
      </c>
    </row>
    <row r="840" spans="10:21" x14ac:dyDescent="0.35">
      <c r="J840">
        <f t="shared" si="111"/>
        <v>837</v>
      </c>
      <c r="K840">
        <f>demanda!D838</f>
        <v>2</v>
      </c>
      <c r="L840">
        <f>demanda!I838</f>
        <v>2</v>
      </c>
      <c r="M840">
        <v>9.1555418996444509</v>
      </c>
      <c r="N840">
        <f t="shared" si="104"/>
        <v>-7.1555418996444509</v>
      </c>
      <c r="O840">
        <v>7.3144910189317154E-4</v>
      </c>
      <c r="P840">
        <f t="shared" si="105"/>
        <v>-0.72097420166855408</v>
      </c>
      <c r="Q840">
        <f t="shared" si="106"/>
        <v>98.526768759022602</v>
      </c>
      <c r="R840">
        <f t="shared" si="107"/>
        <v>-0.72114782718324122</v>
      </c>
      <c r="S840">
        <f t="shared" si="108"/>
        <v>0.47090641241117204</v>
      </c>
      <c r="T840">
        <f t="shared" si="109"/>
        <v>1.9038342084795563E-4</v>
      </c>
      <c r="U840">
        <f t="shared" si="110"/>
        <v>-1.9510807546913981E-2</v>
      </c>
    </row>
    <row r="841" spans="10:21" x14ac:dyDescent="0.35">
      <c r="J841">
        <f t="shared" si="111"/>
        <v>838</v>
      </c>
      <c r="K841">
        <f>demanda!D839</f>
        <v>2</v>
      </c>
      <c r="L841">
        <f>demanda!I839</f>
        <v>2</v>
      </c>
      <c r="M841">
        <v>9.1555418996444509</v>
      </c>
      <c r="N841">
        <f t="shared" si="104"/>
        <v>-7.1555418996444509</v>
      </c>
      <c r="O841">
        <v>7.3144910189317154E-4</v>
      </c>
      <c r="P841">
        <f t="shared" si="105"/>
        <v>-0.72097420166855408</v>
      </c>
      <c r="Q841">
        <f t="shared" si="106"/>
        <v>98.526768759022602</v>
      </c>
      <c r="R841">
        <f t="shared" si="107"/>
        <v>-0.72114782718324122</v>
      </c>
      <c r="S841">
        <f t="shared" si="108"/>
        <v>0.47090641241117204</v>
      </c>
      <c r="T841">
        <f t="shared" si="109"/>
        <v>1.9038342084795563E-4</v>
      </c>
      <c r="U841">
        <f t="shared" si="110"/>
        <v>-1.9510807546913981E-2</v>
      </c>
    </row>
    <row r="842" spans="10:21" x14ac:dyDescent="0.35">
      <c r="J842">
        <f t="shared" si="111"/>
        <v>839</v>
      </c>
      <c r="K842">
        <f>demanda!D840</f>
        <v>0</v>
      </c>
      <c r="L842">
        <f>demanda!I840</f>
        <v>18</v>
      </c>
      <c r="M842">
        <v>14.416809279416043</v>
      </c>
      <c r="N842">
        <f t="shared" si="104"/>
        <v>3.583190720583957</v>
      </c>
      <c r="O842">
        <v>7.4087557083441532E-4</v>
      </c>
      <c r="P842">
        <f t="shared" si="105"/>
        <v>0.36103318315102795</v>
      </c>
      <c r="Q842">
        <f t="shared" si="106"/>
        <v>98.546784652507341</v>
      </c>
      <c r="R842">
        <f t="shared" si="107"/>
        <v>0.3610851550254302</v>
      </c>
      <c r="S842">
        <f t="shared" si="108"/>
        <v>0.7180755365508017</v>
      </c>
      <c r="T842">
        <f t="shared" si="109"/>
        <v>4.8356323571821784E-5</v>
      </c>
      <c r="U842">
        <f t="shared" si="110"/>
        <v>9.8320303429934326E-3</v>
      </c>
    </row>
    <row r="843" spans="10:21" x14ac:dyDescent="0.35">
      <c r="J843">
        <f t="shared" si="111"/>
        <v>840</v>
      </c>
      <c r="K843">
        <f>demanda!D841</f>
        <v>2</v>
      </c>
      <c r="L843">
        <f>demanda!I841</f>
        <v>2</v>
      </c>
      <c r="M843">
        <v>9.1555418996444509</v>
      </c>
      <c r="N843">
        <f t="shared" si="104"/>
        <v>-7.1555418996444509</v>
      </c>
      <c r="O843">
        <v>7.3144910189317154E-4</v>
      </c>
      <c r="P843">
        <f t="shared" si="105"/>
        <v>-0.72097420166855408</v>
      </c>
      <c r="Q843">
        <f t="shared" si="106"/>
        <v>98.526768759022602</v>
      </c>
      <c r="R843">
        <f t="shared" si="107"/>
        <v>-0.72114782718324122</v>
      </c>
      <c r="S843">
        <f t="shared" si="108"/>
        <v>0.47090641241117204</v>
      </c>
      <c r="T843">
        <f t="shared" si="109"/>
        <v>1.9038342084795563E-4</v>
      </c>
      <c r="U843">
        <f t="shared" si="110"/>
        <v>-1.9510807546913981E-2</v>
      </c>
    </row>
    <row r="844" spans="10:21" x14ac:dyDescent="0.35">
      <c r="J844">
        <f t="shared" si="111"/>
        <v>841</v>
      </c>
      <c r="K844">
        <f>demanda!D842</f>
        <v>1</v>
      </c>
      <c r="L844">
        <f>demanda!I842</f>
        <v>9</v>
      </c>
      <c r="M844">
        <v>11.786175589530247</v>
      </c>
      <c r="N844">
        <f t="shared" si="104"/>
        <v>-2.7861755895302469</v>
      </c>
      <c r="O844">
        <v>5.2058796926701797E-4</v>
      </c>
      <c r="P844">
        <f t="shared" si="105"/>
        <v>-0.2807279657561359</v>
      </c>
      <c r="Q844">
        <f t="shared" si="106"/>
        <v>98.549434265310296</v>
      </c>
      <c r="R844">
        <f t="shared" si="107"/>
        <v>-0.2807336607336009</v>
      </c>
      <c r="S844">
        <f t="shared" si="108"/>
        <v>0.77894495126310248</v>
      </c>
      <c r="T844">
        <f t="shared" si="109"/>
        <v>2.0534672635962656E-5</v>
      </c>
      <c r="U844">
        <f t="shared" si="110"/>
        <v>-6.4069985576559628E-3</v>
      </c>
    </row>
    <row r="845" spans="10:21" x14ac:dyDescent="0.35">
      <c r="J845">
        <f t="shared" si="111"/>
        <v>842</v>
      </c>
      <c r="K845">
        <f>demanda!D843</f>
        <v>1</v>
      </c>
      <c r="L845">
        <f>demanda!I843</f>
        <v>18</v>
      </c>
      <c r="M845">
        <v>11.786175589530247</v>
      </c>
      <c r="N845">
        <f t="shared" si="104"/>
        <v>6.2138244104697531</v>
      </c>
      <c r="O845">
        <v>5.2058796926701797E-4</v>
      </c>
      <c r="P845">
        <f t="shared" si="105"/>
        <v>0.62608914272021932</v>
      </c>
      <c r="Q845">
        <f t="shared" si="106"/>
        <v>98.53334203001944</v>
      </c>
      <c r="R845">
        <f t="shared" si="107"/>
        <v>0.62615296851250979</v>
      </c>
      <c r="S845">
        <f t="shared" si="108"/>
        <v>0.53128908033538147</v>
      </c>
      <c r="T845">
        <f t="shared" si="109"/>
        <v>1.0213833443510235E-4</v>
      </c>
      <c r="U845">
        <f t="shared" si="110"/>
        <v>1.4290274830771242E-2</v>
      </c>
    </row>
    <row r="846" spans="10:21" x14ac:dyDescent="0.35">
      <c r="J846">
        <f t="shared" si="111"/>
        <v>843</v>
      </c>
      <c r="K846">
        <f>demanda!D844</f>
        <v>0</v>
      </c>
      <c r="L846">
        <f>demanda!I844</f>
        <v>3</v>
      </c>
      <c r="M846">
        <v>14.416809279416043</v>
      </c>
      <c r="N846">
        <f t="shared" si="104"/>
        <v>-11.416809279416043</v>
      </c>
      <c r="O846">
        <v>7.4087557083441532E-4</v>
      </c>
      <c r="P846">
        <f t="shared" si="105"/>
        <v>-1.150328664309564</v>
      </c>
      <c r="Q846">
        <f t="shared" si="106"/>
        <v>98.485475268264722</v>
      </c>
      <c r="R846">
        <f t="shared" si="107"/>
        <v>-1.1508523061099405</v>
      </c>
      <c r="S846">
        <f t="shared" si="108"/>
        <v>0.24993638008158123</v>
      </c>
      <c r="T846">
        <f t="shared" si="109"/>
        <v>4.9091117422407117E-4</v>
      </c>
      <c r="U846">
        <f t="shared" si="110"/>
        <v>-3.1336693399040466E-2</v>
      </c>
    </row>
    <row r="847" spans="10:21" x14ac:dyDescent="0.35">
      <c r="J847">
        <f t="shared" si="111"/>
        <v>844</v>
      </c>
      <c r="K847">
        <f>demanda!D845</f>
        <v>1</v>
      </c>
      <c r="L847">
        <f>demanda!I845</f>
        <v>38</v>
      </c>
      <c r="M847">
        <v>11.786175589530247</v>
      </c>
      <c r="N847">
        <f t="shared" si="104"/>
        <v>26.213824410469755</v>
      </c>
      <c r="O847">
        <v>5.2058796926701797E-4</v>
      </c>
      <c r="P847">
        <f t="shared" si="105"/>
        <v>2.6412382726676755</v>
      </c>
      <c r="Q847">
        <f t="shared" si="106"/>
        <v>98.195025668625902</v>
      </c>
      <c r="R847">
        <f t="shared" si="107"/>
        <v>2.6460540780351778</v>
      </c>
      <c r="S847">
        <f t="shared" si="108"/>
        <v>8.2102016080409009E-3</v>
      </c>
      <c r="T847">
        <f t="shared" si="109"/>
        <v>1.8177392709912449E-3</v>
      </c>
      <c r="U847">
        <f t="shared" si="110"/>
        <v>6.0389141142353699E-2</v>
      </c>
    </row>
    <row r="848" spans="10:21" x14ac:dyDescent="0.35">
      <c r="J848">
        <f t="shared" si="111"/>
        <v>845</v>
      </c>
      <c r="K848">
        <f>demanda!D846</f>
        <v>2</v>
      </c>
      <c r="L848">
        <f>demanda!I846</f>
        <v>4</v>
      </c>
      <c r="M848">
        <v>9.1555418996444509</v>
      </c>
      <c r="N848">
        <f t="shared" si="104"/>
        <v>-5.1555418996444509</v>
      </c>
      <c r="O848">
        <v>7.3144910189317154E-4</v>
      </c>
      <c r="P848">
        <f t="shared" si="105"/>
        <v>-0.51945928867380853</v>
      </c>
      <c r="Q848">
        <f t="shared" si="106"/>
        <v>98.539615573748293</v>
      </c>
      <c r="R848">
        <f t="shared" si="107"/>
        <v>-0.51955051447259837</v>
      </c>
      <c r="S848">
        <f t="shared" si="108"/>
        <v>0.60343681513546954</v>
      </c>
      <c r="T848">
        <f t="shared" si="109"/>
        <v>9.8830890695332879E-5</v>
      </c>
      <c r="U848">
        <f t="shared" si="110"/>
        <v>-1.4056549457229766E-2</v>
      </c>
    </row>
    <row r="849" spans="10:21" x14ac:dyDescent="0.35">
      <c r="J849">
        <f t="shared" si="111"/>
        <v>846</v>
      </c>
      <c r="K849">
        <f>demanda!D847</f>
        <v>8</v>
      </c>
      <c r="L849">
        <f>demanda!I847</f>
        <v>3</v>
      </c>
      <c r="M849">
        <v>-6.6282602396703254</v>
      </c>
      <c r="N849">
        <f t="shared" si="104"/>
        <v>9.6282602396703254</v>
      </c>
      <c r="O849">
        <v>1.1050739315714665E-2</v>
      </c>
      <c r="P849">
        <f t="shared" si="105"/>
        <v>0.97011901224396713</v>
      </c>
      <c r="Q849">
        <f t="shared" si="106"/>
        <v>98.504610247634446</v>
      </c>
      <c r="R849">
        <f t="shared" si="107"/>
        <v>0.97551182146318471</v>
      </c>
      <c r="S849">
        <f t="shared" si="108"/>
        <v>0.32942939270181881</v>
      </c>
      <c r="T849">
        <f t="shared" si="109"/>
        <v>5.3169594726731753E-3</v>
      </c>
      <c r="U849">
        <f t="shared" si="110"/>
        <v>0.10311959499277855</v>
      </c>
    </row>
    <row r="850" spans="10:21" x14ac:dyDescent="0.35">
      <c r="J850">
        <f t="shared" si="111"/>
        <v>847</v>
      </c>
      <c r="K850">
        <f>demanda!D848</f>
        <v>1</v>
      </c>
      <c r="L850">
        <f>demanda!I848</f>
        <v>7</v>
      </c>
      <c r="M850">
        <v>11.786175589530247</v>
      </c>
      <c r="N850">
        <f t="shared" si="104"/>
        <v>-4.7861755895302469</v>
      </c>
      <c r="O850">
        <v>5.2058796926701797E-4</v>
      </c>
      <c r="P850">
        <f t="shared" si="105"/>
        <v>-0.48224287875088151</v>
      </c>
      <c r="Q850">
        <f t="shared" si="106"/>
        <v>98.54153406165311</v>
      </c>
      <c r="R850">
        <f t="shared" si="107"/>
        <v>-0.48227199277900268</v>
      </c>
      <c r="S850">
        <f t="shared" si="108"/>
        <v>0.62966774184084362</v>
      </c>
      <c r="T850">
        <f t="shared" si="109"/>
        <v>6.0596574275712224E-5</v>
      </c>
      <c r="U850">
        <f t="shared" si="110"/>
        <v>-1.10065745377968E-2</v>
      </c>
    </row>
    <row r="851" spans="10:21" x14ac:dyDescent="0.35">
      <c r="J851">
        <f t="shared" si="111"/>
        <v>848</v>
      </c>
      <c r="K851">
        <f>demanda!D849</f>
        <v>3</v>
      </c>
      <c r="L851">
        <f>demanda!I849</f>
        <v>3</v>
      </c>
      <c r="M851">
        <v>6.5249082097586548</v>
      </c>
      <c r="N851">
        <f t="shared" si="104"/>
        <v>-3.5249082097586548</v>
      </c>
      <c r="O851">
        <v>1.3734589687128761E-3</v>
      </c>
      <c r="P851">
        <f t="shared" si="105"/>
        <v>-0.35516078560198994</v>
      </c>
      <c r="Q851">
        <f t="shared" si="106"/>
        <v>98.546996700749531</v>
      </c>
      <c r="R851">
        <f t="shared" si="107"/>
        <v>-0.35532401713098288</v>
      </c>
      <c r="S851">
        <f t="shared" si="108"/>
        <v>0.72238591463660118</v>
      </c>
      <c r="T851">
        <f t="shared" si="109"/>
        <v>8.6861935283639592E-5</v>
      </c>
      <c r="U851">
        <f t="shared" si="110"/>
        <v>-1.3177434192717408E-2</v>
      </c>
    </row>
    <row r="852" spans="10:21" x14ac:dyDescent="0.35">
      <c r="J852">
        <f t="shared" si="111"/>
        <v>849</v>
      </c>
      <c r="K852">
        <f>demanda!D850</f>
        <v>4</v>
      </c>
      <c r="L852">
        <f>demanda!I850</f>
        <v>2</v>
      </c>
      <c r="M852">
        <v>3.8942745198728588</v>
      </c>
      <c r="N852">
        <f t="shared" si="104"/>
        <v>-1.8942745198728588</v>
      </c>
      <c r="O852">
        <v>2.4466175697261316E-3</v>
      </c>
      <c r="P852">
        <f t="shared" si="105"/>
        <v>-0.19086228253017132</v>
      </c>
      <c r="Q852">
        <f t="shared" si="106"/>
        <v>98.551608270054842</v>
      </c>
      <c r="R852">
        <f t="shared" si="107"/>
        <v>-0.19104821608300357</v>
      </c>
      <c r="S852">
        <f t="shared" si="108"/>
        <v>0.84850802764464628</v>
      </c>
      <c r="T852">
        <f t="shared" si="109"/>
        <v>4.4782056131641625E-5</v>
      </c>
      <c r="U852">
        <f t="shared" si="110"/>
        <v>-9.4614556750527434E-3</v>
      </c>
    </row>
    <row r="853" spans="10:21" x14ac:dyDescent="0.35">
      <c r="J853">
        <f t="shared" si="111"/>
        <v>850</v>
      </c>
      <c r="K853">
        <f>demanda!D851</f>
        <v>4</v>
      </c>
      <c r="L853">
        <f>demanda!I851</f>
        <v>1</v>
      </c>
      <c r="M853">
        <v>3.8942745198728588</v>
      </c>
      <c r="N853">
        <f t="shared" si="104"/>
        <v>-2.8942745198728588</v>
      </c>
      <c r="O853">
        <v>2.4466175697261316E-3</v>
      </c>
      <c r="P853">
        <f t="shared" si="105"/>
        <v>-0.29161973902754412</v>
      </c>
      <c r="Q853">
        <f t="shared" si="106"/>
        <v>98.549105510137124</v>
      </c>
      <c r="R853">
        <f t="shared" si="107"/>
        <v>-0.2919075347093899</v>
      </c>
      <c r="S853">
        <f t="shared" si="108"/>
        <v>0.77038887469672734</v>
      </c>
      <c r="T853">
        <f t="shared" si="109"/>
        <v>1.0454364483839124E-4</v>
      </c>
      <c r="U853">
        <f t="shared" si="110"/>
        <v>-1.4456404029791516E-2</v>
      </c>
    </row>
    <row r="854" spans="10:21" x14ac:dyDescent="0.35">
      <c r="J854">
        <f t="shared" si="111"/>
        <v>851</v>
      </c>
      <c r="K854">
        <f>demanda!D852</f>
        <v>1</v>
      </c>
      <c r="L854">
        <f>demanda!I852</f>
        <v>3</v>
      </c>
      <c r="M854">
        <v>11.786175589530247</v>
      </c>
      <c r="N854">
        <f t="shared" si="104"/>
        <v>-8.7861755895302469</v>
      </c>
      <c r="O854">
        <v>5.2058796926701797E-4</v>
      </c>
      <c r="P854">
        <f t="shared" si="105"/>
        <v>-0.88527270474037267</v>
      </c>
      <c r="Q854">
        <f t="shared" si="106"/>
        <v>98.513214102399758</v>
      </c>
      <c r="R854">
        <f t="shared" si="107"/>
        <v>-0.88545339538896362</v>
      </c>
      <c r="S854">
        <f t="shared" si="108"/>
        <v>0.37602308055069167</v>
      </c>
      <c r="T854">
        <f t="shared" si="109"/>
        <v>2.0420697614382047E-4</v>
      </c>
      <c r="U854">
        <f t="shared" si="110"/>
        <v>-2.0208116875988336E-2</v>
      </c>
    </row>
    <row r="855" spans="10:21" x14ac:dyDescent="0.35">
      <c r="J855">
        <f t="shared" si="111"/>
        <v>852</v>
      </c>
      <c r="K855">
        <f>demanda!D853</f>
        <v>0</v>
      </c>
      <c r="L855">
        <f>demanda!I853</f>
        <v>12</v>
      </c>
      <c r="M855">
        <v>14.416809279416043</v>
      </c>
      <c r="N855">
        <f t="shared" si="104"/>
        <v>-2.416809279416043</v>
      </c>
      <c r="O855">
        <v>7.4087557083441532E-4</v>
      </c>
      <c r="P855">
        <f t="shared" si="105"/>
        <v>-0.24351155583320885</v>
      </c>
      <c r="Q855">
        <f t="shared" si="106"/>
        <v>98.55043610055337</v>
      </c>
      <c r="R855">
        <f t="shared" si="107"/>
        <v>-0.24354209816225414</v>
      </c>
      <c r="S855">
        <f t="shared" si="108"/>
        <v>0.80761150818210881</v>
      </c>
      <c r="T855">
        <f t="shared" si="109"/>
        <v>2.199875915262289E-5</v>
      </c>
      <c r="U855">
        <f t="shared" si="110"/>
        <v>-6.6314365617133417E-3</v>
      </c>
    </row>
    <row r="856" spans="10:21" x14ac:dyDescent="0.35">
      <c r="J856">
        <f t="shared" si="111"/>
        <v>853</v>
      </c>
      <c r="K856">
        <f>demanda!D854</f>
        <v>3</v>
      </c>
      <c r="L856">
        <f>demanda!I854</f>
        <v>3</v>
      </c>
      <c r="M856">
        <v>6.5249082097586548</v>
      </c>
      <c r="N856">
        <f t="shared" si="104"/>
        <v>-3.5249082097586548</v>
      </c>
      <c r="O856">
        <v>1.3734589687128761E-3</v>
      </c>
      <c r="P856">
        <f t="shared" si="105"/>
        <v>-0.35516078560198994</v>
      </c>
      <c r="Q856">
        <f t="shared" si="106"/>
        <v>98.546996700749531</v>
      </c>
      <c r="R856">
        <f t="shared" si="107"/>
        <v>-0.35532401713098288</v>
      </c>
      <c r="S856">
        <f t="shared" si="108"/>
        <v>0.72238591463660118</v>
      </c>
      <c r="T856">
        <f t="shared" si="109"/>
        <v>8.6861935283639592E-5</v>
      </c>
      <c r="U856">
        <f t="shared" si="110"/>
        <v>-1.3177434192717408E-2</v>
      </c>
    </row>
    <row r="857" spans="10:21" x14ac:dyDescent="0.35">
      <c r="J857">
        <f t="shared" si="111"/>
        <v>854</v>
      </c>
      <c r="K857">
        <f>demanda!D855</f>
        <v>1</v>
      </c>
      <c r="L857">
        <f>demanda!I855</f>
        <v>8</v>
      </c>
      <c r="M857">
        <v>11.786175589530247</v>
      </c>
      <c r="N857">
        <f t="shared" si="104"/>
        <v>-3.7861755895302469</v>
      </c>
      <c r="O857">
        <v>5.2058796926701797E-4</v>
      </c>
      <c r="P857">
        <f t="shared" si="105"/>
        <v>-0.38148542225350868</v>
      </c>
      <c r="Q857">
        <f t="shared" si="106"/>
        <v>98.546005811479162</v>
      </c>
      <c r="R857">
        <f t="shared" si="107"/>
        <v>-0.38149979733331263</v>
      </c>
      <c r="S857">
        <f t="shared" si="108"/>
        <v>0.70287465676174632</v>
      </c>
      <c r="T857">
        <f t="shared" si="109"/>
        <v>3.7920348514645389E-5</v>
      </c>
      <c r="U857">
        <f t="shared" si="110"/>
        <v>-8.7067174092102829E-3</v>
      </c>
    </row>
    <row r="858" spans="10:21" x14ac:dyDescent="0.35">
      <c r="J858">
        <f t="shared" si="111"/>
        <v>855</v>
      </c>
      <c r="K858">
        <f>demanda!D856</f>
        <v>0</v>
      </c>
      <c r="L858">
        <f>demanda!I856</f>
        <v>8</v>
      </c>
      <c r="M858">
        <v>14.416809279416043</v>
      </c>
      <c r="N858">
        <f t="shared" si="104"/>
        <v>-6.416809279416043</v>
      </c>
      <c r="O858">
        <v>7.4087557083441532E-4</v>
      </c>
      <c r="P858">
        <f t="shared" si="105"/>
        <v>-0.64654138182270005</v>
      </c>
      <c r="Q858">
        <f t="shared" si="106"/>
        <v>98.531999879441045</v>
      </c>
      <c r="R858">
        <f t="shared" si="107"/>
        <v>-0.64668296559256133</v>
      </c>
      <c r="S858">
        <f t="shared" si="108"/>
        <v>0.51791448613837154</v>
      </c>
      <c r="T858">
        <f t="shared" si="109"/>
        <v>1.5507853448804487E-4</v>
      </c>
      <c r="U858">
        <f t="shared" si="110"/>
        <v>-1.7608606866032061E-2</v>
      </c>
    </row>
    <row r="859" spans="10:21" x14ac:dyDescent="0.35">
      <c r="J859">
        <f t="shared" si="111"/>
        <v>856</v>
      </c>
      <c r="K859">
        <f>demanda!D857</f>
        <v>0</v>
      </c>
      <c r="L859">
        <f>demanda!I857</f>
        <v>12</v>
      </c>
      <c r="M859">
        <v>14.416809279416043</v>
      </c>
      <c r="N859">
        <f t="shared" si="104"/>
        <v>-2.416809279416043</v>
      </c>
      <c r="O859">
        <v>7.4087557083441532E-4</v>
      </c>
      <c r="P859">
        <f t="shared" si="105"/>
        <v>-0.24351155583320885</v>
      </c>
      <c r="Q859">
        <f t="shared" si="106"/>
        <v>98.55043610055337</v>
      </c>
      <c r="R859">
        <f t="shared" si="107"/>
        <v>-0.24354209816225414</v>
      </c>
      <c r="S859">
        <f t="shared" si="108"/>
        <v>0.80761150818210881</v>
      </c>
      <c r="T859">
        <f t="shared" si="109"/>
        <v>2.199875915262289E-5</v>
      </c>
      <c r="U859">
        <f t="shared" si="110"/>
        <v>-6.6314365617133417E-3</v>
      </c>
    </row>
    <row r="860" spans="10:21" x14ac:dyDescent="0.35">
      <c r="J860">
        <f t="shared" si="111"/>
        <v>857</v>
      </c>
      <c r="K860">
        <f>demanda!D858</f>
        <v>1</v>
      </c>
      <c r="L860">
        <f>demanda!I858</f>
        <v>41</v>
      </c>
      <c r="M860">
        <v>11.786175589530247</v>
      </c>
      <c r="N860">
        <f t="shared" si="104"/>
        <v>29.213824410469755</v>
      </c>
      <c r="O860">
        <v>5.2058796926701797E-4</v>
      </c>
      <c r="P860">
        <f t="shared" si="105"/>
        <v>2.9435106421597941</v>
      </c>
      <c r="Q860">
        <f t="shared" si="106"/>
        <v>98.108284502592355</v>
      </c>
      <c r="R860">
        <f t="shared" si="107"/>
        <v>2.9501809027175052</v>
      </c>
      <c r="S860">
        <f t="shared" si="108"/>
        <v>3.2143373211958428E-3</v>
      </c>
      <c r="T860">
        <f t="shared" si="109"/>
        <v>2.2576033824169175E-3</v>
      </c>
      <c r="U860">
        <f t="shared" si="110"/>
        <v>6.7330026399904638E-2</v>
      </c>
    </row>
    <row r="861" spans="10:21" x14ac:dyDescent="0.35">
      <c r="J861">
        <f t="shared" si="111"/>
        <v>858</v>
      </c>
      <c r="K861">
        <f>demanda!D859</f>
        <v>2</v>
      </c>
      <c r="L861">
        <f>demanda!I859</f>
        <v>30</v>
      </c>
      <c r="M861">
        <v>9.1555418996444509</v>
      </c>
      <c r="N861">
        <f t="shared" si="104"/>
        <v>20.844458100355549</v>
      </c>
      <c r="O861">
        <v>7.3144910189317154E-4</v>
      </c>
      <c r="P861">
        <f t="shared" si="105"/>
        <v>2.1002345802578843</v>
      </c>
      <c r="Q861">
        <f t="shared" si="106"/>
        <v>98.326784287849648</v>
      </c>
      <c r="R861">
        <f t="shared" si="107"/>
        <v>2.1028755976116229</v>
      </c>
      <c r="S861">
        <f t="shared" si="108"/>
        <v>3.5606575772990721E-2</v>
      </c>
      <c r="T861">
        <f t="shared" si="109"/>
        <v>1.6155681625947427E-3</v>
      </c>
      <c r="U861">
        <f t="shared" si="110"/>
        <v>5.6893745683680504E-2</v>
      </c>
    </row>
    <row r="862" spans="10:21" x14ac:dyDescent="0.35">
      <c r="J862">
        <f t="shared" si="111"/>
        <v>859</v>
      </c>
      <c r="K862">
        <f>demanda!D860</f>
        <v>1</v>
      </c>
      <c r="L862">
        <f>demanda!I860</f>
        <v>24</v>
      </c>
      <c r="M862">
        <v>11.786175589530247</v>
      </c>
      <c r="N862">
        <f t="shared" si="104"/>
        <v>12.213824410469753</v>
      </c>
      <c r="O862">
        <v>5.2058796926701797E-4</v>
      </c>
      <c r="P862">
        <f t="shared" si="105"/>
        <v>1.2306338817044562</v>
      </c>
      <c r="Q862">
        <f t="shared" si="106"/>
        <v>98.475665553387771</v>
      </c>
      <c r="R862">
        <f t="shared" si="107"/>
        <v>1.2311197075839402</v>
      </c>
      <c r="S862">
        <f t="shared" si="108"/>
        <v>0.21842895613878141</v>
      </c>
      <c r="T862">
        <f t="shared" si="109"/>
        <v>3.9461552034181306E-4</v>
      </c>
      <c r="U862">
        <f t="shared" si="110"/>
        <v>2.8097030367431282E-2</v>
      </c>
    </row>
    <row r="863" spans="10:21" x14ac:dyDescent="0.35">
      <c r="J863">
        <f t="shared" si="111"/>
        <v>860</v>
      </c>
      <c r="K863">
        <f>demanda!D861</f>
        <v>0</v>
      </c>
      <c r="L863">
        <f>demanda!I861</f>
        <v>64</v>
      </c>
      <c r="M863">
        <v>14.416809279416043</v>
      </c>
      <c r="N863">
        <f t="shared" si="104"/>
        <v>49.583190720583957</v>
      </c>
      <c r="O863">
        <v>7.4087557083441532E-4</v>
      </c>
      <c r="P863">
        <f t="shared" si="105"/>
        <v>4.9958761820301767</v>
      </c>
      <c r="Q863">
        <f t="shared" si="106"/>
        <v>97.270733132868585</v>
      </c>
      <c r="R863">
        <f t="shared" si="107"/>
        <v>5.029262623477126</v>
      </c>
      <c r="S863">
        <f t="shared" si="108"/>
        <v>5.382368278869992E-7</v>
      </c>
      <c r="T863">
        <f t="shared" si="109"/>
        <v>9.2593897840226418E-3</v>
      </c>
      <c r="U863">
        <f t="shared" si="110"/>
        <v>0.13694238610675474</v>
      </c>
    </row>
    <row r="864" spans="10:21" x14ac:dyDescent="0.35">
      <c r="J864">
        <f t="shared" si="111"/>
        <v>861</v>
      </c>
      <c r="K864">
        <f>demanda!D862</f>
        <v>0</v>
      </c>
      <c r="L864">
        <f>demanda!I862</f>
        <v>27</v>
      </c>
      <c r="M864">
        <v>14.416809279416043</v>
      </c>
      <c r="N864">
        <f t="shared" si="104"/>
        <v>12.583190720583957</v>
      </c>
      <c r="O864">
        <v>7.4087557083441532E-4</v>
      </c>
      <c r="P864">
        <f t="shared" si="105"/>
        <v>1.2678502916273833</v>
      </c>
      <c r="Q864">
        <f t="shared" si="106"/>
        <v>98.470869476080594</v>
      </c>
      <c r="R864">
        <f t="shared" si="107"/>
        <v>1.2685214974265175</v>
      </c>
      <c r="S864">
        <f t="shared" si="108"/>
        <v>0.20476563644072704</v>
      </c>
      <c r="T864">
        <f t="shared" si="109"/>
        <v>5.9634143190086687E-4</v>
      </c>
      <c r="U864">
        <f t="shared" si="110"/>
        <v>3.454072171025311E-2</v>
      </c>
    </row>
    <row r="865" spans="10:21" x14ac:dyDescent="0.35">
      <c r="J865">
        <f t="shared" si="111"/>
        <v>862</v>
      </c>
      <c r="K865">
        <f>demanda!D863</f>
        <v>2</v>
      </c>
      <c r="L865">
        <f>demanda!I863</f>
        <v>26</v>
      </c>
      <c r="M865">
        <v>9.1555418996444509</v>
      </c>
      <c r="N865">
        <f t="shared" si="104"/>
        <v>16.844458100355549</v>
      </c>
      <c r="O865">
        <v>7.3144910189317154E-4</v>
      </c>
      <c r="P865">
        <f t="shared" si="105"/>
        <v>1.6972047542683932</v>
      </c>
      <c r="Q865">
        <f t="shared" si="106"/>
        <v>98.405442273050113</v>
      </c>
      <c r="R865">
        <f t="shared" si="107"/>
        <v>1.6986596686107598</v>
      </c>
      <c r="S865">
        <f t="shared" si="108"/>
        <v>8.9545424489914704E-2</v>
      </c>
      <c r="T865">
        <f t="shared" si="109"/>
        <v>1.0550138372177067E-3</v>
      </c>
      <c r="U865">
        <f t="shared" si="110"/>
        <v>4.595759791916823E-2</v>
      </c>
    </row>
    <row r="866" spans="10:21" x14ac:dyDescent="0.35">
      <c r="J866">
        <f t="shared" si="111"/>
        <v>863</v>
      </c>
      <c r="K866">
        <f>demanda!D864</f>
        <v>0</v>
      </c>
      <c r="L866">
        <f>demanda!I864</f>
        <v>9</v>
      </c>
      <c r="M866">
        <v>14.416809279416043</v>
      </c>
      <c r="N866">
        <f t="shared" si="104"/>
        <v>-5.416809279416043</v>
      </c>
      <c r="O866">
        <v>7.4087557083441532E-4</v>
      </c>
      <c r="P866">
        <f t="shared" si="105"/>
        <v>-0.54578392532532727</v>
      </c>
      <c r="Q866">
        <f t="shared" si="106"/>
        <v>98.538174223704843</v>
      </c>
      <c r="R866">
        <f t="shared" si="107"/>
        <v>-0.54588634131956315</v>
      </c>
      <c r="S866">
        <f t="shared" si="108"/>
        <v>0.58520751823074413</v>
      </c>
      <c r="T866">
        <f t="shared" si="109"/>
        <v>1.1050972928307278E-4</v>
      </c>
      <c r="U866">
        <f t="shared" si="110"/>
        <v>-1.4864003676090257E-2</v>
      </c>
    </row>
    <row r="867" spans="10:21" x14ac:dyDescent="0.35">
      <c r="J867">
        <f t="shared" si="111"/>
        <v>864</v>
      </c>
      <c r="K867">
        <f>demanda!D865</f>
        <v>0</v>
      </c>
      <c r="L867">
        <f>demanda!I865</f>
        <v>4</v>
      </c>
      <c r="M867">
        <v>14.416809279416043</v>
      </c>
      <c r="N867">
        <f t="shared" si="104"/>
        <v>-10.416809279416043</v>
      </c>
      <c r="O867">
        <v>7.4087557083441532E-4</v>
      </c>
      <c r="P867">
        <f t="shared" si="105"/>
        <v>-1.0495712078121913</v>
      </c>
      <c r="Q867">
        <f t="shared" si="106"/>
        <v>98.49686724248096</v>
      </c>
      <c r="R867">
        <f t="shared" si="107"/>
        <v>-1.049988258586362</v>
      </c>
      <c r="S867">
        <f t="shared" si="108"/>
        <v>0.29385572056513598</v>
      </c>
      <c r="T867">
        <f t="shared" si="109"/>
        <v>4.0867949778204384E-4</v>
      </c>
      <c r="U867">
        <f t="shared" si="110"/>
        <v>-2.8590254333443563E-2</v>
      </c>
    </row>
    <row r="868" spans="10:21" x14ac:dyDescent="0.35">
      <c r="J868">
        <f t="shared" si="111"/>
        <v>865</v>
      </c>
      <c r="K868">
        <f>demanda!D866</f>
        <v>0</v>
      </c>
      <c r="L868">
        <f>demanda!I866</f>
        <v>42</v>
      </c>
      <c r="M868">
        <v>14.416809279416043</v>
      </c>
      <c r="N868">
        <f t="shared" si="104"/>
        <v>27.583190720583957</v>
      </c>
      <c r="O868">
        <v>7.4087557083441532E-4</v>
      </c>
      <c r="P868">
        <f t="shared" si="105"/>
        <v>2.7792121390879752</v>
      </c>
      <c r="Q868">
        <f t="shared" si="106"/>
        <v>98.156509503748879</v>
      </c>
      <c r="R868">
        <f t="shared" si="107"/>
        <v>2.7851326715485096</v>
      </c>
      <c r="S868">
        <f t="shared" si="108"/>
        <v>5.403136897864781E-3</v>
      </c>
      <c r="T868">
        <f t="shared" si="109"/>
        <v>2.8655133103165998E-3</v>
      </c>
      <c r="U868">
        <f t="shared" si="110"/>
        <v>7.5836706535328952E-2</v>
      </c>
    </row>
    <row r="869" spans="10:21" x14ac:dyDescent="0.35">
      <c r="J869">
        <f t="shared" si="111"/>
        <v>866</v>
      </c>
      <c r="K869">
        <f>demanda!D867</f>
        <v>2</v>
      </c>
      <c r="L869">
        <f>demanda!I867</f>
        <v>2</v>
      </c>
      <c r="M869">
        <v>9.1555418996444509</v>
      </c>
      <c r="N869">
        <f t="shared" si="104"/>
        <v>-7.1555418996444509</v>
      </c>
      <c r="O869">
        <v>7.3144910189317154E-4</v>
      </c>
      <c r="P869">
        <f t="shared" si="105"/>
        <v>-0.72097420166855408</v>
      </c>
      <c r="Q869">
        <f t="shared" si="106"/>
        <v>98.526768759022602</v>
      </c>
      <c r="R869">
        <f t="shared" si="107"/>
        <v>-0.72114782718324122</v>
      </c>
      <c r="S869">
        <f t="shared" si="108"/>
        <v>0.47090641241117204</v>
      </c>
      <c r="T869">
        <f t="shared" si="109"/>
        <v>1.9038342084795563E-4</v>
      </c>
      <c r="U869">
        <f t="shared" si="110"/>
        <v>-1.9510807546913981E-2</v>
      </c>
    </row>
    <row r="870" spans="10:21" x14ac:dyDescent="0.35">
      <c r="J870">
        <f t="shared" si="111"/>
        <v>867</v>
      </c>
      <c r="K870">
        <f>demanda!D868</f>
        <v>6</v>
      </c>
      <c r="L870">
        <f>demanda!I868</f>
        <v>2</v>
      </c>
      <c r="M870">
        <v>-1.3669928598987333</v>
      </c>
      <c r="N870">
        <f t="shared" si="104"/>
        <v>3.3669928598987333</v>
      </c>
      <c r="O870">
        <v>5.8863809743332956E-3</v>
      </c>
      <c r="P870">
        <f t="shared" si="105"/>
        <v>0.33924963660821145</v>
      </c>
      <c r="Q870">
        <f t="shared" si="106"/>
        <v>98.547538045230482</v>
      </c>
      <c r="R870">
        <f t="shared" si="107"/>
        <v>0.34017413892280718</v>
      </c>
      <c r="S870">
        <f t="shared" si="108"/>
        <v>0.73376262303153728</v>
      </c>
      <c r="T870">
        <f t="shared" si="109"/>
        <v>3.4275603188736416E-4</v>
      </c>
      <c r="U870">
        <f t="shared" si="110"/>
        <v>2.617625216767119E-2</v>
      </c>
    </row>
    <row r="871" spans="10:21" x14ac:dyDescent="0.35">
      <c r="J871">
        <f t="shared" si="111"/>
        <v>868</v>
      </c>
      <c r="K871">
        <f>demanda!D869</f>
        <v>6</v>
      </c>
      <c r="L871">
        <f>demanda!I869</f>
        <v>4</v>
      </c>
      <c r="M871">
        <v>-1.3669928598987333</v>
      </c>
      <c r="N871">
        <f t="shared" si="104"/>
        <v>5.3669928598987333</v>
      </c>
      <c r="O871">
        <v>5.8863809743332956E-3</v>
      </c>
      <c r="P871">
        <f t="shared" si="105"/>
        <v>0.54076454960295706</v>
      </c>
      <c r="Q871">
        <f t="shared" si="106"/>
        <v>98.538376729581714</v>
      </c>
      <c r="R871">
        <f t="shared" si="107"/>
        <v>0.54226341392126276</v>
      </c>
      <c r="S871">
        <f t="shared" si="108"/>
        <v>0.58770001746334977</v>
      </c>
      <c r="T871">
        <f t="shared" si="109"/>
        <v>8.7088889053064326E-4</v>
      </c>
      <c r="U871">
        <f t="shared" si="110"/>
        <v>4.172693406104646E-2</v>
      </c>
    </row>
    <row r="872" spans="10:21" x14ac:dyDescent="0.35">
      <c r="J872">
        <f t="shared" si="111"/>
        <v>869</v>
      </c>
      <c r="K872">
        <f>demanda!D870</f>
        <v>0</v>
      </c>
      <c r="L872">
        <f>demanda!I870</f>
        <v>10</v>
      </c>
      <c r="M872">
        <v>14.416809279416043</v>
      </c>
      <c r="N872">
        <f t="shared" si="104"/>
        <v>-4.416809279416043</v>
      </c>
      <c r="O872">
        <v>7.4087557083441532E-4</v>
      </c>
      <c r="P872">
        <f t="shared" si="105"/>
        <v>-0.44502646882795449</v>
      </c>
      <c r="Q872">
        <f t="shared" si="106"/>
        <v>98.543305041978172</v>
      </c>
      <c r="R872">
        <f t="shared" si="107"/>
        <v>-0.44509838991165818</v>
      </c>
      <c r="S872">
        <f t="shared" si="108"/>
        <v>0.65629885256814913</v>
      </c>
      <c r="T872">
        <f t="shared" si="109"/>
        <v>7.3473498325511761E-5</v>
      </c>
      <c r="U872">
        <f t="shared" si="110"/>
        <v>-1.2119636640616644E-2</v>
      </c>
    </row>
    <row r="873" spans="10:21" x14ac:dyDescent="0.35">
      <c r="J873">
        <f t="shared" si="111"/>
        <v>870</v>
      </c>
      <c r="K873">
        <f>demanda!D871</f>
        <v>6</v>
      </c>
      <c r="L873">
        <f>demanda!I871</f>
        <v>2</v>
      </c>
      <c r="M873">
        <v>-1.3669928598987333</v>
      </c>
      <c r="N873">
        <f t="shared" si="104"/>
        <v>3.3669928598987333</v>
      </c>
      <c r="O873">
        <v>5.8863809743332956E-3</v>
      </c>
      <c r="P873">
        <f t="shared" si="105"/>
        <v>0.33924963660821145</v>
      </c>
      <c r="Q873">
        <f t="shared" si="106"/>
        <v>98.547538045230482</v>
      </c>
      <c r="R873">
        <f t="shared" si="107"/>
        <v>0.34017413892280718</v>
      </c>
      <c r="S873">
        <f t="shared" si="108"/>
        <v>0.73376262303153728</v>
      </c>
      <c r="T873">
        <f t="shared" si="109"/>
        <v>3.4275603188736416E-4</v>
      </c>
      <c r="U873">
        <f t="shared" si="110"/>
        <v>2.617625216767119E-2</v>
      </c>
    </row>
    <row r="874" spans="10:21" x14ac:dyDescent="0.35">
      <c r="J874">
        <f t="shared" si="111"/>
        <v>871</v>
      </c>
      <c r="K874">
        <f>demanda!D872</f>
        <v>0</v>
      </c>
      <c r="L874">
        <f>demanda!I872</f>
        <v>3</v>
      </c>
      <c r="M874">
        <v>14.416809279416043</v>
      </c>
      <c r="N874">
        <f t="shared" si="104"/>
        <v>-11.416809279416043</v>
      </c>
      <c r="O874">
        <v>7.4087557083441532E-4</v>
      </c>
      <c r="P874">
        <f t="shared" si="105"/>
        <v>-1.150328664309564</v>
      </c>
      <c r="Q874">
        <f t="shared" si="106"/>
        <v>98.485475268264722</v>
      </c>
      <c r="R874">
        <f t="shared" si="107"/>
        <v>-1.1508523061099405</v>
      </c>
      <c r="S874">
        <f t="shared" si="108"/>
        <v>0.24993638008158123</v>
      </c>
      <c r="T874">
        <f t="shared" si="109"/>
        <v>4.9091117422407117E-4</v>
      </c>
      <c r="U874">
        <f t="shared" si="110"/>
        <v>-3.1336693399040466E-2</v>
      </c>
    </row>
    <row r="875" spans="10:21" x14ac:dyDescent="0.35">
      <c r="J875">
        <f t="shared" si="111"/>
        <v>872</v>
      </c>
      <c r="K875">
        <f>demanda!D873</f>
        <v>2</v>
      </c>
      <c r="L875">
        <f>demanda!I873</f>
        <v>7</v>
      </c>
      <c r="M875">
        <v>9.1555418996444509</v>
      </c>
      <c r="N875">
        <f t="shared" si="104"/>
        <v>-2.1555418996444509</v>
      </c>
      <c r="O875">
        <v>7.3144910189317154E-4</v>
      </c>
      <c r="P875">
        <f t="shared" si="105"/>
        <v>-0.21718691918169009</v>
      </c>
      <c r="Q875">
        <f t="shared" si="106"/>
        <v>98.551059424737957</v>
      </c>
      <c r="R875">
        <f t="shared" si="107"/>
        <v>-0.21721244829655789</v>
      </c>
      <c r="S875">
        <f t="shared" si="108"/>
        <v>0.82806587463373482</v>
      </c>
      <c r="T875">
        <f t="shared" si="109"/>
        <v>1.7276549392569864E-5</v>
      </c>
      <c r="U875">
        <f t="shared" si="110"/>
        <v>-5.8767288976817314E-3</v>
      </c>
    </row>
    <row r="876" spans="10:21" x14ac:dyDescent="0.35">
      <c r="J876">
        <f t="shared" si="111"/>
        <v>873</v>
      </c>
      <c r="K876">
        <f>demanda!D874</f>
        <v>0</v>
      </c>
      <c r="L876">
        <f>demanda!I874</f>
        <v>16</v>
      </c>
      <c r="M876">
        <v>14.416809279416043</v>
      </c>
      <c r="N876">
        <f t="shared" si="104"/>
        <v>1.583190720583957</v>
      </c>
      <c r="O876">
        <v>7.4087557083441532E-4</v>
      </c>
      <c r="P876">
        <f t="shared" si="105"/>
        <v>0.15951827015628237</v>
      </c>
      <c r="Q876">
        <f t="shared" si="106"/>
        <v>98.552175905817947</v>
      </c>
      <c r="R876">
        <f t="shared" si="107"/>
        <v>0.1595368694422851</v>
      </c>
      <c r="S876">
        <f t="shared" si="108"/>
        <v>0.87326270170878273</v>
      </c>
      <c r="T876">
        <f t="shared" si="109"/>
        <v>9.440171775777902E-6</v>
      </c>
      <c r="U876">
        <f t="shared" si="110"/>
        <v>4.3440482649370034E-3</v>
      </c>
    </row>
    <row r="877" spans="10:21" x14ac:dyDescent="0.35">
      <c r="J877">
        <f t="shared" si="111"/>
        <v>874</v>
      </c>
      <c r="K877">
        <f>demanda!D875</f>
        <v>0</v>
      </c>
      <c r="L877">
        <f>demanda!I875</f>
        <v>8</v>
      </c>
      <c r="M877">
        <v>14.416809279416043</v>
      </c>
      <c r="N877">
        <f t="shared" si="104"/>
        <v>-6.416809279416043</v>
      </c>
      <c r="O877">
        <v>7.4087557083441532E-4</v>
      </c>
      <c r="P877">
        <f t="shared" si="105"/>
        <v>-0.64654138182270005</v>
      </c>
      <c r="Q877">
        <f t="shared" si="106"/>
        <v>98.531999879441045</v>
      </c>
      <c r="R877">
        <f t="shared" si="107"/>
        <v>-0.64668296559256133</v>
      </c>
      <c r="S877">
        <f t="shared" si="108"/>
        <v>0.51791448613837154</v>
      </c>
      <c r="T877">
        <f t="shared" si="109"/>
        <v>1.5507853448804487E-4</v>
      </c>
      <c r="U877">
        <f t="shared" si="110"/>
        <v>-1.7608606866032061E-2</v>
      </c>
    </row>
    <row r="878" spans="10:21" x14ac:dyDescent="0.35">
      <c r="J878">
        <f t="shared" si="111"/>
        <v>875</v>
      </c>
      <c r="K878">
        <f>demanda!D876</f>
        <v>0</v>
      </c>
      <c r="L878">
        <f>demanda!I876</f>
        <v>14</v>
      </c>
      <c r="M878">
        <v>14.416809279416043</v>
      </c>
      <c r="N878">
        <f t="shared" si="104"/>
        <v>-0.41680927941604295</v>
      </c>
      <c r="O878">
        <v>7.4087557083441532E-4</v>
      </c>
      <c r="P878">
        <f t="shared" si="105"/>
        <v>-4.1996642838463258E-2</v>
      </c>
      <c r="Q878">
        <f t="shared" si="106"/>
        <v>98.553393055166637</v>
      </c>
      <c r="R878">
        <f t="shared" si="107"/>
        <v>-4.2001280140228352E-2</v>
      </c>
      <c r="S878">
        <f t="shared" si="108"/>
        <v>0.96650204701357412</v>
      </c>
      <c r="T878">
        <f t="shared" si="109"/>
        <v>6.5431696937827154E-7</v>
      </c>
      <c r="U878">
        <f t="shared" si="110"/>
        <v>-1.1436578187608104E-3</v>
      </c>
    </row>
    <row r="879" spans="10:21" x14ac:dyDescent="0.35">
      <c r="J879">
        <f t="shared" si="111"/>
        <v>876</v>
      </c>
      <c r="K879">
        <f>demanda!D877</f>
        <v>0</v>
      </c>
      <c r="L879">
        <f>demanda!I877</f>
        <v>18</v>
      </c>
      <c r="M879">
        <v>14.416809279416043</v>
      </c>
      <c r="N879">
        <f t="shared" si="104"/>
        <v>3.583190720583957</v>
      </c>
      <c r="O879">
        <v>7.4087557083441532E-4</v>
      </c>
      <c r="P879">
        <f t="shared" si="105"/>
        <v>0.36103318315102795</v>
      </c>
      <c r="Q879">
        <f t="shared" si="106"/>
        <v>98.546784652507341</v>
      </c>
      <c r="R879">
        <f t="shared" si="107"/>
        <v>0.3610851550254302</v>
      </c>
      <c r="S879">
        <f t="shared" si="108"/>
        <v>0.7180755365508017</v>
      </c>
      <c r="T879">
        <f t="shared" si="109"/>
        <v>4.8356323571821784E-5</v>
      </c>
      <c r="U879">
        <f t="shared" si="110"/>
        <v>9.8320303429934326E-3</v>
      </c>
    </row>
    <row r="880" spans="10:21" x14ac:dyDescent="0.35">
      <c r="J880">
        <f t="shared" si="111"/>
        <v>877</v>
      </c>
      <c r="K880">
        <f>demanda!D878</f>
        <v>0</v>
      </c>
      <c r="L880">
        <f>demanda!I878</f>
        <v>4</v>
      </c>
      <c r="M880">
        <v>14.416809279416043</v>
      </c>
      <c r="N880">
        <f t="shared" si="104"/>
        <v>-10.416809279416043</v>
      </c>
      <c r="O880">
        <v>7.4087557083441532E-4</v>
      </c>
      <c r="P880">
        <f t="shared" si="105"/>
        <v>-1.0495712078121913</v>
      </c>
      <c r="Q880">
        <f t="shared" si="106"/>
        <v>98.49686724248096</v>
      </c>
      <c r="R880">
        <f t="shared" si="107"/>
        <v>-1.049988258586362</v>
      </c>
      <c r="S880">
        <f t="shared" si="108"/>
        <v>0.29385572056513598</v>
      </c>
      <c r="T880">
        <f t="shared" si="109"/>
        <v>4.0867949778204384E-4</v>
      </c>
      <c r="U880">
        <f t="shared" si="110"/>
        <v>-2.8590254333443563E-2</v>
      </c>
    </row>
    <row r="881" spans="10:21" x14ac:dyDescent="0.35">
      <c r="J881">
        <f t="shared" si="111"/>
        <v>878</v>
      </c>
      <c r="K881">
        <f>demanda!D879</f>
        <v>4</v>
      </c>
      <c r="L881">
        <f>demanda!I879</f>
        <v>3</v>
      </c>
      <c r="M881">
        <v>3.8942745198728588</v>
      </c>
      <c r="N881">
        <f t="shared" si="104"/>
        <v>-0.89427451987285878</v>
      </c>
      <c r="O881">
        <v>2.4466175697261316E-3</v>
      </c>
      <c r="P881">
        <f t="shared" si="105"/>
        <v>-9.0104826032798527E-2</v>
      </c>
      <c r="Q881">
        <f t="shared" si="106"/>
        <v>98.553065719630368</v>
      </c>
      <c r="R881">
        <f t="shared" si="107"/>
        <v>-9.0191937130002245E-2</v>
      </c>
      <c r="S881">
        <f t="shared" si="108"/>
        <v>0.92814410376796586</v>
      </c>
      <c r="T881">
        <f t="shared" si="109"/>
        <v>9.9806748742546123E-6</v>
      </c>
      <c r="U881">
        <f t="shared" si="110"/>
        <v>-4.4666578568412878E-3</v>
      </c>
    </row>
    <row r="882" spans="10:21" x14ac:dyDescent="0.35">
      <c r="J882">
        <f t="shared" si="111"/>
        <v>879</v>
      </c>
      <c r="K882">
        <f>demanda!D880</f>
        <v>1</v>
      </c>
      <c r="L882">
        <f>demanda!I880</f>
        <v>5</v>
      </c>
      <c r="M882">
        <v>11.786175589530247</v>
      </c>
      <c r="N882">
        <f t="shared" si="104"/>
        <v>-6.7861755895302469</v>
      </c>
      <c r="O882">
        <v>5.2058796926701797E-4</v>
      </c>
      <c r="P882">
        <f t="shared" si="105"/>
        <v>-0.68375779174562712</v>
      </c>
      <c r="Q882">
        <f t="shared" si="106"/>
        <v>98.529460674016264</v>
      </c>
      <c r="R882">
        <f t="shared" si="107"/>
        <v>-0.68384096531208116</v>
      </c>
      <c r="S882">
        <f t="shared" si="108"/>
        <v>0.49415815943295716</v>
      </c>
      <c r="T882">
        <f t="shared" si="109"/>
        <v>1.2182067544499816E-4</v>
      </c>
      <c r="U882">
        <f t="shared" si="110"/>
        <v>-1.560684980551091E-2</v>
      </c>
    </row>
    <row r="883" spans="10:21" x14ac:dyDescent="0.35">
      <c r="J883">
        <f t="shared" si="111"/>
        <v>880</v>
      </c>
      <c r="K883">
        <f>demanda!D881</f>
        <v>0</v>
      </c>
      <c r="L883">
        <f>demanda!I881</f>
        <v>15</v>
      </c>
      <c r="M883">
        <v>14.416809279416043</v>
      </c>
      <c r="N883">
        <f t="shared" si="104"/>
        <v>0.58319072058395705</v>
      </c>
      <c r="O883">
        <v>7.4087557083441532E-4</v>
      </c>
      <c r="P883">
        <f t="shared" si="105"/>
        <v>5.8760813658909554E-2</v>
      </c>
      <c r="Q883">
        <f t="shared" si="106"/>
        <v>98.553306243487526</v>
      </c>
      <c r="R883">
        <f t="shared" si="107"/>
        <v>5.8767327956256402E-2</v>
      </c>
      <c r="S883">
        <f t="shared" si="108"/>
        <v>0.95314355069247325</v>
      </c>
      <c r="T883">
        <f t="shared" si="109"/>
        <v>1.2809572488725558E-6</v>
      </c>
      <c r="U883">
        <f t="shared" si="110"/>
        <v>1.6001825154010173E-3</v>
      </c>
    </row>
    <row r="884" spans="10:21" x14ac:dyDescent="0.35">
      <c r="J884">
        <f t="shared" si="111"/>
        <v>881</v>
      </c>
      <c r="K884">
        <f>demanda!D882</f>
        <v>2</v>
      </c>
      <c r="L884">
        <f>demanda!I882</f>
        <v>3</v>
      </c>
      <c r="M884">
        <v>9.1555418996444509</v>
      </c>
      <c r="N884">
        <f t="shared" si="104"/>
        <v>-6.1555418996444509</v>
      </c>
      <c r="O884">
        <v>7.3144910189317154E-4</v>
      </c>
      <c r="P884">
        <f t="shared" si="105"/>
        <v>-0.62021674517118131</v>
      </c>
      <c r="Q884">
        <f t="shared" si="106"/>
        <v>98.533713924458709</v>
      </c>
      <c r="R884">
        <f t="shared" si="107"/>
        <v>-0.62034424251421916</v>
      </c>
      <c r="S884">
        <f t="shared" si="108"/>
        <v>0.53510483257501296</v>
      </c>
      <c r="T884">
        <f t="shared" si="109"/>
        <v>1.4088885884323287E-4</v>
      </c>
      <c r="U884">
        <f t="shared" si="110"/>
        <v>-1.6783545165498539E-2</v>
      </c>
    </row>
    <row r="885" spans="10:21" x14ac:dyDescent="0.35">
      <c r="J885">
        <f t="shared" si="111"/>
        <v>882</v>
      </c>
      <c r="K885">
        <f>demanda!D883</f>
        <v>1</v>
      </c>
      <c r="L885">
        <f>demanda!I883</f>
        <v>5</v>
      </c>
      <c r="M885">
        <v>11.786175589530247</v>
      </c>
      <c r="N885">
        <f t="shared" si="104"/>
        <v>-6.7861755895302469</v>
      </c>
      <c r="O885">
        <v>5.2058796926701797E-4</v>
      </c>
      <c r="P885">
        <f t="shared" si="105"/>
        <v>-0.68375779174562712</v>
      </c>
      <c r="Q885">
        <f t="shared" si="106"/>
        <v>98.529460674016264</v>
      </c>
      <c r="R885">
        <f t="shared" si="107"/>
        <v>-0.68384096531208116</v>
      </c>
      <c r="S885">
        <f t="shared" si="108"/>
        <v>0.49415815943295716</v>
      </c>
      <c r="T885">
        <f t="shared" si="109"/>
        <v>1.2182067544499816E-4</v>
      </c>
      <c r="U885">
        <f t="shared" si="110"/>
        <v>-1.560684980551091E-2</v>
      </c>
    </row>
    <row r="886" spans="10:21" x14ac:dyDescent="0.35">
      <c r="J886">
        <f t="shared" si="111"/>
        <v>883</v>
      </c>
      <c r="K886">
        <f>demanda!D884</f>
        <v>0</v>
      </c>
      <c r="L886">
        <f>demanda!I884</f>
        <v>3</v>
      </c>
      <c r="M886">
        <v>14.416809279416043</v>
      </c>
      <c r="N886">
        <f t="shared" si="104"/>
        <v>-11.416809279416043</v>
      </c>
      <c r="O886">
        <v>7.4087557083441532E-4</v>
      </c>
      <c r="P886">
        <f t="shared" si="105"/>
        <v>-1.150328664309564</v>
      </c>
      <c r="Q886">
        <f t="shared" si="106"/>
        <v>98.485475268264722</v>
      </c>
      <c r="R886">
        <f t="shared" si="107"/>
        <v>-1.1508523061099405</v>
      </c>
      <c r="S886">
        <f t="shared" si="108"/>
        <v>0.24993638008158123</v>
      </c>
      <c r="T886">
        <f t="shared" si="109"/>
        <v>4.9091117422407117E-4</v>
      </c>
      <c r="U886">
        <f t="shared" si="110"/>
        <v>-3.1336693399040466E-2</v>
      </c>
    </row>
    <row r="887" spans="10:21" x14ac:dyDescent="0.35">
      <c r="J887">
        <f t="shared" si="111"/>
        <v>884</v>
      </c>
      <c r="K887">
        <f>demanda!D885</f>
        <v>0</v>
      </c>
      <c r="L887">
        <f>demanda!I885</f>
        <v>13</v>
      </c>
      <c r="M887">
        <v>14.416809279416043</v>
      </c>
      <c r="N887">
        <f t="shared" si="104"/>
        <v>-1.416809279416043</v>
      </c>
      <c r="O887">
        <v>7.4087557083441532E-4</v>
      </c>
      <c r="P887">
        <f t="shared" si="105"/>
        <v>-0.14275409933583605</v>
      </c>
      <c r="Q887">
        <f t="shared" si="106"/>
        <v>98.552436340855238</v>
      </c>
      <c r="R887">
        <f t="shared" si="107"/>
        <v>-0.14277055533334676</v>
      </c>
      <c r="S887">
        <f t="shared" si="108"/>
        <v>0.88648638054980111</v>
      </c>
      <c r="T887">
        <f t="shared" si="109"/>
        <v>7.5602509372950483E-6</v>
      </c>
      <c r="U887">
        <f t="shared" si="110"/>
        <v>-3.8875163173756836E-3</v>
      </c>
    </row>
    <row r="888" spans="10:21" x14ac:dyDescent="0.35">
      <c r="J888">
        <f t="shared" si="111"/>
        <v>885</v>
      </c>
      <c r="K888">
        <f>demanda!D886</f>
        <v>3</v>
      </c>
      <c r="L888">
        <f>demanda!I886</f>
        <v>5</v>
      </c>
      <c r="M888">
        <v>6.5249082097586548</v>
      </c>
      <c r="N888">
        <f t="shared" si="104"/>
        <v>-1.5249082097586548</v>
      </c>
      <c r="O888">
        <v>1.3734589687128761E-3</v>
      </c>
      <c r="P888">
        <f t="shared" si="105"/>
        <v>-0.1536458726072443</v>
      </c>
      <c r="Q888">
        <f t="shared" si="106"/>
        <v>98.552269653485908</v>
      </c>
      <c r="R888">
        <f t="shared" si="107"/>
        <v>-0.15371237580313085</v>
      </c>
      <c r="S888">
        <f t="shared" si="108"/>
        <v>0.8778526883286133</v>
      </c>
      <c r="T888">
        <f t="shared" si="109"/>
        <v>1.625628414965998E-5</v>
      </c>
      <c r="U888">
        <f t="shared" si="110"/>
        <v>-5.7005285854497502E-3</v>
      </c>
    </row>
    <row r="889" spans="10:21" x14ac:dyDescent="0.35">
      <c r="J889">
        <f t="shared" si="111"/>
        <v>886</v>
      </c>
      <c r="K889">
        <f>demanda!D887</f>
        <v>0</v>
      </c>
      <c r="L889">
        <f>demanda!I887</f>
        <v>6</v>
      </c>
      <c r="M889">
        <v>14.416809279416043</v>
      </c>
      <c r="N889">
        <f t="shared" si="104"/>
        <v>-8.416809279416043</v>
      </c>
      <c r="O889">
        <v>7.4087557083441532E-4</v>
      </c>
      <c r="P889">
        <f t="shared" si="105"/>
        <v>-0.84805629481744571</v>
      </c>
      <c r="Q889">
        <f t="shared" si="106"/>
        <v>98.51652061294196</v>
      </c>
      <c r="R889">
        <f t="shared" si="107"/>
        <v>-0.8483086443975183</v>
      </c>
      <c r="S889">
        <f t="shared" si="108"/>
        <v>0.39637190285902191</v>
      </c>
      <c r="T889">
        <f t="shared" si="109"/>
        <v>2.6681386764022222E-4</v>
      </c>
      <c r="U889">
        <f t="shared" si="110"/>
        <v>-2.3098696293268058E-2</v>
      </c>
    </row>
    <row r="890" spans="10:21" x14ac:dyDescent="0.35">
      <c r="J890">
        <f t="shared" si="111"/>
        <v>887</v>
      </c>
      <c r="K890">
        <f>demanda!D888</f>
        <v>1</v>
      </c>
      <c r="L890">
        <f>demanda!I888</f>
        <v>15</v>
      </c>
      <c r="M890">
        <v>11.786175589530247</v>
      </c>
      <c r="N890">
        <f t="shared" si="104"/>
        <v>3.2138244104697531</v>
      </c>
      <c r="O890">
        <v>5.2058796926701797E-4</v>
      </c>
      <c r="P890">
        <f t="shared" si="105"/>
        <v>0.32381677322810093</v>
      </c>
      <c r="Q890">
        <f t="shared" si="106"/>
        <v>98.548095772403954</v>
      </c>
      <c r="R890">
        <f t="shared" si="107"/>
        <v>0.3238255414227269</v>
      </c>
      <c r="S890">
        <f t="shared" si="108"/>
        <v>0.74610540567370975</v>
      </c>
      <c r="T890">
        <f t="shared" si="109"/>
        <v>2.7322164893932259E-5</v>
      </c>
      <c r="U890">
        <f t="shared" si="110"/>
        <v>7.390456033686617E-3</v>
      </c>
    </row>
    <row r="891" spans="10:21" x14ac:dyDescent="0.35">
      <c r="J891">
        <f t="shared" si="111"/>
        <v>888</v>
      </c>
      <c r="K891">
        <f>demanda!D889</f>
        <v>2</v>
      </c>
      <c r="L891">
        <f>demanda!I889</f>
        <v>13</v>
      </c>
      <c r="M891">
        <v>9.1555418996444509</v>
      </c>
      <c r="N891">
        <f t="shared" si="104"/>
        <v>3.8444581003555491</v>
      </c>
      <c r="O891">
        <v>7.3144910189317154E-4</v>
      </c>
      <c r="P891">
        <f t="shared" si="105"/>
        <v>0.38735781980254674</v>
      </c>
      <c r="Q891">
        <f t="shared" si="106"/>
        <v>98.545772190761269</v>
      </c>
      <c r="R891">
        <f t="shared" si="107"/>
        <v>0.3874137440140889</v>
      </c>
      <c r="S891">
        <f t="shared" si="108"/>
        <v>0.69849289283451077</v>
      </c>
      <c r="T891">
        <f t="shared" si="109"/>
        <v>5.4955900921259929E-5</v>
      </c>
      <c r="U891">
        <f t="shared" si="110"/>
        <v>1.0481561082992258E-2</v>
      </c>
    </row>
    <row r="892" spans="10:21" x14ac:dyDescent="0.35">
      <c r="J892">
        <f t="shared" si="111"/>
        <v>889</v>
      </c>
      <c r="K892">
        <f>demanda!D890</f>
        <v>0</v>
      </c>
      <c r="L892">
        <f>demanda!I890</f>
        <v>15</v>
      </c>
      <c r="M892">
        <v>14.416809279416043</v>
      </c>
      <c r="N892">
        <f t="shared" si="104"/>
        <v>0.58319072058395705</v>
      </c>
      <c r="O892">
        <v>7.4087557083441532E-4</v>
      </c>
      <c r="P892">
        <f t="shared" si="105"/>
        <v>5.8760813658909554E-2</v>
      </c>
      <c r="Q892">
        <f t="shared" si="106"/>
        <v>98.553306243487526</v>
      </c>
      <c r="R892">
        <f t="shared" si="107"/>
        <v>5.8767327956256402E-2</v>
      </c>
      <c r="S892">
        <f t="shared" si="108"/>
        <v>0.95314355069247325</v>
      </c>
      <c r="T892">
        <f t="shared" si="109"/>
        <v>1.2809572488725558E-6</v>
      </c>
      <c r="U892">
        <f t="shared" si="110"/>
        <v>1.6001825154010173E-3</v>
      </c>
    </row>
    <row r="893" spans="10:21" x14ac:dyDescent="0.35">
      <c r="J893">
        <f t="shared" si="111"/>
        <v>890</v>
      </c>
      <c r="K893">
        <f>demanda!D891</f>
        <v>0</v>
      </c>
      <c r="L893">
        <f>demanda!I891</f>
        <v>15</v>
      </c>
      <c r="M893">
        <v>14.416809279416043</v>
      </c>
      <c r="N893">
        <f t="shared" si="104"/>
        <v>0.58319072058395705</v>
      </c>
      <c r="O893">
        <v>7.4087557083441532E-4</v>
      </c>
      <c r="P893">
        <f t="shared" si="105"/>
        <v>5.8760813658909554E-2</v>
      </c>
      <c r="Q893">
        <f t="shared" si="106"/>
        <v>98.553306243487526</v>
      </c>
      <c r="R893">
        <f t="shared" si="107"/>
        <v>5.8767327956256402E-2</v>
      </c>
      <c r="S893">
        <f t="shared" si="108"/>
        <v>0.95314355069247325</v>
      </c>
      <c r="T893">
        <f t="shared" si="109"/>
        <v>1.2809572488725558E-6</v>
      </c>
      <c r="U893">
        <f t="shared" si="110"/>
        <v>1.6001825154010173E-3</v>
      </c>
    </row>
    <row r="894" spans="10:21" x14ac:dyDescent="0.35">
      <c r="J894">
        <f t="shared" si="111"/>
        <v>891</v>
      </c>
      <c r="K894">
        <f>demanda!D892</f>
        <v>0</v>
      </c>
      <c r="L894">
        <f>demanda!I892</f>
        <v>15</v>
      </c>
      <c r="M894">
        <v>14.416809279416043</v>
      </c>
      <c r="N894">
        <f t="shared" si="104"/>
        <v>0.58319072058395705</v>
      </c>
      <c r="O894">
        <v>7.4087557083441532E-4</v>
      </c>
      <c r="P894">
        <f t="shared" si="105"/>
        <v>5.8760813658909554E-2</v>
      </c>
      <c r="Q894">
        <f t="shared" si="106"/>
        <v>98.553306243487526</v>
      </c>
      <c r="R894">
        <f t="shared" si="107"/>
        <v>5.8767327956256402E-2</v>
      </c>
      <c r="S894">
        <f t="shared" si="108"/>
        <v>0.95314355069247325</v>
      </c>
      <c r="T894">
        <f t="shared" si="109"/>
        <v>1.2809572488725558E-6</v>
      </c>
      <c r="U894">
        <f t="shared" si="110"/>
        <v>1.6001825154010173E-3</v>
      </c>
    </row>
    <row r="895" spans="10:21" x14ac:dyDescent="0.35">
      <c r="J895">
        <f t="shared" si="111"/>
        <v>892</v>
      </c>
      <c r="K895">
        <f>demanda!D893</f>
        <v>0</v>
      </c>
      <c r="L895">
        <f>demanda!I893</f>
        <v>15</v>
      </c>
      <c r="M895">
        <v>14.416809279416043</v>
      </c>
      <c r="N895">
        <f t="shared" si="104"/>
        <v>0.58319072058395705</v>
      </c>
      <c r="O895">
        <v>7.4087557083441532E-4</v>
      </c>
      <c r="P895">
        <f t="shared" si="105"/>
        <v>5.8760813658909554E-2</v>
      </c>
      <c r="Q895">
        <f t="shared" si="106"/>
        <v>98.553306243487526</v>
      </c>
      <c r="R895">
        <f t="shared" si="107"/>
        <v>5.8767327956256402E-2</v>
      </c>
      <c r="S895">
        <f t="shared" si="108"/>
        <v>0.95314355069247325</v>
      </c>
      <c r="T895">
        <f t="shared" si="109"/>
        <v>1.2809572488725558E-6</v>
      </c>
      <c r="U895">
        <f t="shared" si="110"/>
        <v>1.6001825154010173E-3</v>
      </c>
    </row>
    <row r="896" spans="10:21" x14ac:dyDescent="0.35">
      <c r="J896">
        <f t="shared" si="111"/>
        <v>893</v>
      </c>
      <c r="K896">
        <f>demanda!D894</f>
        <v>0</v>
      </c>
      <c r="L896">
        <f>demanda!I894</f>
        <v>15</v>
      </c>
      <c r="M896">
        <v>14.416809279416043</v>
      </c>
      <c r="N896">
        <f t="shared" si="104"/>
        <v>0.58319072058395705</v>
      </c>
      <c r="O896">
        <v>7.4087557083441532E-4</v>
      </c>
      <c r="P896">
        <f t="shared" si="105"/>
        <v>5.8760813658909554E-2</v>
      </c>
      <c r="Q896">
        <f t="shared" si="106"/>
        <v>98.553306243487526</v>
      </c>
      <c r="R896">
        <f t="shared" si="107"/>
        <v>5.8767327956256402E-2</v>
      </c>
      <c r="S896">
        <f t="shared" si="108"/>
        <v>0.95314355069247325</v>
      </c>
      <c r="T896">
        <f t="shared" si="109"/>
        <v>1.2809572488725558E-6</v>
      </c>
      <c r="U896">
        <f t="shared" si="110"/>
        <v>1.6001825154010173E-3</v>
      </c>
    </row>
    <row r="897" spans="10:21" x14ac:dyDescent="0.35">
      <c r="J897">
        <f t="shared" si="111"/>
        <v>894</v>
      </c>
      <c r="K897">
        <f>demanda!D895</f>
        <v>0</v>
      </c>
      <c r="L897">
        <f>demanda!I895</f>
        <v>15</v>
      </c>
      <c r="M897">
        <v>14.416809279416043</v>
      </c>
      <c r="N897">
        <f t="shared" si="104"/>
        <v>0.58319072058395705</v>
      </c>
      <c r="O897">
        <v>7.4087557083441532E-4</v>
      </c>
      <c r="P897">
        <f t="shared" si="105"/>
        <v>5.8760813658909554E-2</v>
      </c>
      <c r="Q897">
        <f t="shared" si="106"/>
        <v>98.553306243487526</v>
      </c>
      <c r="R897">
        <f t="shared" si="107"/>
        <v>5.8767327956256402E-2</v>
      </c>
      <c r="S897">
        <f t="shared" si="108"/>
        <v>0.95314355069247325</v>
      </c>
      <c r="T897">
        <f t="shared" si="109"/>
        <v>1.2809572488725558E-6</v>
      </c>
      <c r="U897">
        <f t="shared" si="110"/>
        <v>1.6001825154010173E-3</v>
      </c>
    </row>
    <row r="898" spans="10:21" x14ac:dyDescent="0.35">
      <c r="J898">
        <f t="shared" si="111"/>
        <v>895</v>
      </c>
      <c r="K898">
        <f>demanda!D896</f>
        <v>0</v>
      </c>
      <c r="L898">
        <f>demanda!I896</f>
        <v>15</v>
      </c>
      <c r="M898">
        <v>14.416809279416043</v>
      </c>
      <c r="N898">
        <f t="shared" si="104"/>
        <v>0.58319072058395705</v>
      </c>
      <c r="O898">
        <v>7.4087557083441532E-4</v>
      </c>
      <c r="P898">
        <f t="shared" si="105"/>
        <v>5.8760813658909554E-2</v>
      </c>
      <c r="Q898">
        <f t="shared" si="106"/>
        <v>98.553306243487526</v>
      </c>
      <c r="R898">
        <f t="shared" si="107"/>
        <v>5.8767327956256402E-2</v>
      </c>
      <c r="S898">
        <f t="shared" si="108"/>
        <v>0.95314355069247325</v>
      </c>
      <c r="T898">
        <f t="shared" si="109"/>
        <v>1.2809572488725558E-6</v>
      </c>
      <c r="U898">
        <f t="shared" si="110"/>
        <v>1.6001825154010173E-3</v>
      </c>
    </row>
    <row r="899" spans="10:21" x14ac:dyDescent="0.35">
      <c r="J899">
        <f t="shared" si="111"/>
        <v>896</v>
      </c>
      <c r="K899">
        <f>demanda!D897</f>
        <v>0</v>
      </c>
      <c r="L899">
        <f>demanda!I897</f>
        <v>15</v>
      </c>
      <c r="M899">
        <v>14.416809279416043</v>
      </c>
      <c r="N899">
        <f t="shared" si="104"/>
        <v>0.58319072058395705</v>
      </c>
      <c r="O899">
        <v>7.4087557083441532E-4</v>
      </c>
      <c r="P899">
        <f t="shared" si="105"/>
        <v>5.8760813658909554E-2</v>
      </c>
      <c r="Q899">
        <f t="shared" si="106"/>
        <v>98.553306243487526</v>
      </c>
      <c r="R899">
        <f t="shared" si="107"/>
        <v>5.8767327956256402E-2</v>
      </c>
      <c r="S899">
        <f t="shared" si="108"/>
        <v>0.95314355069247325</v>
      </c>
      <c r="T899">
        <f t="shared" si="109"/>
        <v>1.2809572488725558E-6</v>
      </c>
      <c r="U899">
        <f t="shared" si="110"/>
        <v>1.6001825154010173E-3</v>
      </c>
    </row>
    <row r="900" spans="10:21" x14ac:dyDescent="0.35">
      <c r="J900">
        <f t="shared" si="111"/>
        <v>897</v>
      </c>
      <c r="K900">
        <f>demanda!D898</f>
        <v>0</v>
      </c>
      <c r="L900">
        <f>demanda!I898</f>
        <v>15</v>
      </c>
      <c r="M900">
        <v>14.416809279416043</v>
      </c>
      <c r="N900">
        <f t="shared" si="104"/>
        <v>0.58319072058395705</v>
      </c>
      <c r="O900">
        <v>7.4087557083441532E-4</v>
      </c>
      <c r="P900">
        <f t="shared" si="105"/>
        <v>5.8760813658909554E-2</v>
      </c>
      <c r="Q900">
        <f t="shared" si="106"/>
        <v>98.553306243487526</v>
      </c>
      <c r="R900">
        <f t="shared" si="107"/>
        <v>5.8767327956256402E-2</v>
      </c>
      <c r="S900">
        <f t="shared" si="108"/>
        <v>0.95314355069247325</v>
      </c>
      <c r="T900">
        <f t="shared" si="109"/>
        <v>1.2809572488725558E-6</v>
      </c>
      <c r="U900">
        <f t="shared" si="110"/>
        <v>1.6001825154010173E-3</v>
      </c>
    </row>
    <row r="901" spans="10:21" x14ac:dyDescent="0.35">
      <c r="J901">
        <f t="shared" si="111"/>
        <v>898</v>
      </c>
      <c r="K901">
        <f>demanda!D899</f>
        <v>0</v>
      </c>
      <c r="L901">
        <f>demanda!I899</f>
        <v>15</v>
      </c>
      <c r="M901">
        <v>14.416809279416043</v>
      </c>
      <c r="N901">
        <f t="shared" ref="N901:N964" si="112">L901-M901</f>
        <v>0.58319072058395705</v>
      </c>
      <c r="O901">
        <v>7.4087557083441532E-4</v>
      </c>
      <c r="P901">
        <f t="shared" ref="P901:P964" si="113">N901/SQRT($X$6)</f>
        <v>5.8760813658909554E-2</v>
      </c>
      <c r="Q901">
        <f t="shared" ref="Q901:Q964" si="114">($X$6-N901^2/((1-O901)*$X$5))*$X$5/($X$5-1)</f>
        <v>98.553306243487526</v>
      </c>
      <c r="R901">
        <f t="shared" ref="R901:R964" si="115">N901/SQRT(Q901*(1-O901))</f>
        <v>5.8767327956256402E-2</v>
      </c>
      <c r="S901">
        <f t="shared" ref="S901:S964" si="116">_xlfn.T.DIST.2T(ABS(R901),$X$5)</f>
        <v>0.95314355069247325</v>
      </c>
      <c r="T901">
        <f t="shared" ref="T901:T964" si="117">(N901^2/$X$6)*(O901/(1-O901)^2)/($X$7+1)</f>
        <v>1.2809572488725558E-6</v>
      </c>
      <c r="U901">
        <f t="shared" ref="U901:U964" si="118">R901*SQRT(O901/(1-O901))</f>
        <v>1.6001825154010173E-3</v>
      </c>
    </row>
    <row r="902" spans="10:21" x14ac:dyDescent="0.35">
      <c r="J902">
        <f t="shared" ref="J902:J965" si="119">J901+1</f>
        <v>899</v>
      </c>
      <c r="K902">
        <f>demanda!D900</f>
        <v>0</v>
      </c>
      <c r="L902">
        <f>demanda!I900</f>
        <v>15</v>
      </c>
      <c r="M902">
        <v>14.416809279416043</v>
      </c>
      <c r="N902">
        <f t="shared" si="112"/>
        <v>0.58319072058395705</v>
      </c>
      <c r="O902">
        <v>7.4087557083441532E-4</v>
      </c>
      <c r="P902">
        <f t="shared" si="113"/>
        <v>5.8760813658909554E-2</v>
      </c>
      <c r="Q902">
        <f t="shared" si="114"/>
        <v>98.553306243487526</v>
      </c>
      <c r="R902">
        <f t="shared" si="115"/>
        <v>5.8767327956256402E-2</v>
      </c>
      <c r="S902">
        <f t="shared" si="116"/>
        <v>0.95314355069247325</v>
      </c>
      <c r="T902">
        <f t="shared" si="117"/>
        <v>1.2809572488725558E-6</v>
      </c>
      <c r="U902">
        <f t="shared" si="118"/>
        <v>1.6001825154010173E-3</v>
      </c>
    </row>
    <row r="903" spans="10:21" x14ac:dyDescent="0.35">
      <c r="J903">
        <f t="shared" si="119"/>
        <v>900</v>
      </c>
      <c r="K903">
        <f>demanda!D901</f>
        <v>0</v>
      </c>
      <c r="L903">
        <f>demanda!I901</f>
        <v>15</v>
      </c>
      <c r="M903">
        <v>14.416809279416043</v>
      </c>
      <c r="N903">
        <f t="shared" si="112"/>
        <v>0.58319072058395705</v>
      </c>
      <c r="O903">
        <v>7.4087557083441532E-4</v>
      </c>
      <c r="P903">
        <f t="shared" si="113"/>
        <v>5.8760813658909554E-2</v>
      </c>
      <c r="Q903">
        <f t="shared" si="114"/>
        <v>98.553306243487526</v>
      </c>
      <c r="R903">
        <f t="shared" si="115"/>
        <v>5.8767327956256402E-2</v>
      </c>
      <c r="S903">
        <f t="shared" si="116"/>
        <v>0.95314355069247325</v>
      </c>
      <c r="T903">
        <f t="shared" si="117"/>
        <v>1.2809572488725558E-6</v>
      </c>
      <c r="U903">
        <f t="shared" si="118"/>
        <v>1.6001825154010173E-3</v>
      </c>
    </row>
    <row r="904" spans="10:21" x14ac:dyDescent="0.35">
      <c r="J904">
        <f t="shared" si="119"/>
        <v>901</v>
      </c>
      <c r="K904">
        <f>demanda!D902</f>
        <v>1</v>
      </c>
      <c r="L904">
        <f>demanda!I902</f>
        <v>15</v>
      </c>
      <c r="M904">
        <v>11.786175589530247</v>
      </c>
      <c r="N904">
        <f t="shared" si="112"/>
        <v>3.2138244104697531</v>
      </c>
      <c r="O904">
        <v>5.2058796926701797E-4</v>
      </c>
      <c r="P904">
        <f t="shared" si="113"/>
        <v>0.32381677322810093</v>
      </c>
      <c r="Q904">
        <f t="shared" si="114"/>
        <v>98.548095772403954</v>
      </c>
      <c r="R904">
        <f t="shared" si="115"/>
        <v>0.3238255414227269</v>
      </c>
      <c r="S904">
        <f t="shared" si="116"/>
        <v>0.74610540567370975</v>
      </c>
      <c r="T904">
        <f t="shared" si="117"/>
        <v>2.7322164893932259E-5</v>
      </c>
      <c r="U904">
        <f t="shared" si="118"/>
        <v>7.390456033686617E-3</v>
      </c>
    </row>
    <row r="905" spans="10:21" x14ac:dyDescent="0.35">
      <c r="J905">
        <f t="shared" si="119"/>
        <v>902</v>
      </c>
      <c r="K905">
        <f>demanda!D903</f>
        <v>0</v>
      </c>
      <c r="L905">
        <f>demanda!I903</f>
        <v>15</v>
      </c>
      <c r="M905">
        <v>14.416809279416043</v>
      </c>
      <c r="N905">
        <f t="shared" si="112"/>
        <v>0.58319072058395705</v>
      </c>
      <c r="O905">
        <v>7.4087557083441532E-4</v>
      </c>
      <c r="P905">
        <f t="shared" si="113"/>
        <v>5.8760813658909554E-2</v>
      </c>
      <c r="Q905">
        <f t="shared" si="114"/>
        <v>98.553306243487526</v>
      </c>
      <c r="R905">
        <f t="shared" si="115"/>
        <v>5.8767327956256402E-2</v>
      </c>
      <c r="S905">
        <f t="shared" si="116"/>
        <v>0.95314355069247325</v>
      </c>
      <c r="T905">
        <f t="shared" si="117"/>
        <v>1.2809572488725558E-6</v>
      </c>
      <c r="U905">
        <f t="shared" si="118"/>
        <v>1.6001825154010173E-3</v>
      </c>
    </row>
    <row r="906" spans="10:21" x14ac:dyDescent="0.35">
      <c r="J906">
        <f t="shared" si="119"/>
        <v>903</v>
      </c>
      <c r="K906">
        <f>demanda!D904</f>
        <v>0</v>
      </c>
      <c r="L906">
        <f>demanda!I904</f>
        <v>15</v>
      </c>
      <c r="M906">
        <v>14.416809279416043</v>
      </c>
      <c r="N906">
        <f t="shared" si="112"/>
        <v>0.58319072058395705</v>
      </c>
      <c r="O906">
        <v>7.4087557083441532E-4</v>
      </c>
      <c r="P906">
        <f t="shared" si="113"/>
        <v>5.8760813658909554E-2</v>
      </c>
      <c r="Q906">
        <f t="shared" si="114"/>
        <v>98.553306243487526</v>
      </c>
      <c r="R906">
        <f t="shared" si="115"/>
        <v>5.8767327956256402E-2</v>
      </c>
      <c r="S906">
        <f t="shared" si="116"/>
        <v>0.95314355069247325</v>
      </c>
      <c r="T906">
        <f t="shared" si="117"/>
        <v>1.2809572488725558E-6</v>
      </c>
      <c r="U906">
        <f t="shared" si="118"/>
        <v>1.6001825154010173E-3</v>
      </c>
    </row>
    <row r="907" spans="10:21" x14ac:dyDescent="0.35">
      <c r="J907">
        <f t="shared" si="119"/>
        <v>904</v>
      </c>
      <c r="K907">
        <f>demanda!D905</f>
        <v>0</v>
      </c>
      <c r="L907">
        <f>demanda!I905</f>
        <v>15</v>
      </c>
      <c r="M907">
        <v>14.416809279416043</v>
      </c>
      <c r="N907">
        <f t="shared" si="112"/>
        <v>0.58319072058395705</v>
      </c>
      <c r="O907">
        <v>7.4087557083441532E-4</v>
      </c>
      <c r="P907">
        <f t="shared" si="113"/>
        <v>5.8760813658909554E-2</v>
      </c>
      <c r="Q907">
        <f t="shared" si="114"/>
        <v>98.553306243487526</v>
      </c>
      <c r="R907">
        <f t="shared" si="115"/>
        <v>5.8767327956256402E-2</v>
      </c>
      <c r="S907">
        <f t="shared" si="116"/>
        <v>0.95314355069247325</v>
      </c>
      <c r="T907">
        <f t="shared" si="117"/>
        <v>1.2809572488725558E-6</v>
      </c>
      <c r="U907">
        <f t="shared" si="118"/>
        <v>1.6001825154010173E-3</v>
      </c>
    </row>
    <row r="908" spans="10:21" x14ac:dyDescent="0.35">
      <c r="J908">
        <f t="shared" si="119"/>
        <v>905</v>
      </c>
      <c r="K908">
        <f>demanda!D906</f>
        <v>0</v>
      </c>
      <c r="L908">
        <f>demanda!I906</f>
        <v>15</v>
      </c>
      <c r="M908">
        <v>14.416809279416043</v>
      </c>
      <c r="N908">
        <f t="shared" si="112"/>
        <v>0.58319072058395705</v>
      </c>
      <c r="O908">
        <v>7.4087557083441532E-4</v>
      </c>
      <c r="P908">
        <f t="shared" si="113"/>
        <v>5.8760813658909554E-2</v>
      </c>
      <c r="Q908">
        <f t="shared" si="114"/>
        <v>98.553306243487526</v>
      </c>
      <c r="R908">
        <f t="shared" si="115"/>
        <v>5.8767327956256402E-2</v>
      </c>
      <c r="S908">
        <f t="shared" si="116"/>
        <v>0.95314355069247325</v>
      </c>
      <c r="T908">
        <f t="shared" si="117"/>
        <v>1.2809572488725558E-6</v>
      </c>
      <c r="U908">
        <f t="shared" si="118"/>
        <v>1.6001825154010173E-3</v>
      </c>
    </row>
    <row r="909" spans="10:21" x14ac:dyDescent="0.35">
      <c r="J909">
        <f t="shared" si="119"/>
        <v>906</v>
      </c>
      <c r="K909">
        <f>demanda!D907</f>
        <v>0</v>
      </c>
      <c r="L909">
        <f>demanda!I907</f>
        <v>15</v>
      </c>
      <c r="M909">
        <v>14.416809279416043</v>
      </c>
      <c r="N909">
        <f t="shared" si="112"/>
        <v>0.58319072058395705</v>
      </c>
      <c r="O909">
        <v>7.4087557083441532E-4</v>
      </c>
      <c r="P909">
        <f t="shared" si="113"/>
        <v>5.8760813658909554E-2</v>
      </c>
      <c r="Q909">
        <f t="shared" si="114"/>
        <v>98.553306243487526</v>
      </c>
      <c r="R909">
        <f t="shared" si="115"/>
        <v>5.8767327956256402E-2</v>
      </c>
      <c r="S909">
        <f t="shared" si="116"/>
        <v>0.95314355069247325</v>
      </c>
      <c r="T909">
        <f t="shared" si="117"/>
        <v>1.2809572488725558E-6</v>
      </c>
      <c r="U909">
        <f t="shared" si="118"/>
        <v>1.6001825154010173E-3</v>
      </c>
    </row>
    <row r="910" spans="10:21" x14ac:dyDescent="0.35">
      <c r="J910">
        <f t="shared" si="119"/>
        <v>907</v>
      </c>
      <c r="K910">
        <f>demanda!D908</f>
        <v>0</v>
      </c>
      <c r="L910">
        <f>demanda!I908</f>
        <v>15</v>
      </c>
      <c r="M910">
        <v>14.416809279416043</v>
      </c>
      <c r="N910">
        <f t="shared" si="112"/>
        <v>0.58319072058395705</v>
      </c>
      <c r="O910">
        <v>7.4087557083441532E-4</v>
      </c>
      <c r="P910">
        <f t="shared" si="113"/>
        <v>5.8760813658909554E-2</v>
      </c>
      <c r="Q910">
        <f t="shared" si="114"/>
        <v>98.553306243487526</v>
      </c>
      <c r="R910">
        <f t="shared" si="115"/>
        <v>5.8767327956256402E-2</v>
      </c>
      <c r="S910">
        <f t="shared" si="116"/>
        <v>0.95314355069247325</v>
      </c>
      <c r="T910">
        <f t="shared" si="117"/>
        <v>1.2809572488725558E-6</v>
      </c>
      <c r="U910">
        <f t="shared" si="118"/>
        <v>1.6001825154010173E-3</v>
      </c>
    </row>
    <row r="911" spans="10:21" x14ac:dyDescent="0.35">
      <c r="J911">
        <f t="shared" si="119"/>
        <v>908</v>
      </c>
      <c r="K911">
        <f>demanda!D909</f>
        <v>0</v>
      </c>
      <c r="L911">
        <f>demanda!I909</f>
        <v>12</v>
      </c>
      <c r="M911">
        <v>14.416809279416043</v>
      </c>
      <c r="N911">
        <f t="shared" si="112"/>
        <v>-2.416809279416043</v>
      </c>
      <c r="O911">
        <v>7.4087557083441532E-4</v>
      </c>
      <c r="P911">
        <f t="shared" si="113"/>
        <v>-0.24351155583320885</v>
      </c>
      <c r="Q911">
        <f t="shared" si="114"/>
        <v>98.55043610055337</v>
      </c>
      <c r="R911">
        <f t="shared" si="115"/>
        <v>-0.24354209816225414</v>
      </c>
      <c r="S911">
        <f t="shared" si="116"/>
        <v>0.80761150818210881</v>
      </c>
      <c r="T911">
        <f t="shared" si="117"/>
        <v>2.199875915262289E-5</v>
      </c>
      <c r="U911">
        <f t="shared" si="118"/>
        <v>-6.6314365617133417E-3</v>
      </c>
    </row>
    <row r="912" spans="10:21" x14ac:dyDescent="0.35">
      <c r="J912">
        <f t="shared" si="119"/>
        <v>909</v>
      </c>
      <c r="K912">
        <f>demanda!D910</f>
        <v>0</v>
      </c>
      <c r="L912">
        <f>demanda!I910</f>
        <v>15</v>
      </c>
      <c r="M912">
        <v>14.416809279416043</v>
      </c>
      <c r="N912">
        <f t="shared" si="112"/>
        <v>0.58319072058395705</v>
      </c>
      <c r="O912">
        <v>7.4087557083441532E-4</v>
      </c>
      <c r="P912">
        <f t="shared" si="113"/>
        <v>5.8760813658909554E-2</v>
      </c>
      <c r="Q912">
        <f t="shared" si="114"/>
        <v>98.553306243487526</v>
      </c>
      <c r="R912">
        <f t="shared" si="115"/>
        <v>5.8767327956256402E-2</v>
      </c>
      <c r="S912">
        <f t="shared" si="116"/>
        <v>0.95314355069247325</v>
      </c>
      <c r="T912">
        <f t="shared" si="117"/>
        <v>1.2809572488725558E-6</v>
      </c>
      <c r="U912">
        <f t="shared" si="118"/>
        <v>1.6001825154010173E-3</v>
      </c>
    </row>
    <row r="913" spans="10:21" x14ac:dyDescent="0.35">
      <c r="J913">
        <f t="shared" si="119"/>
        <v>910</v>
      </c>
      <c r="K913">
        <f>demanda!D911</f>
        <v>0</v>
      </c>
      <c r="L913">
        <f>demanda!I911</f>
        <v>15</v>
      </c>
      <c r="M913">
        <v>14.416809279416043</v>
      </c>
      <c r="N913">
        <f t="shared" si="112"/>
        <v>0.58319072058395705</v>
      </c>
      <c r="O913">
        <v>7.4087557083441532E-4</v>
      </c>
      <c r="P913">
        <f t="shared" si="113"/>
        <v>5.8760813658909554E-2</v>
      </c>
      <c r="Q913">
        <f t="shared" si="114"/>
        <v>98.553306243487526</v>
      </c>
      <c r="R913">
        <f t="shared" si="115"/>
        <v>5.8767327956256402E-2</v>
      </c>
      <c r="S913">
        <f t="shared" si="116"/>
        <v>0.95314355069247325</v>
      </c>
      <c r="T913">
        <f t="shared" si="117"/>
        <v>1.2809572488725558E-6</v>
      </c>
      <c r="U913">
        <f t="shared" si="118"/>
        <v>1.6001825154010173E-3</v>
      </c>
    </row>
    <row r="914" spans="10:21" x14ac:dyDescent="0.35">
      <c r="J914">
        <f t="shared" si="119"/>
        <v>911</v>
      </c>
      <c r="K914">
        <f>demanda!D912</f>
        <v>0</v>
      </c>
      <c r="L914">
        <f>demanda!I912</f>
        <v>2</v>
      </c>
      <c r="M914">
        <v>14.416809279416043</v>
      </c>
      <c r="N914">
        <f t="shared" si="112"/>
        <v>-12.416809279416043</v>
      </c>
      <c r="O914">
        <v>7.4087557083441532E-4</v>
      </c>
      <c r="P914">
        <f t="shared" si="113"/>
        <v>-1.2510861208069368</v>
      </c>
      <c r="Q914">
        <f t="shared" si="114"/>
        <v>98.473039768058015</v>
      </c>
      <c r="R914">
        <f t="shared" si="115"/>
        <v>-1.2517346575747474</v>
      </c>
      <c r="S914">
        <f t="shared" si="116"/>
        <v>0.21081911987933932</v>
      </c>
      <c r="T914">
        <f t="shared" si="117"/>
        <v>5.8067542491350977E-4</v>
      </c>
      <c r="U914">
        <f t="shared" si="118"/>
        <v>-3.4083630864815417E-2</v>
      </c>
    </row>
    <row r="915" spans="10:21" x14ac:dyDescent="0.35">
      <c r="J915">
        <f t="shared" si="119"/>
        <v>912</v>
      </c>
      <c r="K915">
        <f>demanda!D913</f>
        <v>4</v>
      </c>
      <c r="L915">
        <f>demanda!I913</f>
        <v>3</v>
      </c>
      <c r="M915">
        <v>3.8942745198728588</v>
      </c>
      <c r="N915">
        <f t="shared" si="112"/>
        <v>-0.89427451987285878</v>
      </c>
      <c r="O915">
        <v>2.4466175697261316E-3</v>
      </c>
      <c r="P915">
        <f t="shared" si="113"/>
        <v>-9.0104826032798527E-2</v>
      </c>
      <c r="Q915">
        <f t="shared" si="114"/>
        <v>98.553065719630368</v>
      </c>
      <c r="R915">
        <f t="shared" si="115"/>
        <v>-9.0191937130002245E-2</v>
      </c>
      <c r="S915">
        <f t="shared" si="116"/>
        <v>0.92814410376796586</v>
      </c>
      <c r="T915">
        <f t="shared" si="117"/>
        <v>9.9806748742546123E-6</v>
      </c>
      <c r="U915">
        <f t="shared" si="118"/>
        <v>-4.4666578568412878E-3</v>
      </c>
    </row>
    <row r="916" spans="10:21" x14ac:dyDescent="0.35">
      <c r="J916">
        <f t="shared" si="119"/>
        <v>913</v>
      </c>
      <c r="K916">
        <f>demanda!D914</f>
        <v>0</v>
      </c>
      <c r="L916">
        <f>demanda!I914</f>
        <v>3</v>
      </c>
      <c r="M916">
        <v>14.416809279416043</v>
      </c>
      <c r="N916">
        <f t="shared" si="112"/>
        <v>-11.416809279416043</v>
      </c>
      <c r="O916">
        <v>7.4087557083441532E-4</v>
      </c>
      <c r="P916">
        <f t="shared" si="113"/>
        <v>-1.150328664309564</v>
      </c>
      <c r="Q916">
        <f t="shared" si="114"/>
        <v>98.485475268264722</v>
      </c>
      <c r="R916">
        <f t="shared" si="115"/>
        <v>-1.1508523061099405</v>
      </c>
      <c r="S916">
        <f t="shared" si="116"/>
        <v>0.24993638008158123</v>
      </c>
      <c r="T916">
        <f t="shared" si="117"/>
        <v>4.9091117422407117E-4</v>
      </c>
      <c r="U916">
        <f t="shared" si="118"/>
        <v>-3.1336693399040466E-2</v>
      </c>
    </row>
    <row r="917" spans="10:21" x14ac:dyDescent="0.35">
      <c r="J917">
        <f t="shared" si="119"/>
        <v>914</v>
      </c>
      <c r="K917">
        <f>demanda!D915</f>
        <v>0</v>
      </c>
      <c r="L917">
        <f>demanda!I915</f>
        <v>11</v>
      </c>
      <c r="M917">
        <v>14.416809279416043</v>
      </c>
      <c r="N917">
        <f t="shared" si="112"/>
        <v>-3.416809279416043</v>
      </c>
      <c r="O917">
        <v>7.4087557083441532E-4</v>
      </c>
      <c r="P917">
        <f t="shared" si="113"/>
        <v>-0.34426901233058166</v>
      </c>
      <c r="Q917">
        <f t="shared" si="114"/>
        <v>98.547392334261005</v>
      </c>
      <c r="R917">
        <f t="shared" si="115"/>
        <v>-0.34431750934619676</v>
      </c>
      <c r="S917">
        <f t="shared" si="116"/>
        <v>0.73064524437297085</v>
      </c>
      <c r="T917">
        <f t="shared" si="117"/>
        <v>4.3969841615361785E-5</v>
      </c>
      <c r="U917">
        <f t="shared" si="118"/>
        <v>-9.3754621379472432E-3</v>
      </c>
    </row>
    <row r="918" spans="10:21" x14ac:dyDescent="0.35">
      <c r="J918">
        <f t="shared" si="119"/>
        <v>915</v>
      </c>
      <c r="K918">
        <f>demanda!D916</f>
        <v>2</v>
      </c>
      <c r="L918">
        <f>demanda!I916</f>
        <v>2</v>
      </c>
      <c r="M918">
        <v>9.1555418996444509</v>
      </c>
      <c r="N918">
        <f t="shared" si="112"/>
        <v>-7.1555418996444509</v>
      </c>
      <c r="O918">
        <v>7.3144910189317154E-4</v>
      </c>
      <c r="P918">
        <f t="shared" si="113"/>
        <v>-0.72097420166855408</v>
      </c>
      <c r="Q918">
        <f t="shared" si="114"/>
        <v>98.526768759022602</v>
      </c>
      <c r="R918">
        <f t="shared" si="115"/>
        <v>-0.72114782718324122</v>
      </c>
      <c r="S918">
        <f t="shared" si="116"/>
        <v>0.47090641241117204</v>
      </c>
      <c r="T918">
        <f t="shared" si="117"/>
        <v>1.9038342084795563E-4</v>
      </c>
      <c r="U918">
        <f t="shared" si="118"/>
        <v>-1.9510807546913981E-2</v>
      </c>
    </row>
    <row r="919" spans="10:21" x14ac:dyDescent="0.35">
      <c r="J919">
        <f t="shared" si="119"/>
        <v>916</v>
      </c>
      <c r="K919">
        <f>demanda!D917</f>
        <v>4</v>
      </c>
      <c r="L919">
        <f>demanda!I917</f>
        <v>1</v>
      </c>
      <c r="M919">
        <v>3.8942745198728588</v>
      </c>
      <c r="N919">
        <f t="shared" si="112"/>
        <v>-2.8942745198728588</v>
      </c>
      <c r="O919">
        <v>2.4466175697261316E-3</v>
      </c>
      <c r="P919">
        <f t="shared" si="113"/>
        <v>-0.29161973902754412</v>
      </c>
      <c r="Q919">
        <f t="shared" si="114"/>
        <v>98.549105510137124</v>
      </c>
      <c r="R919">
        <f t="shared" si="115"/>
        <v>-0.2919075347093899</v>
      </c>
      <c r="S919">
        <f t="shared" si="116"/>
        <v>0.77038887469672734</v>
      </c>
      <c r="T919">
        <f t="shared" si="117"/>
        <v>1.0454364483839124E-4</v>
      </c>
      <c r="U919">
        <f t="shared" si="118"/>
        <v>-1.4456404029791516E-2</v>
      </c>
    </row>
    <row r="920" spans="10:21" x14ac:dyDescent="0.35">
      <c r="J920">
        <f t="shared" si="119"/>
        <v>917</v>
      </c>
      <c r="K920">
        <f>demanda!D918</f>
        <v>0</v>
      </c>
      <c r="L920">
        <f>demanda!I918</f>
        <v>4</v>
      </c>
      <c r="M920">
        <v>14.416809279416043</v>
      </c>
      <c r="N920">
        <f t="shared" si="112"/>
        <v>-10.416809279416043</v>
      </c>
      <c r="O920">
        <v>7.4087557083441532E-4</v>
      </c>
      <c r="P920">
        <f t="shared" si="113"/>
        <v>-1.0495712078121913</v>
      </c>
      <c r="Q920">
        <f t="shared" si="114"/>
        <v>98.49686724248096</v>
      </c>
      <c r="R920">
        <f t="shared" si="115"/>
        <v>-1.049988258586362</v>
      </c>
      <c r="S920">
        <f t="shared" si="116"/>
        <v>0.29385572056513598</v>
      </c>
      <c r="T920">
        <f t="shared" si="117"/>
        <v>4.0867949778204384E-4</v>
      </c>
      <c r="U920">
        <f t="shared" si="118"/>
        <v>-2.8590254333443563E-2</v>
      </c>
    </row>
    <row r="921" spans="10:21" x14ac:dyDescent="0.35">
      <c r="J921">
        <f t="shared" si="119"/>
        <v>918</v>
      </c>
      <c r="K921">
        <f>demanda!D919</f>
        <v>0</v>
      </c>
      <c r="L921">
        <f>demanda!I919</f>
        <v>10</v>
      </c>
      <c r="M921">
        <v>14.416809279416043</v>
      </c>
      <c r="N921">
        <f t="shared" si="112"/>
        <v>-4.416809279416043</v>
      </c>
      <c r="O921">
        <v>7.4087557083441532E-4</v>
      </c>
      <c r="P921">
        <f t="shared" si="113"/>
        <v>-0.44502646882795449</v>
      </c>
      <c r="Q921">
        <f t="shared" si="114"/>
        <v>98.543305041978172</v>
      </c>
      <c r="R921">
        <f t="shared" si="115"/>
        <v>-0.44509838991165818</v>
      </c>
      <c r="S921">
        <f t="shared" si="116"/>
        <v>0.65629885256814913</v>
      </c>
      <c r="T921">
        <f t="shared" si="117"/>
        <v>7.3473498325511761E-5</v>
      </c>
      <c r="U921">
        <f t="shared" si="118"/>
        <v>-1.2119636640616644E-2</v>
      </c>
    </row>
    <row r="922" spans="10:21" x14ac:dyDescent="0.35">
      <c r="J922">
        <f t="shared" si="119"/>
        <v>919</v>
      </c>
      <c r="K922">
        <f>demanda!D920</f>
        <v>2</v>
      </c>
      <c r="L922">
        <f>demanda!I920</f>
        <v>3</v>
      </c>
      <c r="M922">
        <v>9.1555418996444509</v>
      </c>
      <c r="N922">
        <f t="shared" si="112"/>
        <v>-6.1555418996444509</v>
      </c>
      <c r="O922">
        <v>7.3144910189317154E-4</v>
      </c>
      <c r="P922">
        <f t="shared" si="113"/>
        <v>-0.62021674517118131</v>
      </c>
      <c r="Q922">
        <f t="shared" si="114"/>
        <v>98.533713924458709</v>
      </c>
      <c r="R922">
        <f t="shared" si="115"/>
        <v>-0.62034424251421916</v>
      </c>
      <c r="S922">
        <f t="shared" si="116"/>
        <v>0.53510483257501296</v>
      </c>
      <c r="T922">
        <f t="shared" si="117"/>
        <v>1.4088885884323287E-4</v>
      </c>
      <c r="U922">
        <f t="shared" si="118"/>
        <v>-1.6783545165498539E-2</v>
      </c>
    </row>
    <row r="923" spans="10:21" x14ac:dyDescent="0.35">
      <c r="J923">
        <f t="shared" si="119"/>
        <v>920</v>
      </c>
      <c r="K923">
        <f>demanda!D921</f>
        <v>6</v>
      </c>
      <c r="L923">
        <f>demanda!I921</f>
        <v>3</v>
      </c>
      <c r="M923">
        <v>-1.3669928598987333</v>
      </c>
      <c r="N923">
        <f t="shared" si="112"/>
        <v>4.3669928598987333</v>
      </c>
      <c r="O923">
        <v>5.8863809743332956E-3</v>
      </c>
      <c r="P923">
        <f t="shared" si="113"/>
        <v>0.44000709310558428</v>
      </c>
      <c r="Q923">
        <f t="shared" si="114"/>
        <v>98.543481851032595</v>
      </c>
      <c r="R923">
        <f t="shared" si="115"/>
        <v>0.44121525371752685</v>
      </c>
      <c r="S923">
        <f t="shared" si="116"/>
        <v>0.65910687609302177</v>
      </c>
      <c r="T923">
        <f t="shared" si="117"/>
        <v>5.7658810569327667E-4</v>
      </c>
      <c r="U923">
        <f t="shared" si="118"/>
        <v>3.3951322043777717E-2</v>
      </c>
    </row>
    <row r="924" spans="10:21" x14ac:dyDescent="0.35">
      <c r="J924">
        <f t="shared" si="119"/>
        <v>921</v>
      </c>
      <c r="K924">
        <f>demanda!D922</f>
        <v>4</v>
      </c>
      <c r="L924">
        <f>demanda!I922</f>
        <v>6</v>
      </c>
      <c r="M924">
        <v>3.8942745198728588</v>
      </c>
      <c r="N924">
        <f t="shared" si="112"/>
        <v>2.1057254801271412</v>
      </c>
      <c r="O924">
        <v>2.4466175697261316E-3</v>
      </c>
      <c r="P924">
        <f t="shared" si="113"/>
        <v>0.2121675434593199</v>
      </c>
      <c r="Q924">
        <f t="shared" si="114"/>
        <v>98.551166206303606</v>
      </c>
      <c r="R924">
        <f t="shared" si="115"/>
        <v>0.21237470841218797</v>
      </c>
      <c r="S924">
        <f t="shared" si="116"/>
        <v>0.8318372705485767</v>
      </c>
      <c r="T924">
        <f t="shared" si="117"/>
        <v>5.5337775798269256E-5</v>
      </c>
      <c r="U924">
        <f t="shared" si="118"/>
        <v>1.0517627075204759E-2</v>
      </c>
    </row>
    <row r="925" spans="10:21" x14ac:dyDescent="0.35">
      <c r="J925">
        <f t="shared" si="119"/>
        <v>922</v>
      </c>
      <c r="K925">
        <f>demanda!D923</f>
        <v>1</v>
      </c>
      <c r="L925">
        <f>demanda!I923</f>
        <v>26</v>
      </c>
      <c r="M925">
        <v>11.786175589530247</v>
      </c>
      <c r="N925">
        <f t="shared" si="112"/>
        <v>14.213824410469753</v>
      </c>
      <c r="O925">
        <v>5.2058796926701797E-4</v>
      </c>
      <c r="P925">
        <f t="shared" si="113"/>
        <v>1.4321487946992018</v>
      </c>
      <c r="Q925">
        <f t="shared" si="114"/>
        <v>98.448093693217885</v>
      </c>
      <c r="R925">
        <f t="shared" si="115"/>
        <v>1.4329147864842919</v>
      </c>
      <c r="S925">
        <f t="shared" si="116"/>
        <v>0.15204507516710383</v>
      </c>
      <c r="T925">
        <f t="shared" si="117"/>
        <v>5.3443231470312277E-4</v>
      </c>
      <c r="U925">
        <f t="shared" si="118"/>
        <v>3.270246591113514E-2</v>
      </c>
    </row>
    <row r="926" spans="10:21" x14ac:dyDescent="0.35">
      <c r="J926">
        <f t="shared" si="119"/>
        <v>923</v>
      </c>
      <c r="K926">
        <f>demanda!D924</f>
        <v>0</v>
      </c>
      <c r="L926">
        <f>demanda!I924</f>
        <v>14</v>
      </c>
      <c r="M926">
        <v>14.416809279416043</v>
      </c>
      <c r="N926">
        <f t="shared" si="112"/>
        <v>-0.41680927941604295</v>
      </c>
      <c r="O926">
        <v>7.4087557083441532E-4</v>
      </c>
      <c r="P926">
        <f t="shared" si="113"/>
        <v>-4.1996642838463258E-2</v>
      </c>
      <c r="Q926">
        <f t="shared" si="114"/>
        <v>98.553393055166637</v>
      </c>
      <c r="R926">
        <f t="shared" si="115"/>
        <v>-4.2001280140228352E-2</v>
      </c>
      <c r="S926">
        <f t="shared" si="116"/>
        <v>0.96650204701357412</v>
      </c>
      <c r="T926">
        <f t="shared" si="117"/>
        <v>6.5431696937827154E-7</v>
      </c>
      <c r="U926">
        <f t="shared" si="118"/>
        <v>-1.1436578187608104E-3</v>
      </c>
    </row>
    <row r="927" spans="10:21" x14ac:dyDescent="0.35">
      <c r="J927">
        <f t="shared" si="119"/>
        <v>924</v>
      </c>
      <c r="K927">
        <f>demanda!D925</f>
        <v>0</v>
      </c>
      <c r="L927">
        <f>demanda!I925</f>
        <v>10</v>
      </c>
      <c r="M927">
        <v>14.416809279416043</v>
      </c>
      <c r="N927">
        <f t="shared" si="112"/>
        <v>-4.416809279416043</v>
      </c>
      <c r="O927">
        <v>7.4087557083441532E-4</v>
      </c>
      <c r="P927">
        <f t="shared" si="113"/>
        <v>-0.44502646882795449</v>
      </c>
      <c r="Q927">
        <f t="shared" si="114"/>
        <v>98.543305041978172</v>
      </c>
      <c r="R927">
        <f t="shared" si="115"/>
        <v>-0.44509838991165818</v>
      </c>
      <c r="S927">
        <f t="shared" si="116"/>
        <v>0.65629885256814913</v>
      </c>
      <c r="T927">
        <f t="shared" si="117"/>
        <v>7.3473498325511761E-5</v>
      </c>
      <c r="U927">
        <f t="shared" si="118"/>
        <v>-1.2119636640616644E-2</v>
      </c>
    </row>
    <row r="928" spans="10:21" x14ac:dyDescent="0.35">
      <c r="J928">
        <f t="shared" si="119"/>
        <v>925</v>
      </c>
      <c r="K928">
        <f>demanda!D926</f>
        <v>4</v>
      </c>
      <c r="L928">
        <f>demanda!I926</f>
        <v>4</v>
      </c>
      <c r="M928">
        <v>3.8942745198728588</v>
      </c>
      <c r="N928">
        <f t="shared" si="112"/>
        <v>0.10572548012714122</v>
      </c>
      <c r="O928">
        <v>2.4466175697261316E-3</v>
      </c>
      <c r="P928">
        <f t="shared" si="113"/>
        <v>1.0652630464574285E-2</v>
      </c>
      <c r="Q928">
        <f t="shared" si="114"/>
        <v>98.553477858863673</v>
      </c>
      <c r="R928">
        <f t="shared" si="115"/>
        <v>1.0662906866275572E-2</v>
      </c>
      <c r="S928">
        <f t="shared" si="116"/>
        <v>0.99149350080457299</v>
      </c>
      <c r="T928">
        <f t="shared" si="117"/>
        <v>1.3950106623021426E-7</v>
      </c>
      <c r="U928">
        <f t="shared" si="118"/>
        <v>5.2806889669490694E-4</v>
      </c>
    </row>
    <row r="929" spans="10:21" x14ac:dyDescent="0.35">
      <c r="J929">
        <f t="shared" si="119"/>
        <v>926</v>
      </c>
      <c r="K929">
        <f>demanda!D927</f>
        <v>0</v>
      </c>
      <c r="L929">
        <f>demanda!I927</f>
        <v>3</v>
      </c>
      <c r="M929">
        <v>14.416809279416043</v>
      </c>
      <c r="N929">
        <f t="shared" si="112"/>
        <v>-11.416809279416043</v>
      </c>
      <c r="O929">
        <v>7.4087557083441532E-4</v>
      </c>
      <c r="P929">
        <f t="shared" si="113"/>
        <v>-1.150328664309564</v>
      </c>
      <c r="Q929">
        <f t="shared" si="114"/>
        <v>98.485475268264722</v>
      </c>
      <c r="R929">
        <f t="shared" si="115"/>
        <v>-1.1508523061099405</v>
      </c>
      <c r="S929">
        <f t="shared" si="116"/>
        <v>0.24993638008158123</v>
      </c>
      <c r="T929">
        <f t="shared" si="117"/>
        <v>4.9091117422407117E-4</v>
      </c>
      <c r="U929">
        <f t="shared" si="118"/>
        <v>-3.1336693399040466E-2</v>
      </c>
    </row>
    <row r="930" spans="10:21" x14ac:dyDescent="0.35">
      <c r="J930">
        <f t="shared" si="119"/>
        <v>927</v>
      </c>
      <c r="K930">
        <f>demanda!D928</f>
        <v>1</v>
      </c>
      <c r="L930">
        <f>demanda!I928</f>
        <v>3</v>
      </c>
      <c r="M930">
        <v>11.786175589530247</v>
      </c>
      <c r="N930">
        <f t="shared" si="112"/>
        <v>-8.7861755895302469</v>
      </c>
      <c r="O930">
        <v>5.2058796926701797E-4</v>
      </c>
      <c r="P930">
        <f t="shared" si="113"/>
        <v>-0.88527270474037267</v>
      </c>
      <c r="Q930">
        <f t="shared" si="114"/>
        <v>98.513214102399758</v>
      </c>
      <c r="R930">
        <f t="shared" si="115"/>
        <v>-0.88545339538896362</v>
      </c>
      <c r="S930">
        <f t="shared" si="116"/>
        <v>0.37602308055069167</v>
      </c>
      <c r="T930">
        <f t="shared" si="117"/>
        <v>2.0420697614382047E-4</v>
      </c>
      <c r="U930">
        <f t="shared" si="118"/>
        <v>-2.0208116875988336E-2</v>
      </c>
    </row>
    <row r="931" spans="10:21" x14ac:dyDescent="0.35">
      <c r="J931">
        <f t="shared" si="119"/>
        <v>928</v>
      </c>
      <c r="K931">
        <f>demanda!D929</f>
        <v>0</v>
      </c>
      <c r="L931">
        <f>demanda!I929</f>
        <v>20</v>
      </c>
      <c r="M931">
        <v>14.416809279416043</v>
      </c>
      <c r="N931">
        <f t="shared" si="112"/>
        <v>5.583190720583957</v>
      </c>
      <c r="O931">
        <v>7.4087557083441532E-4</v>
      </c>
      <c r="P931">
        <f t="shared" si="113"/>
        <v>0.56254809614577361</v>
      </c>
      <c r="Q931">
        <f t="shared" si="114"/>
        <v>98.537219295234792</v>
      </c>
      <c r="R931">
        <f t="shared" si="115"/>
        <v>0.56265638426953379</v>
      </c>
      <c r="S931">
        <f t="shared" si="116"/>
        <v>0.57373461200688847</v>
      </c>
      <c r="T931">
        <f t="shared" si="117"/>
        <v>1.1740277235750991E-4</v>
      </c>
      <c r="U931">
        <f t="shared" si="118"/>
        <v>1.5320637156704552E-2</v>
      </c>
    </row>
    <row r="932" spans="10:21" x14ac:dyDescent="0.35">
      <c r="J932">
        <f t="shared" si="119"/>
        <v>929</v>
      </c>
      <c r="K932">
        <f>demanda!D930</f>
        <v>3</v>
      </c>
      <c r="L932">
        <f>demanda!I930</f>
        <v>3</v>
      </c>
      <c r="M932">
        <v>6.5249082097586548</v>
      </c>
      <c r="N932">
        <f t="shared" si="112"/>
        <v>-3.5249082097586548</v>
      </c>
      <c r="O932">
        <v>1.3734589687128761E-3</v>
      </c>
      <c r="P932">
        <f t="shared" si="113"/>
        <v>-0.35516078560198994</v>
      </c>
      <c r="Q932">
        <f t="shared" si="114"/>
        <v>98.546996700749531</v>
      </c>
      <c r="R932">
        <f t="shared" si="115"/>
        <v>-0.35532401713098288</v>
      </c>
      <c r="S932">
        <f t="shared" si="116"/>
        <v>0.72238591463660118</v>
      </c>
      <c r="T932">
        <f t="shared" si="117"/>
        <v>8.6861935283639592E-5</v>
      </c>
      <c r="U932">
        <f t="shared" si="118"/>
        <v>-1.3177434192717408E-2</v>
      </c>
    </row>
    <row r="933" spans="10:21" x14ac:dyDescent="0.35">
      <c r="J933">
        <f t="shared" si="119"/>
        <v>930</v>
      </c>
      <c r="K933">
        <f>demanda!D931</f>
        <v>3</v>
      </c>
      <c r="L933">
        <f>demanda!I931</f>
        <v>2</v>
      </c>
      <c r="M933">
        <v>6.5249082097586548</v>
      </c>
      <c r="N933">
        <f t="shared" si="112"/>
        <v>-4.5249082097586548</v>
      </c>
      <c r="O933">
        <v>1.3734589687128761E-3</v>
      </c>
      <c r="P933">
        <f t="shared" si="113"/>
        <v>-0.45591824209936271</v>
      </c>
      <c r="Q933">
        <f t="shared" si="114"/>
        <v>98.542793943857959</v>
      </c>
      <c r="R933">
        <f t="shared" si="115"/>
        <v>-0.45613750825631832</v>
      </c>
      <c r="S933">
        <f t="shared" si="116"/>
        <v>0.64834271460897308</v>
      </c>
      <c r="T933">
        <f t="shared" si="117"/>
        <v>1.4313749884792331E-4</v>
      </c>
      <c r="U933">
        <f t="shared" si="118"/>
        <v>-1.6916171460658679E-2</v>
      </c>
    </row>
    <row r="934" spans="10:21" x14ac:dyDescent="0.35">
      <c r="J934">
        <f t="shared" si="119"/>
        <v>931</v>
      </c>
      <c r="K934">
        <f>demanda!D932</f>
        <v>2</v>
      </c>
      <c r="L934">
        <f>demanda!I932</f>
        <v>8</v>
      </c>
      <c r="M934">
        <v>9.1555418996444509</v>
      </c>
      <c r="N934">
        <f t="shared" si="112"/>
        <v>-1.1555418996444509</v>
      </c>
      <c r="O934">
        <v>7.3144910189317154E-4</v>
      </c>
      <c r="P934">
        <f t="shared" si="113"/>
        <v>-0.11642946268431729</v>
      </c>
      <c r="Q934">
        <f t="shared" si="114"/>
        <v>98.552787009441474</v>
      </c>
      <c r="R934">
        <f t="shared" si="115"/>
        <v>-0.11644212771865178</v>
      </c>
      <c r="S934">
        <f t="shared" si="116"/>
        <v>0.90731433340227419</v>
      </c>
      <c r="T934">
        <f t="shared" si="117"/>
        <v>4.964956671961163E-6</v>
      </c>
      <c r="U934">
        <f t="shared" si="118"/>
        <v>-3.1503664833126038E-3</v>
      </c>
    </row>
    <row r="935" spans="10:21" x14ac:dyDescent="0.35">
      <c r="J935">
        <f t="shared" si="119"/>
        <v>932</v>
      </c>
      <c r="K935">
        <f>demanda!D933</f>
        <v>3</v>
      </c>
      <c r="L935">
        <f>demanda!I933</f>
        <v>2</v>
      </c>
      <c r="M935">
        <v>6.5249082097586548</v>
      </c>
      <c r="N935">
        <f t="shared" si="112"/>
        <v>-4.5249082097586548</v>
      </c>
      <c r="O935">
        <v>1.3734589687128761E-3</v>
      </c>
      <c r="P935">
        <f t="shared" si="113"/>
        <v>-0.45591824209936271</v>
      </c>
      <c r="Q935">
        <f t="shared" si="114"/>
        <v>98.542793943857959</v>
      </c>
      <c r="R935">
        <f t="shared" si="115"/>
        <v>-0.45613750825631832</v>
      </c>
      <c r="S935">
        <f t="shared" si="116"/>
        <v>0.64834271460897308</v>
      </c>
      <c r="T935">
        <f t="shared" si="117"/>
        <v>1.4313749884792331E-4</v>
      </c>
      <c r="U935">
        <f t="shared" si="118"/>
        <v>-1.6916171460658679E-2</v>
      </c>
    </row>
    <row r="936" spans="10:21" x14ac:dyDescent="0.35">
      <c r="J936">
        <f t="shared" si="119"/>
        <v>933</v>
      </c>
      <c r="K936">
        <f>demanda!D934</f>
        <v>3</v>
      </c>
      <c r="L936">
        <f>demanda!I934</f>
        <v>3</v>
      </c>
      <c r="M936">
        <v>6.5249082097586548</v>
      </c>
      <c r="N936">
        <f t="shared" si="112"/>
        <v>-3.5249082097586548</v>
      </c>
      <c r="O936">
        <v>1.3734589687128761E-3</v>
      </c>
      <c r="P936">
        <f t="shared" si="113"/>
        <v>-0.35516078560198994</v>
      </c>
      <c r="Q936">
        <f t="shared" si="114"/>
        <v>98.546996700749531</v>
      </c>
      <c r="R936">
        <f t="shared" si="115"/>
        <v>-0.35532401713098288</v>
      </c>
      <c r="S936">
        <f t="shared" si="116"/>
        <v>0.72238591463660118</v>
      </c>
      <c r="T936">
        <f t="shared" si="117"/>
        <v>8.6861935283639592E-5</v>
      </c>
      <c r="U936">
        <f t="shared" si="118"/>
        <v>-1.3177434192717408E-2</v>
      </c>
    </row>
    <row r="937" spans="10:21" x14ac:dyDescent="0.35">
      <c r="J937">
        <f t="shared" si="119"/>
        <v>934</v>
      </c>
      <c r="K937">
        <f>demanda!D935</f>
        <v>4</v>
      </c>
      <c r="L937">
        <f>demanda!I935</f>
        <v>8</v>
      </c>
      <c r="M937">
        <v>3.8942745198728588</v>
      </c>
      <c r="N937">
        <f t="shared" si="112"/>
        <v>4.1057254801271412</v>
      </c>
      <c r="O937">
        <v>2.4466175697261316E-3</v>
      </c>
      <c r="P937">
        <f t="shared" si="113"/>
        <v>0.41368245645406548</v>
      </c>
      <c r="Q937">
        <f t="shared" si="114"/>
        <v>98.544673312374655</v>
      </c>
      <c r="R937">
        <f t="shared" si="115"/>
        <v>0.41410002630267911</v>
      </c>
      <c r="S937">
        <f t="shared" si="116"/>
        <v>0.67884713170182909</v>
      </c>
      <c r="T937">
        <f t="shared" si="117"/>
        <v>2.1037688032775874E-4</v>
      </c>
      <c r="U937">
        <f t="shared" si="118"/>
        <v>2.0507854636018945E-2</v>
      </c>
    </row>
    <row r="938" spans="10:21" x14ac:dyDescent="0.35">
      <c r="J938">
        <f t="shared" si="119"/>
        <v>935</v>
      </c>
      <c r="K938">
        <f>demanda!D936</f>
        <v>0</v>
      </c>
      <c r="L938">
        <f>demanda!I936</f>
        <v>8</v>
      </c>
      <c r="M938">
        <v>14.416809279416043</v>
      </c>
      <c r="N938">
        <f t="shared" si="112"/>
        <v>-6.416809279416043</v>
      </c>
      <c r="O938">
        <v>7.4087557083441532E-4</v>
      </c>
      <c r="P938">
        <f t="shared" si="113"/>
        <v>-0.64654138182270005</v>
      </c>
      <c r="Q938">
        <f t="shared" si="114"/>
        <v>98.531999879441045</v>
      </c>
      <c r="R938">
        <f t="shared" si="115"/>
        <v>-0.64668296559256133</v>
      </c>
      <c r="S938">
        <f t="shared" si="116"/>
        <v>0.51791448613837154</v>
      </c>
      <c r="T938">
        <f t="shared" si="117"/>
        <v>1.5507853448804487E-4</v>
      </c>
      <c r="U938">
        <f t="shared" si="118"/>
        <v>-1.7608606866032061E-2</v>
      </c>
    </row>
    <row r="939" spans="10:21" x14ac:dyDescent="0.35">
      <c r="J939">
        <f t="shared" si="119"/>
        <v>936</v>
      </c>
      <c r="K939">
        <f>demanda!D937</f>
        <v>0</v>
      </c>
      <c r="L939">
        <f>demanda!I937</f>
        <v>31</v>
      </c>
      <c r="M939">
        <v>14.416809279416043</v>
      </c>
      <c r="N939">
        <f t="shared" si="112"/>
        <v>16.583190720583957</v>
      </c>
      <c r="O939">
        <v>7.4087557083441532E-4</v>
      </c>
      <c r="P939">
        <f t="shared" si="113"/>
        <v>1.6708801176168744</v>
      </c>
      <c r="Q939">
        <f t="shared" si="114"/>
        <v>98.409997721916127</v>
      </c>
      <c r="R939">
        <f t="shared" si="115"/>
        <v>1.672281646486445</v>
      </c>
      <c r="S939">
        <f t="shared" si="116"/>
        <v>9.4631812115691313E-2</v>
      </c>
      <c r="T939">
        <f t="shared" si="117"/>
        <v>1.0357372993686853E-3</v>
      </c>
      <c r="U939">
        <f t="shared" si="118"/>
        <v>4.5534754507223614E-2</v>
      </c>
    </row>
    <row r="940" spans="10:21" x14ac:dyDescent="0.35">
      <c r="J940">
        <f t="shared" si="119"/>
        <v>937</v>
      </c>
      <c r="K940">
        <f>demanda!D938</f>
        <v>0</v>
      </c>
      <c r="L940">
        <f>demanda!I938</f>
        <v>10</v>
      </c>
      <c r="M940">
        <v>14.416809279416043</v>
      </c>
      <c r="N940">
        <f t="shared" si="112"/>
        <v>-4.416809279416043</v>
      </c>
      <c r="O940">
        <v>7.4087557083441532E-4</v>
      </c>
      <c r="P940">
        <f t="shared" si="113"/>
        <v>-0.44502646882795449</v>
      </c>
      <c r="Q940">
        <f t="shared" si="114"/>
        <v>98.543305041978172</v>
      </c>
      <c r="R940">
        <f t="shared" si="115"/>
        <v>-0.44509838991165818</v>
      </c>
      <c r="S940">
        <f t="shared" si="116"/>
        <v>0.65629885256814913</v>
      </c>
      <c r="T940">
        <f t="shared" si="117"/>
        <v>7.3473498325511761E-5</v>
      </c>
      <c r="U940">
        <f t="shared" si="118"/>
        <v>-1.2119636640616644E-2</v>
      </c>
    </row>
    <row r="941" spans="10:21" x14ac:dyDescent="0.35">
      <c r="J941">
        <f t="shared" si="119"/>
        <v>938</v>
      </c>
      <c r="K941">
        <f>demanda!D939</f>
        <v>0</v>
      </c>
      <c r="L941">
        <f>demanda!I939</f>
        <v>5</v>
      </c>
      <c r="M941">
        <v>14.416809279416043</v>
      </c>
      <c r="N941">
        <f t="shared" si="112"/>
        <v>-9.416809279416043</v>
      </c>
      <c r="O941">
        <v>7.4087557083441532E-4</v>
      </c>
      <c r="P941">
        <f t="shared" si="113"/>
        <v>-0.94881375131481849</v>
      </c>
      <c r="Q941">
        <f t="shared" si="114"/>
        <v>98.507215690706701</v>
      </c>
      <c r="R941">
        <f t="shared" si="115"/>
        <v>-0.94914090693055775</v>
      </c>
      <c r="S941">
        <f t="shared" si="116"/>
        <v>0.34266846368408377</v>
      </c>
      <c r="T941">
        <f t="shared" si="117"/>
        <v>3.339803955874275E-4</v>
      </c>
      <c r="U941">
        <f t="shared" si="118"/>
        <v>-2.5844269881602652E-2</v>
      </c>
    </row>
    <row r="942" spans="10:21" x14ac:dyDescent="0.35">
      <c r="J942">
        <f t="shared" si="119"/>
        <v>939</v>
      </c>
      <c r="K942">
        <f>demanda!D940</f>
        <v>4</v>
      </c>
      <c r="L942">
        <f>demanda!I940</f>
        <v>2</v>
      </c>
      <c r="M942">
        <v>3.8942745198728588</v>
      </c>
      <c r="N942">
        <f t="shared" si="112"/>
        <v>-1.8942745198728588</v>
      </c>
      <c r="O942">
        <v>2.4466175697261316E-3</v>
      </c>
      <c r="P942">
        <f t="shared" si="113"/>
        <v>-0.19086228253017132</v>
      </c>
      <c r="Q942">
        <f t="shared" si="114"/>
        <v>98.551608270054842</v>
      </c>
      <c r="R942">
        <f t="shared" si="115"/>
        <v>-0.19104821608300357</v>
      </c>
      <c r="S942">
        <f t="shared" si="116"/>
        <v>0.84850802764464628</v>
      </c>
      <c r="T942">
        <f t="shared" si="117"/>
        <v>4.4782056131641625E-5</v>
      </c>
      <c r="U942">
        <f t="shared" si="118"/>
        <v>-9.4614556750527434E-3</v>
      </c>
    </row>
    <row r="943" spans="10:21" x14ac:dyDescent="0.35">
      <c r="J943">
        <f t="shared" si="119"/>
        <v>940</v>
      </c>
      <c r="K943">
        <f>demanda!D941</f>
        <v>3</v>
      </c>
      <c r="L943">
        <f>demanda!I941</f>
        <v>1</v>
      </c>
      <c r="M943">
        <v>6.5249082097586548</v>
      </c>
      <c r="N943">
        <f t="shared" si="112"/>
        <v>-5.5249082097586548</v>
      </c>
      <c r="O943">
        <v>1.3734589687128761E-3</v>
      </c>
      <c r="P943">
        <f t="shared" si="113"/>
        <v>-0.55667569859673549</v>
      </c>
      <c r="Q943">
        <f t="shared" si="114"/>
        <v>98.537546999950791</v>
      </c>
      <c r="R943">
        <f t="shared" si="115"/>
        <v>-0.55695825025714663</v>
      </c>
      <c r="S943">
        <f t="shared" si="116"/>
        <v>0.57762090298980895</v>
      </c>
      <c r="T943">
        <f t="shared" si="117"/>
        <v>2.1339488774373627E-4</v>
      </c>
      <c r="U943">
        <f t="shared" si="118"/>
        <v>-2.0655177632276707E-2</v>
      </c>
    </row>
    <row r="944" spans="10:21" x14ac:dyDescent="0.35">
      <c r="J944">
        <f t="shared" si="119"/>
        <v>941</v>
      </c>
      <c r="K944">
        <f>demanda!D942</f>
        <v>1</v>
      </c>
      <c r="L944">
        <f>demanda!I942</f>
        <v>6</v>
      </c>
      <c r="M944">
        <v>11.786175589530247</v>
      </c>
      <c r="N944">
        <f t="shared" si="112"/>
        <v>-5.7861755895302469</v>
      </c>
      <c r="O944">
        <v>5.2058796926701797E-4</v>
      </c>
      <c r="P944">
        <f t="shared" si="113"/>
        <v>-0.58300033524825434</v>
      </c>
      <c r="Q944">
        <f t="shared" si="114"/>
        <v>98.536019015832139</v>
      </c>
      <c r="R944">
        <f t="shared" si="115"/>
        <v>-0.58305184819450462</v>
      </c>
      <c r="S944">
        <f t="shared" si="116"/>
        <v>0.55992690572315473</v>
      </c>
      <c r="T944">
        <f t="shared" si="117"/>
        <v>8.8563349919163143E-5</v>
      </c>
      <c r="U944">
        <f t="shared" si="118"/>
        <v>-1.3306606484805191E-2</v>
      </c>
    </row>
    <row r="945" spans="10:21" x14ac:dyDescent="0.35">
      <c r="J945">
        <f t="shared" si="119"/>
        <v>942</v>
      </c>
      <c r="K945">
        <f>demanda!D943</f>
        <v>0</v>
      </c>
      <c r="L945">
        <f>demanda!I943</f>
        <v>15</v>
      </c>
      <c r="M945">
        <v>14.416809279416043</v>
      </c>
      <c r="N945">
        <f t="shared" si="112"/>
        <v>0.58319072058395705</v>
      </c>
      <c r="O945">
        <v>7.4087557083441532E-4</v>
      </c>
      <c r="P945">
        <f t="shared" si="113"/>
        <v>5.8760813658909554E-2</v>
      </c>
      <c r="Q945">
        <f t="shared" si="114"/>
        <v>98.553306243487526</v>
      </c>
      <c r="R945">
        <f t="shared" si="115"/>
        <v>5.8767327956256402E-2</v>
      </c>
      <c r="S945">
        <f t="shared" si="116"/>
        <v>0.95314355069247325</v>
      </c>
      <c r="T945">
        <f t="shared" si="117"/>
        <v>1.2809572488725558E-6</v>
      </c>
      <c r="U945">
        <f t="shared" si="118"/>
        <v>1.6001825154010173E-3</v>
      </c>
    </row>
    <row r="946" spans="10:21" x14ac:dyDescent="0.35">
      <c r="J946">
        <f t="shared" si="119"/>
        <v>943</v>
      </c>
      <c r="K946">
        <f>demanda!D944</f>
        <v>0</v>
      </c>
      <c r="L946">
        <f>demanda!I944</f>
        <v>3</v>
      </c>
      <c r="M946">
        <v>14.416809279416043</v>
      </c>
      <c r="N946">
        <f t="shared" si="112"/>
        <v>-11.416809279416043</v>
      </c>
      <c r="O946">
        <v>7.4087557083441532E-4</v>
      </c>
      <c r="P946">
        <f t="shared" si="113"/>
        <v>-1.150328664309564</v>
      </c>
      <c r="Q946">
        <f t="shared" si="114"/>
        <v>98.485475268264722</v>
      </c>
      <c r="R946">
        <f t="shared" si="115"/>
        <v>-1.1508523061099405</v>
      </c>
      <c r="S946">
        <f t="shared" si="116"/>
        <v>0.24993638008158123</v>
      </c>
      <c r="T946">
        <f t="shared" si="117"/>
        <v>4.9091117422407117E-4</v>
      </c>
      <c r="U946">
        <f t="shared" si="118"/>
        <v>-3.1336693399040466E-2</v>
      </c>
    </row>
    <row r="947" spans="10:21" x14ac:dyDescent="0.35">
      <c r="J947">
        <f t="shared" si="119"/>
        <v>944</v>
      </c>
      <c r="K947">
        <f>demanda!D945</f>
        <v>0</v>
      </c>
      <c r="L947">
        <f>demanda!I945</f>
        <v>4</v>
      </c>
      <c r="M947">
        <v>14.416809279416043</v>
      </c>
      <c r="N947">
        <f t="shared" si="112"/>
        <v>-10.416809279416043</v>
      </c>
      <c r="O947">
        <v>7.4087557083441532E-4</v>
      </c>
      <c r="P947">
        <f t="shared" si="113"/>
        <v>-1.0495712078121913</v>
      </c>
      <c r="Q947">
        <f t="shared" si="114"/>
        <v>98.49686724248096</v>
      </c>
      <c r="R947">
        <f t="shared" si="115"/>
        <v>-1.049988258586362</v>
      </c>
      <c r="S947">
        <f t="shared" si="116"/>
        <v>0.29385572056513598</v>
      </c>
      <c r="T947">
        <f t="shared" si="117"/>
        <v>4.0867949778204384E-4</v>
      </c>
      <c r="U947">
        <f t="shared" si="118"/>
        <v>-2.8590254333443563E-2</v>
      </c>
    </row>
    <row r="948" spans="10:21" x14ac:dyDescent="0.35">
      <c r="J948">
        <f t="shared" si="119"/>
        <v>945</v>
      </c>
      <c r="K948">
        <f>demanda!D946</f>
        <v>0</v>
      </c>
      <c r="L948">
        <f>demanda!I946</f>
        <v>11</v>
      </c>
      <c r="M948">
        <v>14.416809279416043</v>
      </c>
      <c r="N948">
        <f t="shared" si="112"/>
        <v>-3.416809279416043</v>
      </c>
      <c r="O948">
        <v>7.4087557083441532E-4</v>
      </c>
      <c r="P948">
        <f t="shared" si="113"/>
        <v>-0.34426901233058166</v>
      </c>
      <c r="Q948">
        <f t="shared" si="114"/>
        <v>98.547392334261005</v>
      </c>
      <c r="R948">
        <f t="shared" si="115"/>
        <v>-0.34431750934619676</v>
      </c>
      <c r="S948">
        <f t="shared" si="116"/>
        <v>0.73064524437297085</v>
      </c>
      <c r="T948">
        <f t="shared" si="117"/>
        <v>4.3969841615361785E-5</v>
      </c>
      <c r="U948">
        <f t="shared" si="118"/>
        <v>-9.3754621379472432E-3</v>
      </c>
    </row>
    <row r="949" spans="10:21" x14ac:dyDescent="0.35">
      <c r="J949">
        <f t="shared" si="119"/>
        <v>946</v>
      </c>
      <c r="K949">
        <f>demanda!D947</f>
        <v>1</v>
      </c>
      <c r="L949">
        <f>demanda!I947</f>
        <v>4</v>
      </c>
      <c r="M949">
        <v>11.786175589530247</v>
      </c>
      <c r="N949">
        <f t="shared" si="112"/>
        <v>-7.7861755895302469</v>
      </c>
      <c r="O949">
        <v>5.2058796926701797E-4</v>
      </c>
      <c r="P949">
        <f t="shared" si="113"/>
        <v>-0.7845152482429999</v>
      </c>
      <c r="Q949">
        <f t="shared" si="114"/>
        <v>98.52185903620547</v>
      </c>
      <c r="R949">
        <f t="shared" si="115"/>
        <v>-0.784640946599786</v>
      </c>
      <c r="S949">
        <f t="shared" si="116"/>
        <v>0.43276096337473069</v>
      </c>
      <c r="T949">
        <f t="shared" si="117"/>
        <v>1.6036855085321727E-4</v>
      </c>
      <c r="U949">
        <f t="shared" si="118"/>
        <v>-1.7907341071981879E-2</v>
      </c>
    </row>
    <row r="950" spans="10:21" x14ac:dyDescent="0.35">
      <c r="J950">
        <f t="shared" si="119"/>
        <v>947</v>
      </c>
      <c r="K950">
        <f>demanda!D948</f>
        <v>3</v>
      </c>
      <c r="L950">
        <f>demanda!I948</f>
        <v>9</v>
      </c>
      <c r="M950">
        <v>6.5249082097586548</v>
      </c>
      <c r="N950">
        <f t="shared" si="112"/>
        <v>2.4750917902413452</v>
      </c>
      <c r="O950">
        <v>1.3734589687128761E-3</v>
      </c>
      <c r="P950">
        <f t="shared" si="113"/>
        <v>0.24938395338224692</v>
      </c>
      <c r="Q950">
        <f t="shared" si="114"/>
        <v>98.550285314771585</v>
      </c>
      <c r="R950">
        <f t="shared" si="115"/>
        <v>0.24949440708179485</v>
      </c>
      <c r="S950">
        <f t="shared" si="116"/>
        <v>0.80300506873249644</v>
      </c>
      <c r="T950">
        <f t="shared" si="117"/>
        <v>4.2826885860052115E-5</v>
      </c>
      <c r="U950">
        <f t="shared" si="118"/>
        <v>9.2526707238015336E-3</v>
      </c>
    </row>
    <row r="951" spans="10:21" x14ac:dyDescent="0.35">
      <c r="J951">
        <f t="shared" si="119"/>
        <v>948</v>
      </c>
      <c r="K951">
        <f>demanda!D949</f>
        <v>0</v>
      </c>
      <c r="L951">
        <f>demanda!I949</f>
        <v>10</v>
      </c>
      <c r="M951">
        <v>14.416809279416043</v>
      </c>
      <c r="N951">
        <f t="shared" si="112"/>
        <v>-4.416809279416043</v>
      </c>
      <c r="O951">
        <v>7.4087557083441532E-4</v>
      </c>
      <c r="P951">
        <f t="shared" si="113"/>
        <v>-0.44502646882795449</v>
      </c>
      <c r="Q951">
        <f t="shared" si="114"/>
        <v>98.543305041978172</v>
      </c>
      <c r="R951">
        <f t="shared" si="115"/>
        <v>-0.44509838991165818</v>
      </c>
      <c r="S951">
        <f t="shared" si="116"/>
        <v>0.65629885256814913</v>
      </c>
      <c r="T951">
        <f t="shared" si="117"/>
        <v>7.3473498325511761E-5</v>
      </c>
      <c r="U951">
        <f t="shared" si="118"/>
        <v>-1.2119636640616644E-2</v>
      </c>
    </row>
    <row r="952" spans="10:21" x14ac:dyDescent="0.35">
      <c r="J952">
        <f t="shared" si="119"/>
        <v>949</v>
      </c>
      <c r="K952">
        <f>demanda!D950</f>
        <v>0</v>
      </c>
      <c r="L952">
        <f>demanda!I950</f>
        <v>28</v>
      </c>
      <c r="M952">
        <v>14.416809279416043</v>
      </c>
      <c r="N952">
        <f t="shared" si="112"/>
        <v>13.583190720583957</v>
      </c>
      <c r="O952">
        <v>7.4087557083441532E-4</v>
      </c>
      <c r="P952">
        <f t="shared" si="113"/>
        <v>1.3686077481247561</v>
      </c>
      <c r="Q952">
        <f t="shared" si="114"/>
        <v>98.457216826525212</v>
      </c>
      <c r="R952">
        <f t="shared" si="115"/>
        <v>1.3694272318804395</v>
      </c>
      <c r="S952">
        <f t="shared" si="116"/>
        <v>0.17102599994876813</v>
      </c>
      <c r="T952">
        <f t="shared" si="117"/>
        <v>6.9489153739670493E-4</v>
      </c>
      <c r="U952">
        <f t="shared" si="118"/>
        <v>3.7288295874201023E-2</v>
      </c>
    </row>
    <row r="953" spans="10:21" x14ac:dyDescent="0.35">
      <c r="J953">
        <f t="shared" si="119"/>
        <v>950</v>
      </c>
      <c r="K953">
        <f>demanda!D951</f>
        <v>1</v>
      </c>
      <c r="L953">
        <f>demanda!I951</f>
        <v>8</v>
      </c>
      <c r="M953">
        <v>11.786175589530247</v>
      </c>
      <c r="N953">
        <f t="shared" si="112"/>
        <v>-3.7861755895302469</v>
      </c>
      <c r="O953">
        <v>5.2058796926701797E-4</v>
      </c>
      <c r="P953">
        <f t="shared" si="113"/>
        <v>-0.38148542225350868</v>
      </c>
      <c r="Q953">
        <f t="shared" si="114"/>
        <v>98.546005811479162</v>
      </c>
      <c r="R953">
        <f t="shared" si="115"/>
        <v>-0.38149979733331263</v>
      </c>
      <c r="S953">
        <f t="shared" si="116"/>
        <v>0.70287465676174632</v>
      </c>
      <c r="T953">
        <f t="shared" si="117"/>
        <v>3.7920348514645389E-5</v>
      </c>
      <c r="U953">
        <f t="shared" si="118"/>
        <v>-8.7067174092102829E-3</v>
      </c>
    </row>
    <row r="954" spans="10:21" x14ac:dyDescent="0.35">
      <c r="J954">
        <f t="shared" si="119"/>
        <v>951</v>
      </c>
      <c r="K954">
        <f>demanda!D952</f>
        <v>0</v>
      </c>
      <c r="L954">
        <f>demanda!I952</f>
        <v>18</v>
      </c>
      <c r="M954">
        <v>14.416809279416043</v>
      </c>
      <c r="N954">
        <f t="shared" si="112"/>
        <v>3.583190720583957</v>
      </c>
      <c r="O954">
        <v>7.4087557083441532E-4</v>
      </c>
      <c r="P954">
        <f t="shared" si="113"/>
        <v>0.36103318315102795</v>
      </c>
      <c r="Q954">
        <f t="shared" si="114"/>
        <v>98.546784652507341</v>
      </c>
      <c r="R954">
        <f t="shared" si="115"/>
        <v>0.3610851550254302</v>
      </c>
      <c r="S954">
        <f t="shared" si="116"/>
        <v>0.7180755365508017</v>
      </c>
      <c r="T954">
        <f t="shared" si="117"/>
        <v>4.8356323571821784E-5</v>
      </c>
      <c r="U954">
        <f t="shared" si="118"/>
        <v>9.8320303429934326E-3</v>
      </c>
    </row>
    <row r="955" spans="10:21" x14ac:dyDescent="0.35">
      <c r="J955">
        <f t="shared" si="119"/>
        <v>952</v>
      </c>
      <c r="K955">
        <f>demanda!D953</f>
        <v>1</v>
      </c>
      <c r="L955">
        <f>demanda!I953</f>
        <v>22</v>
      </c>
      <c r="M955">
        <v>11.786175589530247</v>
      </c>
      <c r="N955">
        <f t="shared" si="112"/>
        <v>10.213824410469753</v>
      </c>
      <c r="O955">
        <v>5.2058796926701797E-4</v>
      </c>
      <c r="P955">
        <f t="shared" si="113"/>
        <v>1.0291189687097106</v>
      </c>
      <c r="Q955">
        <f t="shared" si="114"/>
        <v>98.499064229577968</v>
      </c>
      <c r="R955">
        <f t="shared" si="115"/>
        <v>1.0294029508567815</v>
      </c>
      <c r="S955">
        <f t="shared" si="116"/>
        <v>0.30342008877727494</v>
      </c>
      <c r="T955">
        <f t="shared" si="117"/>
        <v>2.7596092551003982E-4</v>
      </c>
      <c r="U955">
        <f t="shared" si="118"/>
        <v>2.3493382318854904E-2</v>
      </c>
    </row>
    <row r="956" spans="10:21" x14ac:dyDescent="0.35">
      <c r="J956">
        <f t="shared" si="119"/>
        <v>953</v>
      </c>
      <c r="K956">
        <f>demanda!D954</f>
        <v>1</v>
      </c>
      <c r="L956">
        <f>demanda!I954</f>
        <v>22</v>
      </c>
      <c r="M956">
        <v>11.786175589530247</v>
      </c>
      <c r="N956">
        <f t="shared" si="112"/>
        <v>10.213824410469753</v>
      </c>
      <c r="O956">
        <v>5.2058796926701797E-4</v>
      </c>
      <c r="P956">
        <f t="shared" si="113"/>
        <v>1.0291189687097106</v>
      </c>
      <c r="Q956">
        <f t="shared" si="114"/>
        <v>98.499064229577968</v>
      </c>
      <c r="R956">
        <f t="shared" si="115"/>
        <v>1.0294029508567815</v>
      </c>
      <c r="S956">
        <f t="shared" si="116"/>
        <v>0.30342008877727494</v>
      </c>
      <c r="T956">
        <f t="shared" si="117"/>
        <v>2.7596092551003982E-4</v>
      </c>
      <c r="U956">
        <f t="shared" si="118"/>
        <v>2.3493382318854904E-2</v>
      </c>
    </row>
    <row r="957" spans="10:21" x14ac:dyDescent="0.35">
      <c r="J957">
        <f t="shared" si="119"/>
        <v>954</v>
      </c>
      <c r="K957">
        <f>demanda!D955</f>
        <v>1</v>
      </c>
      <c r="L957">
        <f>demanda!I955</f>
        <v>13</v>
      </c>
      <c r="M957">
        <v>11.786175589530247</v>
      </c>
      <c r="N957">
        <f t="shared" si="112"/>
        <v>1.2138244104697531</v>
      </c>
      <c r="O957">
        <v>5.2058796926701797E-4</v>
      </c>
      <c r="P957">
        <f t="shared" si="113"/>
        <v>0.12230186023335533</v>
      </c>
      <c r="Q957">
        <f t="shared" si="114"/>
        <v>98.552715120685733</v>
      </c>
      <c r="R957">
        <f t="shared" si="115"/>
        <v>0.12230230551078146</v>
      </c>
      <c r="S957">
        <f t="shared" si="116"/>
        <v>0.90267241210292171</v>
      </c>
      <c r="T957">
        <f t="shared" si="117"/>
        <v>3.8974679450726784E-6</v>
      </c>
      <c r="U957">
        <f t="shared" si="118"/>
        <v>2.7912245826094769E-3</v>
      </c>
    </row>
    <row r="958" spans="10:21" x14ac:dyDescent="0.35">
      <c r="J958">
        <f t="shared" si="119"/>
        <v>955</v>
      </c>
      <c r="K958">
        <f>demanda!D956</f>
        <v>1</v>
      </c>
      <c r="L958">
        <f>demanda!I956</f>
        <v>83</v>
      </c>
      <c r="M958">
        <v>11.786175589530247</v>
      </c>
      <c r="N958">
        <f t="shared" si="112"/>
        <v>71.213824410469755</v>
      </c>
      <c r="O958">
        <v>5.2058796926701797E-4</v>
      </c>
      <c r="P958">
        <f t="shared" si="113"/>
        <v>7.1753238150494516</v>
      </c>
      <c r="Q958">
        <f t="shared" si="114"/>
        <v>95.907993462929099</v>
      </c>
      <c r="R958">
        <f t="shared" si="115"/>
        <v>7.2736094883031059</v>
      </c>
      <c r="S958">
        <f t="shared" si="116"/>
        <v>5.0750770402520395E-13</v>
      </c>
      <c r="T958">
        <f t="shared" si="117"/>
        <v>1.3415270581229304E-2</v>
      </c>
      <c r="U958">
        <f t="shared" si="118"/>
        <v>0.16600077589104351</v>
      </c>
    </row>
    <row r="959" spans="10:21" x14ac:dyDescent="0.35">
      <c r="J959">
        <f t="shared" si="119"/>
        <v>956</v>
      </c>
      <c r="K959">
        <f>demanda!D957</f>
        <v>0</v>
      </c>
      <c r="L959">
        <f>demanda!I957</f>
        <v>28</v>
      </c>
      <c r="M959">
        <v>14.416809279416043</v>
      </c>
      <c r="N959">
        <f t="shared" si="112"/>
        <v>13.583190720583957</v>
      </c>
      <c r="O959">
        <v>7.4087557083441532E-4</v>
      </c>
      <c r="P959">
        <f t="shared" si="113"/>
        <v>1.3686077481247561</v>
      </c>
      <c r="Q959">
        <f t="shared" si="114"/>
        <v>98.457216826525212</v>
      </c>
      <c r="R959">
        <f t="shared" si="115"/>
        <v>1.3694272318804395</v>
      </c>
      <c r="S959">
        <f t="shared" si="116"/>
        <v>0.17102599994876813</v>
      </c>
      <c r="T959">
        <f t="shared" si="117"/>
        <v>6.9489153739670493E-4</v>
      </c>
      <c r="U959">
        <f t="shared" si="118"/>
        <v>3.7288295874201023E-2</v>
      </c>
    </row>
    <row r="960" spans="10:21" x14ac:dyDescent="0.35">
      <c r="J960">
        <f t="shared" si="119"/>
        <v>957</v>
      </c>
      <c r="K960">
        <f>demanda!D958</f>
        <v>0</v>
      </c>
      <c r="L960">
        <f>demanda!I958</f>
        <v>12</v>
      </c>
      <c r="M960">
        <v>14.416809279416043</v>
      </c>
      <c r="N960">
        <f t="shared" si="112"/>
        <v>-2.416809279416043</v>
      </c>
      <c r="O960">
        <v>7.4087557083441532E-4</v>
      </c>
      <c r="P960">
        <f t="shared" si="113"/>
        <v>-0.24351155583320885</v>
      </c>
      <c r="Q960">
        <f t="shared" si="114"/>
        <v>98.55043610055337</v>
      </c>
      <c r="R960">
        <f t="shared" si="115"/>
        <v>-0.24354209816225414</v>
      </c>
      <c r="S960">
        <f t="shared" si="116"/>
        <v>0.80761150818210881</v>
      </c>
      <c r="T960">
        <f t="shared" si="117"/>
        <v>2.199875915262289E-5</v>
      </c>
      <c r="U960">
        <f t="shared" si="118"/>
        <v>-6.6314365617133417E-3</v>
      </c>
    </row>
    <row r="961" spans="10:21" x14ac:dyDescent="0.35">
      <c r="J961">
        <f t="shared" si="119"/>
        <v>958</v>
      </c>
      <c r="K961">
        <f>demanda!D959</f>
        <v>0</v>
      </c>
      <c r="L961">
        <f>demanda!I959</f>
        <v>42</v>
      </c>
      <c r="M961">
        <v>14.416809279416043</v>
      </c>
      <c r="N961">
        <f t="shared" si="112"/>
        <v>27.583190720583957</v>
      </c>
      <c r="O961">
        <v>7.4087557083441532E-4</v>
      </c>
      <c r="P961">
        <f t="shared" si="113"/>
        <v>2.7792121390879752</v>
      </c>
      <c r="Q961">
        <f t="shared" si="114"/>
        <v>98.156509503748879</v>
      </c>
      <c r="R961">
        <f t="shared" si="115"/>
        <v>2.7851326715485096</v>
      </c>
      <c r="S961">
        <f t="shared" si="116"/>
        <v>5.403136897864781E-3</v>
      </c>
      <c r="T961">
        <f t="shared" si="117"/>
        <v>2.8655133103165998E-3</v>
      </c>
      <c r="U961">
        <f t="shared" si="118"/>
        <v>7.5836706535328952E-2</v>
      </c>
    </row>
    <row r="962" spans="10:21" x14ac:dyDescent="0.35">
      <c r="J962">
        <f t="shared" si="119"/>
        <v>959</v>
      </c>
      <c r="K962">
        <f>demanda!D960</f>
        <v>3</v>
      </c>
      <c r="L962">
        <f>demanda!I960</f>
        <v>5</v>
      </c>
      <c r="M962">
        <v>6.5249082097586548</v>
      </c>
      <c r="N962">
        <f t="shared" si="112"/>
        <v>-1.5249082097586548</v>
      </c>
      <c r="O962">
        <v>1.3734589687128761E-3</v>
      </c>
      <c r="P962">
        <f t="shared" si="113"/>
        <v>-0.1536458726072443</v>
      </c>
      <c r="Q962">
        <f t="shared" si="114"/>
        <v>98.552269653485908</v>
      </c>
      <c r="R962">
        <f t="shared" si="115"/>
        <v>-0.15371237580313085</v>
      </c>
      <c r="S962">
        <f t="shared" si="116"/>
        <v>0.8778526883286133</v>
      </c>
      <c r="T962">
        <f t="shared" si="117"/>
        <v>1.625628414965998E-5</v>
      </c>
      <c r="U962">
        <f t="shared" si="118"/>
        <v>-5.7005285854497502E-3</v>
      </c>
    </row>
    <row r="963" spans="10:21" x14ac:dyDescent="0.35">
      <c r="J963">
        <f t="shared" si="119"/>
        <v>960</v>
      </c>
      <c r="K963">
        <f>demanda!D961</f>
        <v>0</v>
      </c>
      <c r="L963">
        <f>demanda!I961</f>
        <v>4</v>
      </c>
      <c r="M963">
        <v>14.416809279416043</v>
      </c>
      <c r="N963">
        <f t="shared" si="112"/>
        <v>-10.416809279416043</v>
      </c>
      <c r="O963">
        <v>7.4087557083441532E-4</v>
      </c>
      <c r="P963">
        <f t="shared" si="113"/>
        <v>-1.0495712078121913</v>
      </c>
      <c r="Q963">
        <f t="shared" si="114"/>
        <v>98.49686724248096</v>
      </c>
      <c r="R963">
        <f t="shared" si="115"/>
        <v>-1.049988258586362</v>
      </c>
      <c r="S963">
        <f t="shared" si="116"/>
        <v>0.29385572056513598</v>
      </c>
      <c r="T963">
        <f t="shared" si="117"/>
        <v>4.0867949778204384E-4</v>
      </c>
      <c r="U963">
        <f t="shared" si="118"/>
        <v>-2.8590254333443563E-2</v>
      </c>
    </row>
    <row r="964" spans="10:21" x14ac:dyDescent="0.35">
      <c r="J964">
        <f t="shared" si="119"/>
        <v>961</v>
      </c>
      <c r="K964">
        <f>demanda!D962</f>
        <v>0</v>
      </c>
      <c r="L964">
        <f>demanda!I962</f>
        <v>3</v>
      </c>
      <c r="M964">
        <v>14.416809279416043</v>
      </c>
      <c r="N964">
        <f t="shared" si="112"/>
        <v>-11.416809279416043</v>
      </c>
      <c r="O964">
        <v>7.4087557083441532E-4</v>
      </c>
      <c r="P964">
        <f t="shared" si="113"/>
        <v>-1.150328664309564</v>
      </c>
      <c r="Q964">
        <f t="shared" si="114"/>
        <v>98.485475268264722</v>
      </c>
      <c r="R964">
        <f t="shared" si="115"/>
        <v>-1.1508523061099405</v>
      </c>
      <c r="S964">
        <f t="shared" si="116"/>
        <v>0.24993638008158123</v>
      </c>
      <c r="T964">
        <f t="shared" si="117"/>
        <v>4.9091117422407117E-4</v>
      </c>
      <c r="U964">
        <f t="shared" si="118"/>
        <v>-3.1336693399040466E-2</v>
      </c>
    </row>
    <row r="965" spans="10:21" x14ac:dyDescent="0.35">
      <c r="J965">
        <f t="shared" si="119"/>
        <v>962</v>
      </c>
      <c r="K965">
        <f>demanda!D963</f>
        <v>3</v>
      </c>
      <c r="L965">
        <f>demanda!I963</f>
        <v>3</v>
      </c>
      <c r="M965">
        <v>6.5249082097586548</v>
      </c>
      <c r="N965">
        <f t="shared" ref="N965:N1028" si="120">L965-M965</f>
        <v>-3.5249082097586548</v>
      </c>
      <c r="O965">
        <v>1.3734589687128761E-3</v>
      </c>
      <c r="P965">
        <f t="shared" ref="P965:P1028" si="121">N965/SQRT($X$6)</f>
        <v>-0.35516078560198994</v>
      </c>
      <c r="Q965">
        <f t="shared" ref="Q965:Q1028" si="122">($X$6-N965^2/((1-O965)*$X$5))*$X$5/($X$5-1)</f>
        <v>98.546996700749531</v>
      </c>
      <c r="R965">
        <f t="shared" ref="R965:R1028" si="123">N965/SQRT(Q965*(1-O965))</f>
        <v>-0.35532401713098288</v>
      </c>
      <c r="S965">
        <f t="shared" ref="S965:S1028" si="124">_xlfn.T.DIST.2T(ABS(R965),$X$5)</f>
        <v>0.72238591463660118</v>
      </c>
      <c r="T965">
        <f t="shared" ref="T965:T1028" si="125">(N965^2/$X$6)*(O965/(1-O965)^2)/($X$7+1)</f>
        <v>8.6861935283639592E-5</v>
      </c>
      <c r="U965">
        <f t="shared" ref="U965:U1028" si="126">R965*SQRT(O965/(1-O965))</f>
        <v>-1.3177434192717408E-2</v>
      </c>
    </row>
    <row r="966" spans="10:21" x14ac:dyDescent="0.35">
      <c r="J966">
        <f t="shared" ref="J966:J1029" si="127">J965+1</f>
        <v>963</v>
      </c>
      <c r="K966">
        <f>demanda!D964</f>
        <v>2</v>
      </c>
      <c r="L966">
        <f>demanda!I964</f>
        <v>15</v>
      </c>
      <c r="M966">
        <v>9.1555418996444509</v>
      </c>
      <c r="N966">
        <f t="shared" si="120"/>
        <v>5.8444581003555491</v>
      </c>
      <c r="O966">
        <v>7.3144910189317154E-4</v>
      </c>
      <c r="P966">
        <f t="shared" si="121"/>
        <v>0.58887273279729235</v>
      </c>
      <c r="Q966">
        <f t="shared" si="122"/>
        <v>98.535661650263577</v>
      </c>
      <c r="R966">
        <f t="shared" si="123"/>
        <v>0.58898796551937516</v>
      </c>
      <c r="S966">
        <f t="shared" si="124"/>
        <v>0.55593867021574073</v>
      </c>
      <c r="T966">
        <f t="shared" si="125"/>
        <v>1.2700843561873917E-4</v>
      </c>
      <c r="U966">
        <f t="shared" si="126"/>
        <v>1.593519443521384E-2</v>
      </c>
    </row>
    <row r="967" spans="10:21" x14ac:dyDescent="0.35">
      <c r="J967">
        <f t="shared" si="127"/>
        <v>964</v>
      </c>
      <c r="K967">
        <f>demanda!D965</f>
        <v>8</v>
      </c>
      <c r="L967">
        <f>demanda!I965</f>
        <v>1</v>
      </c>
      <c r="M967">
        <v>-6.6282602396703254</v>
      </c>
      <c r="N967">
        <f t="shared" si="120"/>
        <v>7.6282602396703254</v>
      </c>
      <c r="O967">
        <v>1.1050739315714665E-2</v>
      </c>
      <c r="P967">
        <f t="shared" si="121"/>
        <v>0.76860409924922146</v>
      </c>
      <c r="Q967">
        <f t="shared" si="122"/>
        <v>98.522805606010749</v>
      </c>
      <c r="R967">
        <f t="shared" si="123"/>
        <v>0.77280533279325092</v>
      </c>
      <c r="S967">
        <f t="shared" si="124"/>
        <v>0.43973276893889779</v>
      </c>
      <c r="T967">
        <f t="shared" si="125"/>
        <v>3.3374803006820347E-3</v>
      </c>
      <c r="U967">
        <f t="shared" si="126"/>
        <v>8.1691857722820005E-2</v>
      </c>
    </row>
    <row r="968" spans="10:21" x14ac:dyDescent="0.35">
      <c r="J968">
        <f t="shared" si="127"/>
        <v>965</v>
      </c>
      <c r="K968">
        <f>demanda!D966</f>
        <v>3</v>
      </c>
      <c r="L968">
        <f>demanda!I966</f>
        <v>3</v>
      </c>
      <c r="M968">
        <v>6.5249082097586548</v>
      </c>
      <c r="N968">
        <f t="shared" si="120"/>
        <v>-3.5249082097586548</v>
      </c>
      <c r="O968">
        <v>1.3734589687128761E-3</v>
      </c>
      <c r="P968">
        <f t="shared" si="121"/>
        <v>-0.35516078560198994</v>
      </c>
      <c r="Q968">
        <f t="shared" si="122"/>
        <v>98.546996700749531</v>
      </c>
      <c r="R968">
        <f t="shared" si="123"/>
        <v>-0.35532401713098288</v>
      </c>
      <c r="S968">
        <f t="shared" si="124"/>
        <v>0.72238591463660118</v>
      </c>
      <c r="T968">
        <f t="shared" si="125"/>
        <v>8.6861935283639592E-5</v>
      </c>
      <c r="U968">
        <f t="shared" si="126"/>
        <v>-1.3177434192717408E-2</v>
      </c>
    </row>
    <row r="969" spans="10:21" x14ac:dyDescent="0.35">
      <c r="J969">
        <f t="shared" si="127"/>
        <v>966</v>
      </c>
      <c r="K969">
        <f>demanda!D967</f>
        <v>4</v>
      </c>
      <c r="L969">
        <f>demanda!I967</f>
        <v>8</v>
      </c>
      <c r="M969">
        <v>3.8942745198728588</v>
      </c>
      <c r="N969">
        <f t="shared" si="120"/>
        <v>4.1057254801271412</v>
      </c>
      <c r="O969">
        <v>2.4466175697261316E-3</v>
      </c>
      <c r="P969">
        <f t="shared" si="121"/>
        <v>0.41368245645406548</v>
      </c>
      <c r="Q969">
        <f t="shared" si="122"/>
        <v>98.544673312374655</v>
      </c>
      <c r="R969">
        <f t="shared" si="123"/>
        <v>0.41410002630267911</v>
      </c>
      <c r="S969">
        <f t="shared" si="124"/>
        <v>0.67884713170182909</v>
      </c>
      <c r="T969">
        <f t="shared" si="125"/>
        <v>2.1037688032775874E-4</v>
      </c>
      <c r="U969">
        <f t="shared" si="126"/>
        <v>2.0507854636018945E-2</v>
      </c>
    </row>
    <row r="970" spans="10:21" x14ac:dyDescent="0.35">
      <c r="J970">
        <f t="shared" si="127"/>
        <v>967</v>
      </c>
      <c r="K970">
        <f>demanda!D968</f>
        <v>2</v>
      </c>
      <c r="L970">
        <f>demanda!I968</f>
        <v>13</v>
      </c>
      <c r="M970">
        <v>9.1555418996444509</v>
      </c>
      <c r="N970">
        <f t="shared" si="120"/>
        <v>3.8444581003555491</v>
      </c>
      <c r="O970">
        <v>7.3144910189317154E-4</v>
      </c>
      <c r="P970">
        <f t="shared" si="121"/>
        <v>0.38735781980254674</v>
      </c>
      <c r="Q970">
        <f t="shared" si="122"/>
        <v>98.545772190761269</v>
      </c>
      <c r="R970">
        <f t="shared" si="123"/>
        <v>0.3874137440140889</v>
      </c>
      <c r="S970">
        <f t="shared" si="124"/>
        <v>0.69849289283451077</v>
      </c>
      <c r="T970">
        <f t="shared" si="125"/>
        <v>5.4955900921259929E-5</v>
      </c>
      <c r="U970">
        <f t="shared" si="126"/>
        <v>1.0481561082992258E-2</v>
      </c>
    </row>
    <row r="971" spans="10:21" x14ac:dyDescent="0.35">
      <c r="J971">
        <f t="shared" si="127"/>
        <v>968</v>
      </c>
      <c r="K971">
        <f>demanda!D969</f>
        <v>2</v>
      </c>
      <c r="L971">
        <f>demanda!I969</f>
        <v>29</v>
      </c>
      <c r="M971">
        <v>9.1555418996444509</v>
      </c>
      <c r="N971">
        <f t="shared" si="120"/>
        <v>19.844458100355549</v>
      </c>
      <c r="O971">
        <v>7.3144910189317154E-4</v>
      </c>
      <c r="P971">
        <f t="shared" si="121"/>
        <v>1.9994771237605116</v>
      </c>
      <c r="Q971">
        <f t="shared" si="122"/>
        <v>98.348014058369543</v>
      </c>
      <c r="R971">
        <f t="shared" si="123"/>
        <v>2.0017753495923931</v>
      </c>
      <c r="S971">
        <f t="shared" si="124"/>
        <v>4.5449432979390018E-2</v>
      </c>
      <c r="T971">
        <f t="shared" si="125"/>
        <v>1.4642746904652492E-3</v>
      </c>
      <c r="U971">
        <f t="shared" si="126"/>
        <v>5.4158457012350641E-2</v>
      </c>
    </row>
    <row r="972" spans="10:21" x14ac:dyDescent="0.35">
      <c r="J972">
        <f t="shared" si="127"/>
        <v>969</v>
      </c>
      <c r="K972">
        <f>demanda!D970</f>
        <v>0</v>
      </c>
      <c r="L972">
        <f>demanda!I970</f>
        <v>10</v>
      </c>
      <c r="M972">
        <v>14.416809279416043</v>
      </c>
      <c r="N972">
        <f t="shared" si="120"/>
        <v>-4.416809279416043</v>
      </c>
      <c r="O972">
        <v>7.4087557083441532E-4</v>
      </c>
      <c r="P972">
        <f t="shared" si="121"/>
        <v>-0.44502646882795449</v>
      </c>
      <c r="Q972">
        <f t="shared" si="122"/>
        <v>98.543305041978172</v>
      </c>
      <c r="R972">
        <f t="shared" si="123"/>
        <v>-0.44509838991165818</v>
      </c>
      <c r="S972">
        <f t="shared" si="124"/>
        <v>0.65629885256814913</v>
      </c>
      <c r="T972">
        <f t="shared" si="125"/>
        <v>7.3473498325511761E-5</v>
      </c>
      <c r="U972">
        <f t="shared" si="126"/>
        <v>-1.2119636640616644E-2</v>
      </c>
    </row>
    <row r="973" spans="10:21" x14ac:dyDescent="0.35">
      <c r="J973">
        <f t="shared" si="127"/>
        <v>970</v>
      </c>
      <c r="K973">
        <f>demanda!D971</f>
        <v>3</v>
      </c>
      <c r="L973">
        <f>demanda!I971</f>
        <v>3</v>
      </c>
      <c r="M973">
        <v>6.5249082097586548</v>
      </c>
      <c r="N973">
        <f t="shared" si="120"/>
        <v>-3.5249082097586548</v>
      </c>
      <c r="O973">
        <v>1.3734589687128761E-3</v>
      </c>
      <c r="P973">
        <f t="shared" si="121"/>
        <v>-0.35516078560198994</v>
      </c>
      <c r="Q973">
        <f t="shared" si="122"/>
        <v>98.546996700749531</v>
      </c>
      <c r="R973">
        <f t="shared" si="123"/>
        <v>-0.35532401713098288</v>
      </c>
      <c r="S973">
        <f t="shared" si="124"/>
        <v>0.72238591463660118</v>
      </c>
      <c r="T973">
        <f t="shared" si="125"/>
        <v>8.6861935283639592E-5</v>
      </c>
      <c r="U973">
        <f t="shared" si="126"/>
        <v>-1.3177434192717408E-2</v>
      </c>
    </row>
    <row r="974" spans="10:21" x14ac:dyDescent="0.35">
      <c r="J974">
        <f t="shared" si="127"/>
        <v>971</v>
      </c>
      <c r="K974">
        <f>demanda!D972</f>
        <v>0</v>
      </c>
      <c r="L974">
        <f>demanda!I972</f>
        <v>2</v>
      </c>
      <c r="M974">
        <v>14.416809279416043</v>
      </c>
      <c r="N974">
        <f t="shared" si="120"/>
        <v>-12.416809279416043</v>
      </c>
      <c r="O974">
        <v>7.4087557083441532E-4</v>
      </c>
      <c r="P974">
        <f t="shared" si="121"/>
        <v>-1.2510861208069368</v>
      </c>
      <c r="Q974">
        <f t="shared" si="122"/>
        <v>98.473039768058015</v>
      </c>
      <c r="R974">
        <f t="shared" si="123"/>
        <v>-1.2517346575747474</v>
      </c>
      <c r="S974">
        <f t="shared" si="124"/>
        <v>0.21081911987933932</v>
      </c>
      <c r="T974">
        <f t="shared" si="125"/>
        <v>5.8067542491350977E-4</v>
      </c>
      <c r="U974">
        <f t="shared" si="126"/>
        <v>-3.4083630864815417E-2</v>
      </c>
    </row>
    <row r="975" spans="10:21" x14ac:dyDescent="0.35">
      <c r="J975">
        <f t="shared" si="127"/>
        <v>972</v>
      </c>
      <c r="K975">
        <f>demanda!D973</f>
        <v>1</v>
      </c>
      <c r="L975">
        <f>demanda!I973</f>
        <v>4</v>
      </c>
      <c r="M975">
        <v>11.786175589530247</v>
      </c>
      <c r="N975">
        <f t="shared" si="120"/>
        <v>-7.7861755895302469</v>
      </c>
      <c r="O975">
        <v>5.2058796926701797E-4</v>
      </c>
      <c r="P975">
        <f t="shared" si="121"/>
        <v>-0.7845152482429999</v>
      </c>
      <c r="Q975">
        <f t="shared" si="122"/>
        <v>98.52185903620547</v>
      </c>
      <c r="R975">
        <f t="shared" si="123"/>
        <v>-0.784640946599786</v>
      </c>
      <c r="S975">
        <f t="shared" si="124"/>
        <v>0.43276096337473069</v>
      </c>
      <c r="T975">
        <f t="shared" si="125"/>
        <v>1.6036855085321727E-4</v>
      </c>
      <c r="U975">
        <f t="shared" si="126"/>
        <v>-1.7907341071981879E-2</v>
      </c>
    </row>
    <row r="976" spans="10:21" x14ac:dyDescent="0.35">
      <c r="J976">
        <f t="shared" si="127"/>
        <v>973</v>
      </c>
      <c r="K976">
        <f>demanda!D974</f>
        <v>0</v>
      </c>
      <c r="L976">
        <f>demanda!I974</f>
        <v>15</v>
      </c>
      <c r="M976">
        <v>14.416809279416043</v>
      </c>
      <c r="N976">
        <f t="shared" si="120"/>
        <v>0.58319072058395705</v>
      </c>
      <c r="O976">
        <v>7.4087557083441532E-4</v>
      </c>
      <c r="P976">
        <f t="shared" si="121"/>
        <v>5.8760813658909554E-2</v>
      </c>
      <c r="Q976">
        <f t="shared" si="122"/>
        <v>98.553306243487526</v>
      </c>
      <c r="R976">
        <f t="shared" si="123"/>
        <v>5.8767327956256402E-2</v>
      </c>
      <c r="S976">
        <f t="shared" si="124"/>
        <v>0.95314355069247325</v>
      </c>
      <c r="T976">
        <f t="shared" si="125"/>
        <v>1.2809572488725558E-6</v>
      </c>
      <c r="U976">
        <f t="shared" si="126"/>
        <v>1.6001825154010173E-3</v>
      </c>
    </row>
    <row r="977" spans="10:21" x14ac:dyDescent="0.35">
      <c r="J977">
        <f t="shared" si="127"/>
        <v>974</v>
      </c>
      <c r="K977">
        <f>demanda!D975</f>
        <v>3</v>
      </c>
      <c r="L977">
        <f>demanda!I975</f>
        <v>3</v>
      </c>
      <c r="M977">
        <v>6.5249082097586548</v>
      </c>
      <c r="N977">
        <f t="shared" si="120"/>
        <v>-3.5249082097586548</v>
      </c>
      <c r="O977">
        <v>1.3734589687128761E-3</v>
      </c>
      <c r="P977">
        <f t="shared" si="121"/>
        <v>-0.35516078560198994</v>
      </c>
      <c r="Q977">
        <f t="shared" si="122"/>
        <v>98.546996700749531</v>
      </c>
      <c r="R977">
        <f t="shared" si="123"/>
        <v>-0.35532401713098288</v>
      </c>
      <c r="S977">
        <f t="shared" si="124"/>
        <v>0.72238591463660118</v>
      </c>
      <c r="T977">
        <f t="shared" si="125"/>
        <v>8.6861935283639592E-5</v>
      </c>
      <c r="U977">
        <f t="shared" si="126"/>
        <v>-1.3177434192717408E-2</v>
      </c>
    </row>
    <row r="978" spans="10:21" x14ac:dyDescent="0.35">
      <c r="J978">
        <f t="shared" si="127"/>
        <v>975</v>
      </c>
      <c r="K978">
        <f>demanda!D976</f>
        <v>3</v>
      </c>
      <c r="L978">
        <f>demanda!I976</f>
        <v>2</v>
      </c>
      <c r="M978">
        <v>6.5249082097586548</v>
      </c>
      <c r="N978">
        <f t="shared" si="120"/>
        <v>-4.5249082097586548</v>
      </c>
      <c r="O978">
        <v>1.3734589687128761E-3</v>
      </c>
      <c r="P978">
        <f t="shared" si="121"/>
        <v>-0.45591824209936271</v>
      </c>
      <c r="Q978">
        <f t="shared" si="122"/>
        <v>98.542793943857959</v>
      </c>
      <c r="R978">
        <f t="shared" si="123"/>
        <v>-0.45613750825631832</v>
      </c>
      <c r="S978">
        <f t="shared" si="124"/>
        <v>0.64834271460897308</v>
      </c>
      <c r="T978">
        <f t="shared" si="125"/>
        <v>1.4313749884792331E-4</v>
      </c>
      <c r="U978">
        <f t="shared" si="126"/>
        <v>-1.6916171460658679E-2</v>
      </c>
    </row>
    <row r="979" spans="10:21" x14ac:dyDescent="0.35">
      <c r="J979">
        <f t="shared" si="127"/>
        <v>976</v>
      </c>
      <c r="K979">
        <f>demanda!D977</f>
        <v>0</v>
      </c>
      <c r="L979">
        <f>demanda!I977</f>
        <v>3</v>
      </c>
      <c r="M979">
        <v>14.416809279416043</v>
      </c>
      <c r="N979">
        <f t="shared" si="120"/>
        <v>-11.416809279416043</v>
      </c>
      <c r="O979">
        <v>7.4087557083441532E-4</v>
      </c>
      <c r="P979">
        <f t="shared" si="121"/>
        <v>-1.150328664309564</v>
      </c>
      <c r="Q979">
        <f t="shared" si="122"/>
        <v>98.485475268264722</v>
      </c>
      <c r="R979">
        <f t="shared" si="123"/>
        <v>-1.1508523061099405</v>
      </c>
      <c r="S979">
        <f t="shared" si="124"/>
        <v>0.24993638008158123</v>
      </c>
      <c r="T979">
        <f t="shared" si="125"/>
        <v>4.9091117422407117E-4</v>
      </c>
      <c r="U979">
        <f t="shared" si="126"/>
        <v>-3.1336693399040466E-2</v>
      </c>
    </row>
    <row r="980" spans="10:21" x14ac:dyDescent="0.35">
      <c r="J980">
        <f t="shared" si="127"/>
        <v>977</v>
      </c>
      <c r="K980">
        <f>demanda!D978</f>
        <v>3</v>
      </c>
      <c r="L980">
        <f>demanda!I978</f>
        <v>3</v>
      </c>
      <c r="M980">
        <v>6.5249082097586548</v>
      </c>
      <c r="N980">
        <f t="shared" si="120"/>
        <v>-3.5249082097586548</v>
      </c>
      <c r="O980">
        <v>1.3734589687128761E-3</v>
      </c>
      <c r="P980">
        <f t="shared" si="121"/>
        <v>-0.35516078560198994</v>
      </c>
      <c r="Q980">
        <f t="shared" si="122"/>
        <v>98.546996700749531</v>
      </c>
      <c r="R980">
        <f t="shared" si="123"/>
        <v>-0.35532401713098288</v>
      </c>
      <c r="S980">
        <f t="shared" si="124"/>
        <v>0.72238591463660118</v>
      </c>
      <c r="T980">
        <f t="shared" si="125"/>
        <v>8.6861935283639592E-5</v>
      </c>
      <c r="U980">
        <f t="shared" si="126"/>
        <v>-1.3177434192717408E-2</v>
      </c>
    </row>
    <row r="981" spans="10:21" x14ac:dyDescent="0.35">
      <c r="J981">
        <f t="shared" si="127"/>
        <v>978</v>
      </c>
      <c r="K981">
        <f>demanda!D979</f>
        <v>0</v>
      </c>
      <c r="L981">
        <f>demanda!I979</f>
        <v>15</v>
      </c>
      <c r="M981">
        <v>14.416809279416043</v>
      </c>
      <c r="N981">
        <f t="shared" si="120"/>
        <v>0.58319072058395705</v>
      </c>
      <c r="O981">
        <v>7.4087557083441532E-4</v>
      </c>
      <c r="P981">
        <f t="shared" si="121"/>
        <v>5.8760813658909554E-2</v>
      </c>
      <c r="Q981">
        <f t="shared" si="122"/>
        <v>98.553306243487526</v>
      </c>
      <c r="R981">
        <f t="shared" si="123"/>
        <v>5.8767327956256402E-2</v>
      </c>
      <c r="S981">
        <f t="shared" si="124"/>
        <v>0.95314355069247325</v>
      </c>
      <c r="T981">
        <f t="shared" si="125"/>
        <v>1.2809572488725558E-6</v>
      </c>
      <c r="U981">
        <f t="shared" si="126"/>
        <v>1.6001825154010173E-3</v>
      </c>
    </row>
    <row r="982" spans="10:21" x14ac:dyDescent="0.35">
      <c r="J982">
        <f t="shared" si="127"/>
        <v>979</v>
      </c>
      <c r="K982">
        <f>demanda!D980</f>
        <v>0</v>
      </c>
      <c r="L982">
        <f>demanda!I980</f>
        <v>9</v>
      </c>
      <c r="M982">
        <v>14.416809279416043</v>
      </c>
      <c r="N982">
        <f t="shared" si="120"/>
        <v>-5.416809279416043</v>
      </c>
      <c r="O982">
        <v>7.4087557083441532E-4</v>
      </c>
      <c r="P982">
        <f t="shared" si="121"/>
        <v>-0.54578392532532727</v>
      </c>
      <c r="Q982">
        <f t="shared" si="122"/>
        <v>98.538174223704843</v>
      </c>
      <c r="R982">
        <f t="shared" si="123"/>
        <v>-0.54588634131956315</v>
      </c>
      <c r="S982">
        <f t="shared" si="124"/>
        <v>0.58520751823074413</v>
      </c>
      <c r="T982">
        <f t="shared" si="125"/>
        <v>1.1050972928307278E-4</v>
      </c>
      <c r="U982">
        <f t="shared" si="126"/>
        <v>-1.4864003676090257E-2</v>
      </c>
    </row>
    <row r="983" spans="10:21" x14ac:dyDescent="0.35">
      <c r="J983">
        <f t="shared" si="127"/>
        <v>980</v>
      </c>
      <c r="K983">
        <f>demanda!D981</f>
        <v>0</v>
      </c>
      <c r="L983">
        <f>demanda!I981</f>
        <v>15</v>
      </c>
      <c r="M983">
        <v>14.416809279416043</v>
      </c>
      <c r="N983">
        <f t="shared" si="120"/>
        <v>0.58319072058395705</v>
      </c>
      <c r="O983">
        <v>7.4087557083441532E-4</v>
      </c>
      <c r="P983">
        <f t="shared" si="121"/>
        <v>5.8760813658909554E-2</v>
      </c>
      <c r="Q983">
        <f t="shared" si="122"/>
        <v>98.553306243487526</v>
      </c>
      <c r="R983">
        <f t="shared" si="123"/>
        <v>5.8767327956256402E-2</v>
      </c>
      <c r="S983">
        <f t="shared" si="124"/>
        <v>0.95314355069247325</v>
      </c>
      <c r="T983">
        <f t="shared" si="125"/>
        <v>1.2809572488725558E-6</v>
      </c>
      <c r="U983">
        <f t="shared" si="126"/>
        <v>1.6001825154010173E-3</v>
      </c>
    </row>
    <row r="984" spans="10:21" x14ac:dyDescent="0.35">
      <c r="J984">
        <f t="shared" si="127"/>
        <v>981</v>
      </c>
      <c r="K984">
        <f>demanda!D982</f>
        <v>0</v>
      </c>
      <c r="L984">
        <f>demanda!I982</f>
        <v>9</v>
      </c>
      <c r="M984">
        <v>14.416809279416043</v>
      </c>
      <c r="N984">
        <f t="shared" si="120"/>
        <v>-5.416809279416043</v>
      </c>
      <c r="O984">
        <v>7.4087557083441532E-4</v>
      </c>
      <c r="P984">
        <f t="shared" si="121"/>
        <v>-0.54578392532532727</v>
      </c>
      <c r="Q984">
        <f t="shared" si="122"/>
        <v>98.538174223704843</v>
      </c>
      <c r="R984">
        <f t="shared" si="123"/>
        <v>-0.54588634131956315</v>
      </c>
      <c r="S984">
        <f t="shared" si="124"/>
        <v>0.58520751823074413</v>
      </c>
      <c r="T984">
        <f t="shared" si="125"/>
        <v>1.1050972928307278E-4</v>
      </c>
      <c r="U984">
        <f t="shared" si="126"/>
        <v>-1.4864003676090257E-2</v>
      </c>
    </row>
    <row r="985" spans="10:21" x14ac:dyDescent="0.35">
      <c r="J985">
        <f t="shared" si="127"/>
        <v>982</v>
      </c>
      <c r="K985">
        <f>demanda!D983</f>
        <v>0</v>
      </c>
      <c r="L985">
        <f>demanda!I983</f>
        <v>15</v>
      </c>
      <c r="M985">
        <v>14.416809279416043</v>
      </c>
      <c r="N985">
        <f t="shared" si="120"/>
        <v>0.58319072058395705</v>
      </c>
      <c r="O985">
        <v>7.4087557083441532E-4</v>
      </c>
      <c r="P985">
        <f t="shared" si="121"/>
        <v>5.8760813658909554E-2</v>
      </c>
      <c r="Q985">
        <f t="shared" si="122"/>
        <v>98.553306243487526</v>
      </c>
      <c r="R985">
        <f t="shared" si="123"/>
        <v>5.8767327956256402E-2</v>
      </c>
      <c r="S985">
        <f t="shared" si="124"/>
        <v>0.95314355069247325</v>
      </c>
      <c r="T985">
        <f t="shared" si="125"/>
        <v>1.2809572488725558E-6</v>
      </c>
      <c r="U985">
        <f t="shared" si="126"/>
        <v>1.6001825154010173E-3</v>
      </c>
    </row>
    <row r="986" spans="10:21" x14ac:dyDescent="0.35">
      <c r="J986">
        <f t="shared" si="127"/>
        <v>983</v>
      </c>
      <c r="K986">
        <f>demanda!D984</f>
        <v>0</v>
      </c>
      <c r="L986">
        <f>demanda!I984</f>
        <v>15</v>
      </c>
      <c r="M986">
        <v>14.416809279416043</v>
      </c>
      <c r="N986">
        <f t="shared" si="120"/>
        <v>0.58319072058395705</v>
      </c>
      <c r="O986">
        <v>7.4087557083441532E-4</v>
      </c>
      <c r="P986">
        <f t="shared" si="121"/>
        <v>5.8760813658909554E-2</v>
      </c>
      <c r="Q986">
        <f t="shared" si="122"/>
        <v>98.553306243487526</v>
      </c>
      <c r="R986">
        <f t="shared" si="123"/>
        <v>5.8767327956256402E-2</v>
      </c>
      <c r="S986">
        <f t="shared" si="124"/>
        <v>0.95314355069247325</v>
      </c>
      <c r="T986">
        <f t="shared" si="125"/>
        <v>1.2809572488725558E-6</v>
      </c>
      <c r="U986">
        <f t="shared" si="126"/>
        <v>1.6001825154010173E-3</v>
      </c>
    </row>
    <row r="987" spans="10:21" x14ac:dyDescent="0.35">
      <c r="J987">
        <f t="shared" si="127"/>
        <v>984</v>
      </c>
      <c r="K987">
        <f>demanda!D985</f>
        <v>0</v>
      </c>
      <c r="L987">
        <f>demanda!I985</f>
        <v>15</v>
      </c>
      <c r="M987">
        <v>14.416809279416043</v>
      </c>
      <c r="N987">
        <f t="shared" si="120"/>
        <v>0.58319072058395705</v>
      </c>
      <c r="O987">
        <v>7.4087557083441532E-4</v>
      </c>
      <c r="P987">
        <f t="shared" si="121"/>
        <v>5.8760813658909554E-2</v>
      </c>
      <c r="Q987">
        <f t="shared" si="122"/>
        <v>98.553306243487526</v>
      </c>
      <c r="R987">
        <f t="shared" si="123"/>
        <v>5.8767327956256402E-2</v>
      </c>
      <c r="S987">
        <f t="shared" si="124"/>
        <v>0.95314355069247325</v>
      </c>
      <c r="T987">
        <f t="shared" si="125"/>
        <v>1.2809572488725558E-6</v>
      </c>
      <c r="U987">
        <f t="shared" si="126"/>
        <v>1.6001825154010173E-3</v>
      </c>
    </row>
    <row r="988" spans="10:21" x14ac:dyDescent="0.35">
      <c r="J988">
        <f t="shared" si="127"/>
        <v>985</v>
      </c>
      <c r="K988">
        <f>demanda!D986</f>
        <v>0</v>
      </c>
      <c r="L988">
        <f>demanda!I986</f>
        <v>15</v>
      </c>
      <c r="M988">
        <v>14.416809279416043</v>
      </c>
      <c r="N988">
        <f t="shared" si="120"/>
        <v>0.58319072058395705</v>
      </c>
      <c r="O988">
        <v>7.4087557083441532E-4</v>
      </c>
      <c r="P988">
        <f t="shared" si="121"/>
        <v>5.8760813658909554E-2</v>
      </c>
      <c r="Q988">
        <f t="shared" si="122"/>
        <v>98.553306243487526</v>
      </c>
      <c r="R988">
        <f t="shared" si="123"/>
        <v>5.8767327956256402E-2</v>
      </c>
      <c r="S988">
        <f t="shared" si="124"/>
        <v>0.95314355069247325</v>
      </c>
      <c r="T988">
        <f t="shared" si="125"/>
        <v>1.2809572488725558E-6</v>
      </c>
      <c r="U988">
        <f t="shared" si="126"/>
        <v>1.6001825154010173E-3</v>
      </c>
    </row>
    <row r="989" spans="10:21" x14ac:dyDescent="0.35">
      <c r="J989">
        <f t="shared" si="127"/>
        <v>986</v>
      </c>
      <c r="K989">
        <f>demanda!D987</f>
        <v>0</v>
      </c>
      <c r="L989">
        <f>demanda!I987</f>
        <v>15</v>
      </c>
      <c r="M989">
        <v>14.416809279416043</v>
      </c>
      <c r="N989">
        <f t="shared" si="120"/>
        <v>0.58319072058395705</v>
      </c>
      <c r="O989">
        <v>7.4087557083441532E-4</v>
      </c>
      <c r="P989">
        <f t="shared" si="121"/>
        <v>5.8760813658909554E-2</v>
      </c>
      <c r="Q989">
        <f t="shared" si="122"/>
        <v>98.553306243487526</v>
      </c>
      <c r="R989">
        <f t="shared" si="123"/>
        <v>5.8767327956256402E-2</v>
      </c>
      <c r="S989">
        <f t="shared" si="124"/>
        <v>0.95314355069247325</v>
      </c>
      <c r="T989">
        <f t="shared" si="125"/>
        <v>1.2809572488725558E-6</v>
      </c>
      <c r="U989">
        <f t="shared" si="126"/>
        <v>1.6001825154010173E-3</v>
      </c>
    </row>
    <row r="990" spans="10:21" x14ac:dyDescent="0.35">
      <c r="J990">
        <f t="shared" si="127"/>
        <v>987</v>
      </c>
      <c r="K990">
        <f>demanda!D988</f>
        <v>0</v>
      </c>
      <c r="L990">
        <f>demanda!I988</f>
        <v>15</v>
      </c>
      <c r="M990">
        <v>14.416809279416043</v>
      </c>
      <c r="N990">
        <f t="shared" si="120"/>
        <v>0.58319072058395705</v>
      </c>
      <c r="O990">
        <v>7.4087557083441532E-4</v>
      </c>
      <c r="P990">
        <f t="shared" si="121"/>
        <v>5.8760813658909554E-2</v>
      </c>
      <c r="Q990">
        <f t="shared" si="122"/>
        <v>98.553306243487526</v>
      </c>
      <c r="R990">
        <f t="shared" si="123"/>
        <v>5.8767327956256402E-2</v>
      </c>
      <c r="S990">
        <f t="shared" si="124"/>
        <v>0.95314355069247325</v>
      </c>
      <c r="T990">
        <f t="shared" si="125"/>
        <v>1.2809572488725558E-6</v>
      </c>
      <c r="U990">
        <f t="shared" si="126"/>
        <v>1.6001825154010173E-3</v>
      </c>
    </row>
    <row r="991" spans="10:21" x14ac:dyDescent="0.35">
      <c r="J991">
        <f t="shared" si="127"/>
        <v>988</v>
      </c>
      <c r="K991">
        <f>demanda!D989</f>
        <v>0</v>
      </c>
      <c r="L991">
        <f>demanda!I989</f>
        <v>15</v>
      </c>
      <c r="M991">
        <v>14.416809279416043</v>
      </c>
      <c r="N991">
        <f t="shared" si="120"/>
        <v>0.58319072058395705</v>
      </c>
      <c r="O991">
        <v>7.4087557083441532E-4</v>
      </c>
      <c r="P991">
        <f t="shared" si="121"/>
        <v>5.8760813658909554E-2</v>
      </c>
      <c r="Q991">
        <f t="shared" si="122"/>
        <v>98.553306243487526</v>
      </c>
      <c r="R991">
        <f t="shared" si="123"/>
        <v>5.8767327956256402E-2</v>
      </c>
      <c r="S991">
        <f t="shared" si="124"/>
        <v>0.95314355069247325</v>
      </c>
      <c r="T991">
        <f t="shared" si="125"/>
        <v>1.2809572488725558E-6</v>
      </c>
      <c r="U991">
        <f t="shared" si="126"/>
        <v>1.6001825154010173E-3</v>
      </c>
    </row>
    <row r="992" spans="10:21" x14ac:dyDescent="0.35">
      <c r="J992">
        <f t="shared" si="127"/>
        <v>989</v>
      </c>
      <c r="K992">
        <f>demanda!D990</f>
        <v>0</v>
      </c>
      <c r="L992">
        <f>demanda!I990</f>
        <v>15</v>
      </c>
      <c r="M992">
        <v>14.416809279416043</v>
      </c>
      <c r="N992">
        <f t="shared" si="120"/>
        <v>0.58319072058395705</v>
      </c>
      <c r="O992">
        <v>7.4087557083441532E-4</v>
      </c>
      <c r="P992">
        <f t="shared" si="121"/>
        <v>5.8760813658909554E-2</v>
      </c>
      <c r="Q992">
        <f t="shared" si="122"/>
        <v>98.553306243487526</v>
      </c>
      <c r="R992">
        <f t="shared" si="123"/>
        <v>5.8767327956256402E-2</v>
      </c>
      <c r="S992">
        <f t="shared" si="124"/>
        <v>0.95314355069247325</v>
      </c>
      <c r="T992">
        <f t="shared" si="125"/>
        <v>1.2809572488725558E-6</v>
      </c>
      <c r="U992">
        <f t="shared" si="126"/>
        <v>1.6001825154010173E-3</v>
      </c>
    </row>
    <row r="993" spans="10:21" x14ac:dyDescent="0.35">
      <c r="J993">
        <f t="shared" si="127"/>
        <v>990</v>
      </c>
      <c r="K993">
        <f>demanda!D991</f>
        <v>0</v>
      </c>
      <c r="L993">
        <f>demanda!I991</f>
        <v>15</v>
      </c>
      <c r="M993">
        <v>14.416809279416043</v>
      </c>
      <c r="N993">
        <f t="shared" si="120"/>
        <v>0.58319072058395705</v>
      </c>
      <c r="O993">
        <v>7.4087557083441532E-4</v>
      </c>
      <c r="P993">
        <f t="shared" si="121"/>
        <v>5.8760813658909554E-2</v>
      </c>
      <c r="Q993">
        <f t="shared" si="122"/>
        <v>98.553306243487526</v>
      </c>
      <c r="R993">
        <f t="shared" si="123"/>
        <v>5.8767327956256402E-2</v>
      </c>
      <c r="S993">
        <f t="shared" si="124"/>
        <v>0.95314355069247325</v>
      </c>
      <c r="T993">
        <f t="shared" si="125"/>
        <v>1.2809572488725558E-6</v>
      </c>
      <c r="U993">
        <f t="shared" si="126"/>
        <v>1.6001825154010173E-3</v>
      </c>
    </row>
    <row r="994" spans="10:21" x14ac:dyDescent="0.35">
      <c r="J994">
        <f t="shared" si="127"/>
        <v>991</v>
      </c>
      <c r="K994">
        <f>demanda!D992</f>
        <v>0</v>
      </c>
      <c r="L994">
        <f>demanda!I992</f>
        <v>15</v>
      </c>
      <c r="M994">
        <v>14.416809279416043</v>
      </c>
      <c r="N994">
        <f t="shared" si="120"/>
        <v>0.58319072058395705</v>
      </c>
      <c r="O994">
        <v>7.4087557083441532E-4</v>
      </c>
      <c r="P994">
        <f t="shared" si="121"/>
        <v>5.8760813658909554E-2</v>
      </c>
      <c r="Q994">
        <f t="shared" si="122"/>
        <v>98.553306243487526</v>
      </c>
      <c r="R994">
        <f t="shared" si="123"/>
        <v>5.8767327956256402E-2</v>
      </c>
      <c r="S994">
        <f t="shared" si="124"/>
        <v>0.95314355069247325</v>
      </c>
      <c r="T994">
        <f t="shared" si="125"/>
        <v>1.2809572488725558E-6</v>
      </c>
      <c r="U994">
        <f t="shared" si="126"/>
        <v>1.6001825154010173E-3</v>
      </c>
    </row>
    <row r="995" spans="10:21" x14ac:dyDescent="0.35">
      <c r="J995">
        <f t="shared" si="127"/>
        <v>992</v>
      </c>
      <c r="K995">
        <f>demanda!D993</f>
        <v>0</v>
      </c>
      <c r="L995">
        <f>demanda!I993</f>
        <v>15</v>
      </c>
      <c r="M995">
        <v>14.416809279416043</v>
      </c>
      <c r="N995">
        <f t="shared" si="120"/>
        <v>0.58319072058395705</v>
      </c>
      <c r="O995">
        <v>7.4087557083441532E-4</v>
      </c>
      <c r="P995">
        <f t="shared" si="121"/>
        <v>5.8760813658909554E-2</v>
      </c>
      <c r="Q995">
        <f t="shared" si="122"/>
        <v>98.553306243487526</v>
      </c>
      <c r="R995">
        <f t="shared" si="123"/>
        <v>5.8767327956256402E-2</v>
      </c>
      <c r="S995">
        <f t="shared" si="124"/>
        <v>0.95314355069247325</v>
      </c>
      <c r="T995">
        <f t="shared" si="125"/>
        <v>1.2809572488725558E-6</v>
      </c>
      <c r="U995">
        <f t="shared" si="126"/>
        <v>1.6001825154010173E-3</v>
      </c>
    </row>
    <row r="996" spans="10:21" x14ac:dyDescent="0.35">
      <c r="J996">
        <f t="shared" si="127"/>
        <v>993</v>
      </c>
      <c r="K996">
        <f>demanda!D994</f>
        <v>0</v>
      </c>
      <c r="L996">
        <f>demanda!I994</f>
        <v>15</v>
      </c>
      <c r="M996">
        <v>14.416809279416043</v>
      </c>
      <c r="N996">
        <f t="shared" si="120"/>
        <v>0.58319072058395705</v>
      </c>
      <c r="O996">
        <v>7.4087557083441532E-4</v>
      </c>
      <c r="P996">
        <f t="shared" si="121"/>
        <v>5.8760813658909554E-2</v>
      </c>
      <c r="Q996">
        <f t="shared" si="122"/>
        <v>98.553306243487526</v>
      </c>
      <c r="R996">
        <f t="shared" si="123"/>
        <v>5.8767327956256402E-2</v>
      </c>
      <c r="S996">
        <f t="shared" si="124"/>
        <v>0.95314355069247325</v>
      </c>
      <c r="T996">
        <f t="shared" si="125"/>
        <v>1.2809572488725558E-6</v>
      </c>
      <c r="U996">
        <f t="shared" si="126"/>
        <v>1.6001825154010173E-3</v>
      </c>
    </row>
    <row r="997" spans="10:21" x14ac:dyDescent="0.35">
      <c r="J997">
        <f t="shared" si="127"/>
        <v>994</v>
      </c>
      <c r="K997">
        <f>demanda!D995</f>
        <v>0</v>
      </c>
      <c r="L997">
        <f>demanda!I995</f>
        <v>15</v>
      </c>
      <c r="M997">
        <v>14.416809279416043</v>
      </c>
      <c r="N997">
        <f t="shared" si="120"/>
        <v>0.58319072058395705</v>
      </c>
      <c r="O997">
        <v>7.4087557083441532E-4</v>
      </c>
      <c r="P997">
        <f t="shared" si="121"/>
        <v>5.8760813658909554E-2</v>
      </c>
      <c r="Q997">
        <f t="shared" si="122"/>
        <v>98.553306243487526</v>
      </c>
      <c r="R997">
        <f t="shared" si="123"/>
        <v>5.8767327956256402E-2</v>
      </c>
      <c r="S997">
        <f t="shared" si="124"/>
        <v>0.95314355069247325</v>
      </c>
      <c r="T997">
        <f t="shared" si="125"/>
        <v>1.2809572488725558E-6</v>
      </c>
      <c r="U997">
        <f t="shared" si="126"/>
        <v>1.6001825154010173E-3</v>
      </c>
    </row>
    <row r="998" spans="10:21" x14ac:dyDescent="0.35">
      <c r="J998">
        <f t="shared" si="127"/>
        <v>995</v>
      </c>
      <c r="K998">
        <f>demanda!D996</f>
        <v>0</v>
      </c>
      <c r="L998">
        <f>demanda!I996</f>
        <v>15</v>
      </c>
      <c r="M998">
        <v>14.416809279416043</v>
      </c>
      <c r="N998">
        <f t="shared" si="120"/>
        <v>0.58319072058395705</v>
      </c>
      <c r="O998">
        <v>7.4087557083441532E-4</v>
      </c>
      <c r="P998">
        <f t="shared" si="121"/>
        <v>5.8760813658909554E-2</v>
      </c>
      <c r="Q998">
        <f t="shared" si="122"/>
        <v>98.553306243487526</v>
      </c>
      <c r="R998">
        <f t="shared" si="123"/>
        <v>5.8767327956256402E-2</v>
      </c>
      <c r="S998">
        <f t="shared" si="124"/>
        <v>0.95314355069247325</v>
      </c>
      <c r="T998">
        <f t="shared" si="125"/>
        <v>1.2809572488725558E-6</v>
      </c>
      <c r="U998">
        <f t="shared" si="126"/>
        <v>1.6001825154010173E-3</v>
      </c>
    </row>
    <row r="999" spans="10:21" x14ac:dyDescent="0.35">
      <c r="J999">
        <f t="shared" si="127"/>
        <v>996</v>
      </c>
      <c r="K999">
        <f>demanda!D997</f>
        <v>0</v>
      </c>
      <c r="L999">
        <f>demanda!I997</f>
        <v>15</v>
      </c>
      <c r="M999">
        <v>14.416809279416043</v>
      </c>
      <c r="N999">
        <f t="shared" si="120"/>
        <v>0.58319072058395705</v>
      </c>
      <c r="O999">
        <v>7.4087557083441532E-4</v>
      </c>
      <c r="P999">
        <f t="shared" si="121"/>
        <v>5.8760813658909554E-2</v>
      </c>
      <c r="Q999">
        <f t="shared" si="122"/>
        <v>98.553306243487526</v>
      </c>
      <c r="R999">
        <f t="shared" si="123"/>
        <v>5.8767327956256402E-2</v>
      </c>
      <c r="S999">
        <f t="shared" si="124"/>
        <v>0.95314355069247325</v>
      </c>
      <c r="T999">
        <f t="shared" si="125"/>
        <v>1.2809572488725558E-6</v>
      </c>
      <c r="U999">
        <f t="shared" si="126"/>
        <v>1.6001825154010173E-3</v>
      </c>
    </row>
    <row r="1000" spans="10:21" x14ac:dyDescent="0.35">
      <c r="J1000">
        <f t="shared" si="127"/>
        <v>997</v>
      </c>
      <c r="K1000">
        <f>demanda!D998</f>
        <v>0</v>
      </c>
      <c r="L1000">
        <f>demanda!I998</f>
        <v>15</v>
      </c>
      <c r="M1000">
        <v>14.416809279416043</v>
      </c>
      <c r="N1000">
        <f t="shared" si="120"/>
        <v>0.58319072058395705</v>
      </c>
      <c r="O1000">
        <v>7.4087557083441532E-4</v>
      </c>
      <c r="P1000">
        <f t="shared" si="121"/>
        <v>5.8760813658909554E-2</v>
      </c>
      <c r="Q1000">
        <f t="shared" si="122"/>
        <v>98.553306243487526</v>
      </c>
      <c r="R1000">
        <f t="shared" si="123"/>
        <v>5.8767327956256402E-2</v>
      </c>
      <c r="S1000">
        <f t="shared" si="124"/>
        <v>0.95314355069247325</v>
      </c>
      <c r="T1000">
        <f t="shared" si="125"/>
        <v>1.2809572488725558E-6</v>
      </c>
      <c r="U1000">
        <f t="shared" si="126"/>
        <v>1.6001825154010173E-3</v>
      </c>
    </row>
    <row r="1001" spans="10:21" x14ac:dyDescent="0.35">
      <c r="J1001">
        <f t="shared" si="127"/>
        <v>998</v>
      </c>
      <c r="K1001">
        <f>demanda!D999</f>
        <v>0</v>
      </c>
      <c r="L1001">
        <f>demanda!I999</f>
        <v>15</v>
      </c>
      <c r="M1001">
        <v>14.416809279416043</v>
      </c>
      <c r="N1001">
        <f t="shared" si="120"/>
        <v>0.58319072058395705</v>
      </c>
      <c r="O1001">
        <v>7.4087557083441532E-4</v>
      </c>
      <c r="P1001">
        <f t="shared" si="121"/>
        <v>5.8760813658909554E-2</v>
      </c>
      <c r="Q1001">
        <f t="shared" si="122"/>
        <v>98.553306243487526</v>
      </c>
      <c r="R1001">
        <f t="shared" si="123"/>
        <v>5.8767327956256402E-2</v>
      </c>
      <c r="S1001">
        <f t="shared" si="124"/>
        <v>0.95314355069247325</v>
      </c>
      <c r="T1001">
        <f t="shared" si="125"/>
        <v>1.2809572488725558E-6</v>
      </c>
      <c r="U1001">
        <f t="shared" si="126"/>
        <v>1.6001825154010173E-3</v>
      </c>
    </row>
    <row r="1002" spans="10:21" x14ac:dyDescent="0.35">
      <c r="J1002">
        <f t="shared" si="127"/>
        <v>999</v>
      </c>
      <c r="K1002">
        <f>demanda!D1000</f>
        <v>0</v>
      </c>
      <c r="L1002">
        <f>demanda!I1000</f>
        <v>15</v>
      </c>
      <c r="M1002">
        <v>14.416809279416043</v>
      </c>
      <c r="N1002">
        <f t="shared" si="120"/>
        <v>0.58319072058395705</v>
      </c>
      <c r="O1002">
        <v>7.4087557083441532E-4</v>
      </c>
      <c r="P1002">
        <f t="shared" si="121"/>
        <v>5.8760813658909554E-2</v>
      </c>
      <c r="Q1002">
        <f t="shared" si="122"/>
        <v>98.553306243487526</v>
      </c>
      <c r="R1002">
        <f t="shared" si="123"/>
        <v>5.8767327956256402E-2</v>
      </c>
      <c r="S1002">
        <f t="shared" si="124"/>
        <v>0.95314355069247325</v>
      </c>
      <c r="T1002">
        <f t="shared" si="125"/>
        <v>1.2809572488725558E-6</v>
      </c>
      <c r="U1002">
        <f t="shared" si="126"/>
        <v>1.6001825154010173E-3</v>
      </c>
    </row>
    <row r="1003" spans="10:21" x14ac:dyDescent="0.35">
      <c r="J1003">
        <f t="shared" si="127"/>
        <v>1000</v>
      </c>
      <c r="K1003">
        <f>demanda!D1001</f>
        <v>0</v>
      </c>
      <c r="L1003">
        <f>demanda!I1001</f>
        <v>15</v>
      </c>
      <c r="M1003">
        <v>14.416809279416043</v>
      </c>
      <c r="N1003">
        <f t="shared" si="120"/>
        <v>0.58319072058395705</v>
      </c>
      <c r="O1003">
        <v>7.4087557083441532E-4</v>
      </c>
      <c r="P1003">
        <f t="shared" si="121"/>
        <v>5.8760813658909554E-2</v>
      </c>
      <c r="Q1003">
        <f t="shared" si="122"/>
        <v>98.553306243487526</v>
      </c>
      <c r="R1003">
        <f t="shared" si="123"/>
        <v>5.8767327956256402E-2</v>
      </c>
      <c r="S1003">
        <f t="shared" si="124"/>
        <v>0.95314355069247325</v>
      </c>
      <c r="T1003">
        <f t="shared" si="125"/>
        <v>1.2809572488725558E-6</v>
      </c>
      <c r="U1003">
        <f t="shared" si="126"/>
        <v>1.6001825154010173E-3</v>
      </c>
    </row>
    <row r="1004" spans="10:21" x14ac:dyDescent="0.35">
      <c r="J1004">
        <f t="shared" si="127"/>
        <v>1001</v>
      </c>
      <c r="K1004">
        <f>demanda!D1002</f>
        <v>0</v>
      </c>
      <c r="L1004">
        <f>demanda!I1002</f>
        <v>15</v>
      </c>
      <c r="M1004">
        <v>14.416809279416043</v>
      </c>
      <c r="N1004">
        <f t="shared" si="120"/>
        <v>0.58319072058395705</v>
      </c>
      <c r="O1004">
        <v>7.4087557083441532E-4</v>
      </c>
      <c r="P1004">
        <f t="shared" si="121"/>
        <v>5.8760813658909554E-2</v>
      </c>
      <c r="Q1004">
        <f t="shared" si="122"/>
        <v>98.553306243487526</v>
      </c>
      <c r="R1004">
        <f t="shared" si="123"/>
        <v>5.8767327956256402E-2</v>
      </c>
      <c r="S1004">
        <f t="shared" si="124"/>
        <v>0.95314355069247325</v>
      </c>
      <c r="T1004">
        <f t="shared" si="125"/>
        <v>1.2809572488725558E-6</v>
      </c>
      <c r="U1004">
        <f t="shared" si="126"/>
        <v>1.6001825154010173E-3</v>
      </c>
    </row>
    <row r="1005" spans="10:21" x14ac:dyDescent="0.35">
      <c r="J1005">
        <f t="shared" si="127"/>
        <v>1002</v>
      </c>
      <c r="K1005">
        <f>demanda!D1003</f>
        <v>0</v>
      </c>
      <c r="L1005">
        <f>demanda!I1003</f>
        <v>15</v>
      </c>
      <c r="M1005">
        <v>14.416809279416043</v>
      </c>
      <c r="N1005">
        <f t="shared" si="120"/>
        <v>0.58319072058395705</v>
      </c>
      <c r="O1005">
        <v>7.4087557083441532E-4</v>
      </c>
      <c r="P1005">
        <f t="shared" si="121"/>
        <v>5.8760813658909554E-2</v>
      </c>
      <c r="Q1005">
        <f t="shared" si="122"/>
        <v>98.553306243487526</v>
      </c>
      <c r="R1005">
        <f t="shared" si="123"/>
        <v>5.8767327956256402E-2</v>
      </c>
      <c r="S1005">
        <f t="shared" si="124"/>
        <v>0.95314355069247325</v>
      </c>
      <c r="T1005">
        <f t="shared" si="125"/>
        <v>1.2809572488725558E-6</v>
      </c>
      <c r="U1005">
        <f t="shared" si="126"/>
        <v>1.6001825154010173E-3</v>
      </c>
    </row>
    <row r="1006" spans="10:21" x14ac:dyDescent="0.35">
      <c r="J1006">
        <f t="shared" si="127"/>
        <v>1003</v>
      </c>
      <c r="K1006">
        <f>demanda!D1004</f>
        <v>0</v>
      </c>
      <c r="L1006">
        <f>demanda!I1004</f>
        <v>15</v>
      </c>
      <c r="M1006">
        <v>14.416809279416043</v>
      </c>
      <c r="N1006">
        <f t="shared" si="120"/>
        <v>0.58319072058395705</v>
      </c>
      <c r="O1006">
        <v>7.4087557083441532E-4</v>
      </c>
      <c r="P1006">
        <f t="shared" si="121"/>
        <v>5.8760813658909554E-2</v>
      </c>
      <c r="Q1006">
        <f t="shared" si="122"/>
        <v>98.553306243487526</v>
      </c>
      <c r="R1006">
        <f t="shared" si="123"/>
        <v>5.8767327956256402E-2</v>
      </c>
      <c r="S1006">
        <f t="shared" si="124"/>
        <v>0.95314355069247325</v>
      </c>
      <c r="T1006">
        <f t="shared" si="125"/>
        <v>1.2809572488725558E-6</v>
      </c>
      <c r="U1006">
        <f t="shared" si="126"/>
        <v>1.6001825154010173E-3</v>
      </c>
    </row>
    <row r="1007" spans="10:21" x14ac:dyDescent="0.35">
      <c r="J1007">
        <f t="shared" si="127"/>
        <v>1004</v>
      </c>
      <c r="K1007">
        <f>demanda!D1005</f>
        <v>0</v>
      </c>
      <c r="L1007">
        <f>demanda!I1005</f>
        <v>15</v>
      </c>
      <c r="M1007">
        <v>14.416809279416043</v>
      </c>
      <c r="N1007">
        <f t="shared" si="120"/>
        <v>0.58319072058395705</v>
      </c>
      <c r="O1007">
        <v>7.4087557083441532E-4</v>
      </c>
      <c r="P1007">
        <f t="shared" si="121"/>
        <v>5.8760813658909554E-2</v>
      </c>
      <c r="Q1007">
        <f t="shared" si="122"/>
        <v>98.553306243487526</v>
      </c>
      <c r="R1007">
        <f t="shared" si="123"/>
        <v>5.8767327956256402E-2</v>
      </c>
      <c r="S1007">
        <f t="shared" si="124"/>
        <v>0.95314355069247325</v>
      </c>
      <c r="T1007">
        <f t="shared" si="125"/>
        <v>1.2809572488725558E-6</v>
      </c>
      <c r="U1007">
        <f t="shared" si="126"/>
        <v>1.6001825154010173E-3</v>
      </c>
    </row>
    <row r="1008" spans="10:21" x14ac:dyDescent="0.35">
      <c r="J1008">
        <f t="shared" si="127"/>
        <v>1005</v>
      </c>
      <c r="K1008">
        <f>demanda!D1006</f>
        <v>0</v>
      </c>
      <c r="L1008">
        <f>demanda!I1006</f>
        <v>4</v>
      </c>
      <c r="M1008">
        <v>14.416809279416043</v>
      </c>
      <c r="N1008">
        <f t="shared" si="120"/>
        <v>-10.416809279416043</v>
      </c>
      <c r="O1008">
        <v>7.4087557083441532E-4</v>
      </c>
      <c r="P1008">
        <f t="shared" si="121"/>
        <v>-1.0495712078121913</v>
      </c>
      <c r="Q1008">
        <f t="shared" si="122"/>
        <v>98.49686724248096</v>
      </c>
      <c r="R1008">
        <f t="shared" si="123"/>
        <v>-1.049988258586362</v>
      </c>
      <c r="S1008">
        <f t="shared" si="124"/>
        <v>0.29385572056513598</v>
      </c>
      <c r="T1008">
        <f t="shared" si="125"/>
        <v>4.0867949778204384E-4</v>
      </c>
      <c r="U1008">
        <f t="shared" si="126"/>
        <v>-2.8590254333443563E-2</v>
      </c>
    </row>
    <row r="1009" spans="10:21" x14ac:dyDescent="0.35">
      <c r="J1009">
        <f t="shared" si="127"/>
        <v>1006</v>
      </c>
      <c r="K1009">
        <f>demanda!D1007</f>
        <v>0</v>
      </c>
      <c r="L1009">
        <f>demanda!I1007</f>
        <v>8</v>
      </c>
      <c r="M1009">
        <v>14.416809279416043</v>
      </c>
      <c r="N1009">
        <f t="shared" si="120"/>
        <v>-6.416809279416043</v>
      </c>
      <c r="O1009">
        <v>7.4087557083441532E-4</v>
      </c>
      <c r="P1009">
        <f t="shared" si="121"/>
        <v>-0.64654138182270005</v>
      </c>
      <c r="Q1009">
        <f t="shared" si="122"/>
        <v>98.531999879441045</v>
      </c>
      <c r="R1009">
        <f t="shared" si="123"/>
        <v>-0.64668296559256133</v>
      </c>
      <c r="S1009">
        <f t="shared" si="124"/>
        <v>0.51791448613837154</v>
      </c>
      <c r="T1009">
        <f t="shared" si="125"/>
        <v>1.5507853448804487E-4</v>
      </c>
      <c r="U1009">
        <f t="shared" si="126"/>
        <v>-1.7608606866032061E-2</v>
      </c>
    </row>
    <row r="1010" spans="10:21" x14ac:dyDescent="0.35">
      <c r="J1010">
        <f t="shared" si="127"/>
        <v>1007</v>
      </c>
      <c r="K1010">
        <f>demanda!D1008</f>
        <v>1</v>
      </c>
      <c r="L1010">
        <f>demanda!I1008</f>
        <v>4</v>
      </c>
      <c r="M1010">
        <v>11.786175589530247</v>
      </c>
      <c r="N1010">
        <f t="shared" si="120"/>
        <v>-7.7861755895302469</v>
      </c>
      <c r="O1010">
        <v>5.2058796926701797E-4</v>
      </c>
      <c r="P1010">
        <f t="shared" si="121"/>
        <v>-0.7845152482429999</v>
      </c>
      <c r="Q1010">
        <f t="shared" si="122"/>
        <v>98.52185903620547</v>
      </c>
      <c r="R1010">
        <f t="shared" si="123"/>
        <v>-0.784640946599786</v>
      </c>
      <c r="S1010">
        <f t="shared" si="124"/>
        <v>0.43276096337473069</v>
      </c>
      <c r="T1010">
        <f t="shared" si="125"/>
        <v>1.6036855085321727E-4</v>
      </c>
      <c r="U1010">
        <f t="shared" si="126"/>
        <v>-1.7907341071981879E-2</v>
      </c>
    </row>
    <row r="1011" spans="10:21" x14ac:dyDescent="0.35">
      <c r="J1011">
        <f t="shared" si="127"/>
        <v>1008</v>
      </c>
      <c r="K1011">
        <f>demanda!D1009</f>
        <v>6</v>
      </c>
      <c r="L1011">
        <f>demanda!I1009</f>
        <v>2</v>
      </c>
      <c r="M1011">
        <v>-1.3669928598987333</v>
      </c>
      <c r="N1011">
        <f t="shared" si="120"/>
        <v>3.3669928598987333</v>
      </c>
      <c r="O1011">
        <v>5.8863809743332956E-3</v>
      </c>
      <c r="P1011">
        <f t="shared" si="121"/>
        <v>0.33924963660821145</v>
      </c>
      <c r="Q1011">
        <f t="shared" si="122"/>
        <v>98.547538045230482</v>
      </c>
      <c r="R1011">
        <f t="shared" si="123"/>
        <v>0.34017413892280718</v>
      </c>
      <c r="S1011">
        <f t="shared" si="124"/>
        <v>0.73376262303153728</v>
      </c>
      <c r="T1011">
        <f t="shared" si="125"/>
        <v>3.4275603188736416E-4</v>
      </c>
      <c r="U1011">
        <f t="shared" si="126"/>
        <v>2.617625216767119E-2</v>
      </c>
    </row>
    <row r="1012" spans="10:21" x14ac:dyDescent="0.35">
      <c r="J1012">
        <f t="shared" si="127"/>
        <v>1009</v>
      </c>
      <c r="K1012">
        <f>demanda!D1010</f>
        <v>3</v>
      </c>
      <c r="L1012">
        <f>demanda!I1010</f>
        <v>3</v>
      </c>
      <c r="M1012">
        <v>6.5249082097586548</v>
      </c>
      <c r="N1012">
        <f t="shared" si="120"/>
        <v>-3.5249082097586548</v>
      </c>
      <c r="O1012">
        <v>1.3734589687128761E-3</v>
      </c>
      <c r="P1012">
        <f t="shared" si="121"/>
        <v>-0.35516078560198994</v>
      </c>
      <c r="Q1012">
        <f t="shared" si="122"/>
        <v>98.546996700749531</v>
      </c>
      <c r="R1012">
        <f t="shared" si="123"/>
        <v>-0.35532401713098288</v>
      </c>
      <c r="S1012">
        <f t="shared" si="124"/>
        <v>0.72238591463660118</v>
      </c>
      <c r="T1012">
        <f t="shared" si="125"/>
        <v>8.6861935283639592E-5</v>
      </c>
      <c r="U1012">
        <f t="shared" si="126"/>
        <v>-1.3177434192717408E-2</v>
      </c>
    </row>
    <row r="1013" spans="10:21" x14ac:dyDescent="0.35">
      <c r="J1013">
        <f t="shared" si="127"/>
        <v>1010</v>
      </c>
      <c r="K1013">
        <f>demanda!D1011</f>
        <v>4</v>
      </c>
      <c r="L1013">
        <f>demanda!I1011</f>
        <v>3</v>
      </c>
      <c r="M1013">
        <v>3.8942745198728588</v>
      </c>
      <c r="N1013">
        <f t="shared" si="120"/>
        <v>-0.89427451987285878</v>
      </c>
      <c r="O1013">
        <v>2.4466175697261316E-3</v>
      </c>
      <c r="P1013">
        <f t="shared" si="121"/>
        <v>-9.0104826032798527E-2</v>
      </c>
      <c r="Q1013">
        <f t="shared" si="122"/>
        <v>98.553065719630368</v>
      </c>
      <c r="R1013">
        <f t="shared" si="123"/>
        <v>-9.0191937130002245E-2</v>
      </c>
      <c r="S1013">
        <f t="shared" si="124"/>
        <v>0.92814410376796586</v>
      </c>
      <c r="T1013">
        <f t="shared" si="125"/>
        <v>9.9806748742546123E-6</v>
      </c>
      <c r="U1013">
        <f t="shared" si="126"/>
        <v>-4.4666578568412878E-3</v>
      </c>
    </row>
    <row r="1014" spans="10:21" x14ac:dyDescent="0.35">
      <c r="J1014">
        <f t="shared" si="127"/>
        <v>1011</v>
      </c>
      <c r="K1014">
        <f>demanda!D1012</f>
        <v>3</v>
      </c>
      <c r="L1014">
        <f>demanda!I1012</f>
        <v>3</v>
      </c>
      <c r="M1014">
        <v>6.5249082097586548</v>
      </c>
      <c r="N1014">
        <f t="shared" si="120"/>
        <v>-3.5249082097586548</v>
      </c>
      <c r="O1014">
        <v>1.3734589687128761E-3</v>
      </c>
      <c r="P1014">
        <f t="shared" si="121"/>
        <v>-0.35516078560198994</v>
      </c>
      <c r="Q1014">
        <f t="shared" si="122"/>
        <v>98.546996700749531</v>
      </c>
      <c r="R1014">
        <f t="shared" si="123"/>
        <v>-0.35532401713098288</v>
      </c>
      <c r="S1014">
        <f t="shared" si="124"/>
        <v>0.72238591463660118</v>
      </c>
      <c r="T1014">
        <f t="shared" si="125"/>
        <v>8.6861935283639592E-5</v>
      </c>
      <c r="U1014">
        <f t="shared" si="126"/>
        <v>-1.3177434192717408E-2</v>
      </c>
    </row>
    <row r="1015" spans="10:21" x14ac:dyDescent="0.35">
      <c r="J1015">
        <f t="shared" si="127"/>
        <v>1012</v>
      </c>
      <c r="K1015">
        <f>demanda!D1013</f>
        <v>0</v>
      </c>
      <c r="L1015">
        <f>demanda!I1013</f>
        <v>16</v>
      </c>
      <c r="M1015">
        <v>14.416809279416043</v>
      </c>
      <c r="N1015">
        <f t="shared" si="120"/>
        <v>1.583190720583957</v>
      </c>
      <c r="O1015">
        <v>7.4087557083441532E-4</v>
      </c>
      <c r="P1015">
        <f t="shared" si="121"/>
        <v>0.15951827015628237</v>
      </c>
      <c r="Q1015">
        <f t="shared" si="122"/>
        <v>98.552175905817947</v>
      </c>
      <c r="R1015">
        <f t="shared" si="123"/>
        <v>0.1595368694422851</v>
      </c>
      <c r="S1015">
        <f t="shared" si="124"/>
        <v>0.87326270170878273</v>
      </c>
      <c r="T1015">
        <f t="shared" si="125"/>
        <v>9.440171775777902E-6</v>
      </c>
      <c r="U1015">
        <f t="shared" si="126"/>
        <v>4.3440482649370034E-3</v>
      </c>
    </row>
    <row r="1016" spans="10:21" x14ac:dyDescent="0.35">
      <c r="J1016">
        <f t="shared" si="127"/>
        <v>1013</v>
      </c>
      <c r="K1016">
        <f>demanda!D1014</f>
        <v>2</v>
      </c>
      <c r="L1016">
        <f>demanda!I1014</f>
        <v>2</v>
      </c>
      <c r="M1016">
        <v>9.1555418996444509</v>
      </c>
      <c r="N1016">
        <f t="shared" si="120"/>
        <v>-7.1555418996444509</v>
      </c>
      <c r="O1016">
        <v>7.3144910189317154E-4</v>
      </c>
      <c r="P1016">
        <f t="shared" si="121"/>
        <v>-0.72097420166855408</v>
      </c>
      <c r="Q1016">
        <f t="shared" si="122"/>
        <v>98.526768759022602</v>
      </c>
      <c r="R1016">
        <f t="shared" si="123"/>
        <v>-0.72114782718324122</v>
      </c>
      <c r="S1016">
        <f t="shared" si="124"/>
        <v>0.47090641241117204</v>
      </c>
      <c r="T1016">
        <f t="shared" si="125"/>
        <v>1.9038342084795563E-4</v>
      </c>
      <c r="U1016">
        <f t="shared" si="126"/>
        <v>-1.9510807546913981E-2</v>
      </c>
    </row>
    <row r="1017" spans="10:21" x14ac:dyDescent="0.35">
      <c r="J1017">
        <f t="shared" si="127"/>
        <v>1014</v>
      </c>
      <c r="K1017">
        <f>demanda!D1015</f>
        <v>2</v>
      </c>
      <c r="L1017">
        <f>demanda!I1015</f>
        <v>5</v>
      </c>
      <c r="M1017">
        <v>9.1555418996444509</v>
      </c>
      <c r="N1017">
        <f t="shared" si="120"/>
        <v>-4.1555418996444509</v>
      </c>
      <c r="O1017">
        <v>7.3144910189317154E-4</v>
      </c>
      <c r="P1017">
        <f t="shared" si="121"/>
        <v>-0.4187018321764357</v>
      </c>
      <c r="Q1017">
        <f t="shared" si="122"/>
        <v>98.544473706891381</v>
      </c>
      <c r="R1017">
        <f t="shared" si="123"/>
        <v>-0.41876504056165376</v>
      </c>
      <c r="S1017">
        <f t="shared" si="124"/>
        <v>0.67543472022045181</v>
      </c>
      <c r="T1017">
        <f t="shared" si="125"/>
        <v>6.420951640425571E-5</v>
      </c>
      <c r="U1017">
        <f t="shared" si="126"/>
        <v>-1.1329777066218591E-2</v>
      </c>
    </row>
    <row r="1018" spans="10:21" x14ac:dyDescent="0.35">
      <c r="J1018">
        <f t="shared" si="127"/>
        <v>1015</v>
      </c>
      <c r="K1018">
        <f>demanda!D1016</f>
        <v>2</v>
      </c>
      <c r="L1018">
        <f>demanda!I1016</f>
        <v>11</v>
      </c>
      <c r="M1018">
        <v>9.1555418996444509</v>
      </c>
      <c r="N1018">
        <f t="shared" si="120"/>
        <v>1.8444581003555491</v>
      </c>
      <c r="O1018">
        <v>7.3144910189317154E-4</v>
      </c>
      <c r="P1018">
        <f t="shared" si="121"/>
        <v>0.18584290680780113</v>
      </c>
      <c r="Q1018">
        <f t="shared" si="122"/>
        <v>98.551708666672923</v>
      </c>
      <c r="R1018">
        <f t="shared" si="123"/>
        <v>0.18586413938454407</v>
      </c>
      <c r="S1018">
        <f t="shared" si="124"/>
        <v>0.85257094830757985</v>
      </c>
      <c r="T1018">
        <f t="shared" si="125"/>
        <v>1.2649741651071969E-5</v>
      </c>
      <c r="U1018">
        <f t="shared" si="126"/>
        <v>5.0285937455694357E-3</v>
      </c>
    </row>
    <row r="1019" spans="10:21" x14ac:dyDescent="0.35">
      <c r="J1019">
        <f t="shared" si="127"/>
        <v>1016</v>
      </c>
      <c r="K1019">
        <f>demanda!D1017</f>
        <v>0</v>
      </c>
      <c r="L1019">
        <f>demanda!I1017</f>
        <v>27</v>
      </c>
      <c r="M1019">
        <v>14.416809279416043</v>
      </c>
      <c r="N1019">
        <f t="shared" si="120"/>
        <v>12.583190720583957</v>
      </c>
      <c r="O1019">
        <v>7.4087557083441532E-4</v>
      </c>
      <c r="P1019">
        <f t="shared" si="121"/>
        <v>1.2678502916273833</v>
      </c>
      <c r="Q1019">
        <f t="shared" si="122"/>
        <v>98.470869476080594</v>
      </c>
      <c r="R1019">
        <f t="shared" si="123"/>
        <v>1.2685214974265175</v>
      </c>
      <c r="S1019">
        <f t="shared" si="124"/>
        <v>0.20476563644072704</v>
      </c>
      <c r="T1019">
        <f t="shared" si="125"/>
        <v>5.9634143190086687E-4</v>
      </c>
      <c r="U1019">
        <f t="shared" si="126"/>
        <v>3.454072171025311E-2</v>
      </c>
    </row>
    <row r="1020" spans="10:21" x14ac:dyDescent="0.35">
      <c r="J1020">
        <f t="shared" si="127"/>
        <v>1017</v>
      </c>
      <c r="K1020">
        <f>demanda!D1018</f>
        <v>0</v>
      </c>
      <c r="L1020">
        <f>demanda!I1018</f>
        <v>10</v>
      </c>
      <c r="M1020">
        <v>14.416809279416043</v>
      </c>
      <c r="N1020">
        <f t="shared" si="120"/>
        <v>-4.416809279416043</v>
      </c>
      <c r="O1020">
        <v>7.4087557083441532E-4</v>
      </c>
      <c r="P1020">
        <f t="shared" si="121"/>
        <v>-0.44502646882795449</v>
      </c>
      <c r="Q1020">
        <f t="shared" si="122"/>
        <v>98.543305041978172</v>
      </c>
      <c r="R1020">
        <f t="shared" si="123"/>
        <v>-0.44509838991165818</v>
      </c>
      <c r="S1020">
        <f t="shared" si="124"/>
        <v>0.65629885256814913</v>
      </c>
      <c r="T1020">
        <f t="shared" si="125"/>
        <v>7.3473498325511761E-5</v>
      </c>
      <c r="U1020">
        <f t="shared" si="126"/>
        <v>-1.2119636640616644E-2</v>
      </c>
    </row>
    <row r="1021" spans="10:21" x14ac:dyDescent="0.35">
      <c r="J1021">
        <f t="shared" si="127"/>
        <v>1018</v>
      </c>
      <c r="K1021">
        <f>demanda!D1019</f>
        <v>0</v>
      </c>
      <c r="L1021">
        <f>demanda!I1019</f>
        <v>6</v>
      </c>
      <c r="M1021">
        <v>14.416809279416043</v>
      </c>
      <c r="N1021">
        <f t="shared" si="120"/>
        <v>-8.416809279416043</v>
      </c>
      <c r="O1021">
        <v>7.4087557083441532E-4</v>
      </c>
      <c r="P1021">
        <f t="shared" si="121"/>
        <v>-0.84805629481744571</v>
      </c>
      <c r="Q1021">
        <f t="shared" si="122"/>
        <v>98.51652061294196</v>
      </c>
      <c r="R1021">
        <f t="shared" si="123"/>
        <v>-0.8483086443975183</v>
      </c>
      <c r="S1021">
        <f t="shared" si="124"/>
        <v>0.39637190285902191</v>
      </c>
      <c r="T1021">
        <f t="shared" si="125"/>
        <v>2.6681386764022222E-4</v>
      </c>
      <c r="U1021">
        <f t="shared" si="126"/>
        <v>-2.3098696293268058E-2</v>
      </c>
    </row>
    <row r="1022" spans="10:21" x14ac:dyDescent="0.35">
      <c r="J1022">
        <f t="shared" si="127"/>
        <v>1019</v>
      </c>
      <c r="K1022">
        <f>demanda!D1020</f>
        <v>0</v>
      </c>
      <c r="L1022">
        <f>demanda!I1020</f>
        <v>3</v>
      </c>
      <c r="M1022">
        <v>14.416809279416043</v>
      </c>
      <c r="N1022">
        <f t="shared" si="120"/>
        <v>-11.416809279416043</v>
      </c>
      <c r="O1022">
        <v>7.4087557083441532E-4</v>
      </c>
      <c r="P1022">
        <f t="shared" si="121"/>
        <v>-1.150328664309564</v>
      </c>
      <c r="Q1022">
        <f t="shared" si="122"/>
        <v>98.485475268264722</v>
      </c>
      <c r="R1022">
        <f t="shared" si="123"/>
        <v>-1.1508523061099405</v>
      </c>
      <c r="S1022">
        <f t="shared" si="124"/>
        <v>0.24993638008158123</v>
      </c>
      <c r="T1022">
        <f t="shared" si="125"/>
        <v>4.9091117422407117E-4</v>
      </c>
      <c r="U1022">
        <f t="shared" si="126"/>
        <v>-3.1336693399040466E-2</v>
      </c>
    </row>
    <row r="1023" spans="10:21" x14ac:dyDescent="0.35">
      <c r="J1023">
        <f t="shared" si="127"/>
        <v>1020</v>
      </c>
      <c r="K1023">
        <f>demanda!D1021</f>
        <v>1</v>
      </c>
      <c r="L1023">
        <f>demanda!I1021</f>
        <v>3</v>
      </c>
      <c r="M1023">
        <v>11.786175589530247</v>
      </c>
      <c r="N1023">
        <f t="shared" si="120"/>
        <v>-8.7861755895302469</v>
      </c>
      <c r="O1023">
        <v>5.2058796926701797E-4</v>
      </c>
      <c r="P1023">
        <f t="shared" si="121"/>
        <v>-0.88527270474037267</v>
      </c>
      <c r="Q1023">
        <f t="shared" si="122"/>
        <v>98.513214102399758</v>
      </c>
      <c r="R1023">
        <f t="shared" si="123"/>
        <v>-0.88545339538896362</v>
      </c>
      <c r="S1023">
        <f t="shared" si="124"/>
        <v>0.37602308055069167</v>
      </c>
      <c r="T1023">
        <f t="shared" si="125"/>
        <v>2.0420697614382047E-4</v>
      </c>
      <c r="U1023">
        <f t="shared" si="126"/>
        <v>-2.0208116875988336E-2</v>
      </c>
    </row>
    <row r="1024" spans="10:21" x14ac:dyDescent="0.35">
      <c r="J1024">
        <f t="shared" si="127"/>
        <v>1021</v>
      </c>
      <c r="K1024">
        <f>demanda!D1022</f>
        <v>0</v>
      </c>
      <c r="L1024">
        <f>demanda!I1022</f>
        <v>6</v>
      </c>
      <c r="M1024">
        <v>14.416809279416043</v>
      </c>
      <c r="N1024">
        <f t="shared" si="120"/>
        <v>-8.416809279416043</v>
      </c>
      <c r="O1024">
        <v>7.4087557083441532E-4</v>
      </c>
      <c r="P1024">
        <f t="shared" si="121"/>
        <v>-0.84805629481744571</v>
      </c>
      <c r="Q1024">
        <f t="shared" si="122"/>
        <v>98.51652061294196</v>
      </c>
      <c r="R1024">
        <f t="shared" si="123"/>
        <v>-0.8483086443975183</v>
      </c>
      <c r="S1024">
        <f t="shared" si="124"/>
        <v>0.39637190285902191</v>
      </c>
      <c r="T1024">
        <f t="shared" si="125"/>
        <v>2.6681386764022222E-4</v>
      </c>
      <c r="U1024">
        <f t="shared" si="126"/>
        <v>-2.3098696293268058E-2</v>
      </c>
    </row>
    <row r="1025" spans="10:21" x14ac:dyDescent="0.35">
      <c r="J1025">
        <f t="shared" si="127"/>
        <v>1022</v>
      </c>
      <c r="K1025">
        <f>demanda!D1023</f>
        <v>1</v>
      </c>
      <c r="L1025">
        <f>demanda!I1023</f>
        <v>3</v>
      </c>
      <c r="M1025">
        <v>11.786175589530247</v>
      </c>
      <c r="N1025">
        <f t="shared" si="120"/>
        <v>-8.7861755895302469</v>
      </c>
      <c r="O1025">
        <v>5.2058796926701797E-4</v>
      </c>
      <c r="P1025">
        <f t="shared" si="121"/>
        <v>-0.88527270474037267</v>
      </c>
      <c r="Q1025">
        <f t="shared" si="122"/>
        <v>98.513214102399758</v>
      </c>
      <c r="R1025">
        <f t="shared" si="123"/>
        <v>-0.88545339538896362</v>
      </c>
      <c r="S1025">
        <f t="shared" si="124"/>
        <v>0.37602308055069167</v>
      </c>
      <c r="T1025">
        <f t="shared" si="125"/>
        <v>2.0420697614382047E-4</v>
      </c>
      <c r="U1025">
        <f t="shared" si="126"/>
        <v>-2.0208116875988336E-2</v>
      </c>
    </row>
    <row r="1026" spans="10:21" x14ac:dyDescent="0.35">
      <c r="J1026">
        <f t="shared" si="127"/>
        <v>1023</v>
      </c>
      <c r="K1026">
        <f>demanda!D1024</f>
        <v>0</v>
      </c>
      <c r="L1026">
        <f>demanda!I1024</f>
        <v>24</v>
      </c>
      <c r="M1026">
        <v>14.416809279416043</v>
      </c>
      <c r="N1026">
        <f t="shared" si="120"/>
        <v>9.583190720583957</v>
      </c>
      <c r="O1026">
        <v>7.4087557083441532E-4</v>
      </c>
      <c r="P1026">
        <f t="shared" si="121"/>
        <v>0.96557792213526483</v>
      </c>
      <c r="Q1026">
        <f t="shared" si="122"/>
        <v>98.505566268803875</v>
      </c>
      <c r="R1026">
        <f t="shared" si="123"/>
        <v>0.9659189449099983</v>
      </c>
      <c r="S1026">
        <f t="shared" si="124"/>
        <v>0.33420645107335933</v>
      </c>
      <c r="T1026">
        <f t="shared" si="125"/>
        <v>3.4588656089781892E-4</v>
      </c>
      <c r="U1026">
        <f t="shared" si="126"/>
        <v>2.6301121059818876E-2</v>
      </c>
    </row>
    <row r="1027" spans="10:21" x14ac:dyDescent="0.35">
      <c r="J1027">
        <f t="shared" si="127"/>
        <v>1024</v>
      </c>
      <c r="K1027">
        <f>demanda!D1025</f>
        <v>6</v>
      </c>
      <c r="L1027">
        <f>demanda!I1025</f>
        <v>2</v>
      </c>
      <c r="M1027">
        <v>-1.3669928598987333</v>
      </c>
      <c r="N1027">
        <f t="shared" si="120"/>
        <v>3.3669928598987333</v>
      </c>
      <c r="O1027">
        <v>5.8863809743332956E-3</v>
      </c>
      <c r="P1027">
        <f t="shared" si="121"/>
        <v>0.33924963660821145</v>
      </c>
      <c r="Q1027">
        <f t="shared" si="122"/>
        <v>98.547538045230482</v>
      </c>
      <c r="R1027">
        <f t="shared" si="123"/>
        <v>0.34017413892280718</v>
      </c>
      <c r="S1027">
        <f t="shared" si="124"/>
        <v>0.73376262303153728</v>
      </c>
      <c r="T1027">
        <f t="shared" si="125"/>
        <v>3.4275603188736416E-4</v>
      </c>
      <c r="U1027">
        <f t="shared" si="126"/>
        <v>2.617625216767119E-2</v>
      </c>
    </row>
    <row r="1028" spans="10:21" x14ac:dyDescent="0.35">
      <c r="J1028">
        <f t="shared" si="127"/>
        <v>1025</v>
      </c>
      <c r="K1028">
        <f>demanda!D1026</f>
        <v>2</v>
      </c>
      <c r="L1028">
        <f>demanda!I1026</f>
        <v>4</v>
      </c>
      <c r="M1028">
        <v>9.1555418996444509</v>
      </c>
      <c r="N1028">
        <f t="shared" si="120"/>
        <v>-5.1555418996444509</v>
      </c>
      <c r="O1028">
        <v>7.3144910189317154E-4</v>
      </c>
      <c r="P1028">
        <f t="shared" si="121"/>
        <v>-0.51945928867380853</v>
      </c>
      <c r="Q1028">
        <f t="shared" si="122"/>
        <v>98.539615573748293</v>
      </c>
      <c r="R1028">
        <f t="shared" si="123"/>
        <v>-0.51955051447259837</v>
      </c>
      <c r="S1028">
        <f t="shared" si="124"/>
        <v>0.60343681513546954</v>
      </c>
      <c r="T1028">
        <f t="shared" si="125"/>
        <v>9.8830890695332879E-5</v>
      </c>
      <c r="U1028">
        <f t="shared" si="126"/>
        <v>-1.4056549457229766E-2</v>
      </c>
    </row>
    <row r="1029" spans="10:21" x14ac:dyDescent="0.35">
      <c r="J1029">
        <f t="shared" si="127"/>
        <v>1026</v>
      </c>
      <c r="K1029">
        <f>demanda!D1027</f>
        <v>0</v>
      </c>
      <c r="L1029">
        <f>demanda!I1027</f>
        <v>7</v>
      </c>
      <c r="M1029">
        <v>14.416809279416043</v>
      </c>
      <c r="N1029">
        <f t="shared" ref="N1029:N1092" si="128">L1029-M1029</f>
        <v>-7.416809279416043</v>
      </c>
      <c r="O1029">
        <v>7.4087557083441532E-4</v>
      </c>
      <c r="P1029">
        <f t="shared" ref="P1029:P1092" si="129">N1029/SQRT($X$6)</f>
        <v>-0.74729883832007293</v>
      </c>
      <c r="Q1029">
        <f t="shared" ref="Q1029:Q1092" si="130">($X$6-N1029^2/((1-O1029)*$X$5))*$X$5/($X$5-1)</f>
        <v>98.524782009186751</v>
      </c>
      <c r="R1029">
        <f t="shared" ref="R1029:R1092" si="131">N1029/SQRT(Q1029*(1-O1029))</f>
        <v>-0.74748986544241569</v>
      </c>
      <c r="S1029">
        <f t="shared" ref="S1029:S1092" si="132">_xlfn.T.DIST.2T(ABS(R1029),$X$5)</f>
        <v>0.45485950007005715</v>
      </c>
      <c r="T1029">
        <f t="shared" ref="T1029:T1092" si="133">(N1029^2/$X$6)*(O1029/(1-O1029)^2)/($X$7+1)</f>
        <v>2.0717991394042799E-4</v>
      </c>
      <c r="U1029">
        <f t="shared" ref="U1029:U1092" si="134">R1029*SQRT(O1029/(1-O1029))</f>
        <v>-2.0353489850869988E-2</v>
      </c>
    </row>
    <row r="1030" spans="10:21" x14ac:dyDescent="0.35">
      <c r="J1030">
        <f t="shared" ref="J1030:J1093" si="135">J1029+1</f>
        <v>1027</v>
      </c>
      <c r="K1030">
        <f>demanda!D1028</f>
        <v>2</v>
      </c>
      <c r="L1030">
        <f>demanda!I1028</f>
        <v>23</v>
      </c>
      <c r="M1030">
        <v>9.1555418996444509</v>
      </c>
      <c r="N1030">
        <f t="shared" si="128"/>
        <v>13.844458100355549</v>
      </c>
      <c r="O1030">
        <v>7.3144910189317154E-4</v>
      </c>
      <c r="P1030">
        <f t="shared" si="129"/>
        <v>1.3949323847762749</v>
      </c>
      <c r="Q1030">
        <f t="shared" si="130"/>
        <v>98.453478842412011</v>
      </c>
      <c r="R1030">
        <f t="shared" si="131"/>
        <v>1.3957875437561733</v>
      </c>
      <c r="S1030">
        <f t="shared" si="132"/>
        <v>0.16293994759049926</v>
      </c>
      <c r="T1030">
        <f t="shared" si="133"/>
        <v>7.126823286815688E-4</v>
      </c>
      <c r="U1030">
        <f t="shared" si="134"/>
        <v>3.7763328288704219E-2</v>
      </c>
    </row>
    <row r="1031" spans="10:21" x14ac:dyDescent="0.35">
      <c r="J1031">
        <f t="shared" si="135"/>
        <v>1028</v>
      </c>
      <c r="K1031">
        <f>demanda!D1029</f>
        <v>0</v>
      </c>
      <c r="L1031">
        <f>demanda!I1029</f>
        <v>12</v>
      </c>
      <c r="M1031">
        <v>14.416809279416043</v>
      </c>
      <c r="N1031">
        <f t="shared" si="128"/>
        <v>-2.416809279416043</v>
      </c>
      <c r="O1031">
        <v>7.4087557083441532E-4</v>
      </c>
      <c r="P1031">
        <f t="shared" si="129"/>
        <v>-0.24351155583320885</v>
      </c>
      <c r="Q1031">
        <f t="shared" si="130"/>
        <v>98.55043610055337</v>
      </c>
      <c r="R1031">
        <f t="shared" si="131"/>
        <v>-0.24354209816225414</v>
      </c>
      <c r="S1031">
        <f t="shared" si="132"/>
        <v>0.80761150818210881</v>
      </c>
      <c r="T1031">
        <f t="shared" si="133"/>
        <v>2.199875915262289E-5</v>
      </c>
      <c r="U1031">
        <f t="shared" si="134"/>
        <v>-6.6314365617133417E-3</v>
      </c>
    </row>
    <row r="1032" spans="10:21" x14ac:dyDescent="0.35">
      <c r="J1032">
        <f t="shared" si="135"/>
        <v>1029</v>
      </c>
      <c r="K1032">
        <f>demanda!D1030</f>
        <v>0</v>
      </c>
      <c r="L1032">
        <f>demanda!I1030</f>
        <v>9</v>
      </c>
      <c r="M1032">
        <v>14.416809279416043</v>
      </c>
      <c r="N1032">
        <f t="shared" si="128"/>
        <v>-5.416809279416043</v>
      </c>
      <c r="O1032">
        <v>7.4087557083441532E-4</v>
      </c>
      <c r="P1032">
        <f t="shared" si="129"/>
        <v>-0.54578392532532727</v>
      </c>
      <c r="Q1032">
        <f t="shared" si="130"/>
        <v>98.538174223704843</v>
      </c>
      <c r="R1032">
        <f t="shared" si="131"/>
        <v>-0.54588634131956315</v>
      </c>
      <c r="S1032">
        <f t="shared" si="132"/>
        <v>0.58520751823074413</v>
      </c>
      <c r="T1032">
        <f t="shared" si="133"/>
        <v>1.1050972928307278E-4</v>
      </c>
      <c r="U1032">
        <f t="shared" si="134"/>
        <v>-1.4864003676090257E-2</v>
      </c>
    </row>
    <row r="1033" spans="10:21" x14ac:dyDescent="0.35">
      <c r="J1033">
        <f t="shared" si="135"/>
        <v>1030</v>
      </c>
      <c r="K1033">
        <f>demanda!D1031</f>
        <v>2</v>
      </c>
      <c r="L1033">
        <f>demanda!I1031</f>
        <v>4</v>
      </c>
      <c r="M1033">
        <v>9.1555418996444509</v>
      </c>
      <c r="N1033">
        <f t="shared" si="128"/>
        <v>-5.1555418996444509</v>
      </c>
      <c r="O1033">
        <v>7.3144910189317154E-4</v>
      </c>
      <c r="P1033">
        <f t="shared" si="129"/>
        <v>-0.51945928867380853</v>
      </c>
      <c r="Q1033">
        <f t="shared" si="130"/>
        <v>98.539615573748293</v>
      </c>
      <c r="R1033">
        <f t="shared" si="131"/>
        <v>-0.51955051447259837</v>
      </c>
      <c r="S1033">
        <f t="shared" si="132"/>
        <v>0.60343681513546954</v>
      </c>
      <c r="T1033">
        <f t="shared" si="133"/>
        <v>9.8830890695332879E-5</v>
      </c>
      <c r="U1033">
        <f t="shared" si="134"/>
        <v>-1.4056549457229766E-2</v>
      </c>
    </row>
    <row r="1034" spans="10:21" x14ac:dyDescent="0.35">
      <c r="J1034">
        <f t="shared" si="135"/>
        <v>1031</v>
      </c>
      <c r="K1034">
        <f>demanda!D1032</f>
        <v>2</v>
      </c>
      <c r="L1034">
        <f>demanda!I1032</f>
        <v>4</v>
      </c>
      <c r="M1034">
        <v>9.1555418996444509</v>
      </c>
      <c r="N1034">
        <f t="shared" si="128"/>
        <v>-5.1555418996444509</v>
      </c>
      <c r="O1034">
        <v>7.3144910189317154E-4</v>
      </c>
      <c r="P1034">
        <f t="shared" si="129"/>
        <v>-0.51945928867380853</v>
      </c>
      <c r="Q1034">
        <f t="shared" si="130"/>
        <v>98.539615573748293</v>
      </c>
      <c r="R1034">
        <f t="shared" si="131"/>
        <v>-0.51955051447259837</v>
      </c>
      <c r="S1034">
        <f t="shared" si="132"/>
        <v>0.60343681513546954</v>
      </c>
      <c r="T1034">
        <f t="shared" si="133"/>
        <v>9.8830890695332879E-5</v>
      </c>
      <c r="U1034">
        <f t="shared" si="134"/>
        <v>-1.4056549457229766E-2</v>
      </c>
    </row>
    <row r="1035" spans="10:21" x14ac:dyDescent="0.35">
      <c r="J1035">
        <f t="shared" si="135"/>
        <v>1032</v>
      </c>
      <c r="K1035">
        <f>demanda!D1033</f>
        <v>5</v>
      </c>
      <c r="L1035">
        <f>demanda!I1033</f>
        <v>3</v>
      </c>
      <c r="M1035">
        <v>1.2636408299870627</v>
      </c>
      <c r="N1035">
        <f t="shared" si="128"/>
        <v>1.7363591700129373</v>
      </c>
      <c r="O1035">
        <v>3.9509249049329382E-3</v>
      </c>
      <c r="P1035">
        <f t="shared" si="129"/>
        <v>0.17495113353639288</v>
      </c>
      <c r="Q1035">
        <f t="shared" si="130"/>
        <v>98.551905545548507</v>
      </c>
      <c r="R1035">
        <f t="shared" si="131"/>
        <v>0.17525349341046803</v>
      </c>
      <c r="S1035">
        <f t="shared" si="132"/>
        <v>0.86089894193681449</v>
      </c>
      <c r="T1035">
        <f t="shared" si="133"/>
        <v>6.0945385407997739E-5</v>
      </c>
      <c r="U1035">
        <f t="shared" si="134"/>
        <v>1.1037626730021724E-2</v>
      </c>
    </row>
    <row r="1036" spans="10:21" x14ac:dyDescent="0.35">
      <c r="J1036">
        <f t="shared" si="135"/>
        <v>1033</v>
      </c>
      <c r="K1036">
        <f>demanda!D1034</f>
        <v>4</v>
      </c>
      <c r="L1036">
        <f>demanda!I1034</f>
        <v>3</v>
      </c>
      <c r="M1036">
        <v>3.8942745198728588</v>
      </c>
      <c r="N1036">
        <f t="shared" si="128"/>
        <v>-0.89427451987285878</v>
      </c>
      <c r="O1036">
        <v>2.4466175697261316E-3</v>
      </c>
      <c r="P1036">
        <f t="shared" si="129"/>
        <v>-9.0104826032798527E-2</v>
      </c>
      <c r="Q1036">
        <f t="shared" si="130"/>
        <v>98.553065719630368</v>
      </c>
      <c r="R1036">
        <f t="shared" si="131"/>
        <v>-9.0191937130002245E-2</v>
      </c>
      <c r="S1036">
        <f t="shared" si="132"/>
        <v>0.92814410376796586</v>
      </c>
      <c r="T1036">
        <f t="shared" si="133"/>
        <v>9.9806748742546123E-6</v>
      </c>
      <c r="U1036">
        <f t="shared" si="134"/>
        <v>-4.4666578568412878E-3</v>
      </c>
    </row>
    <row r="1037" spans="10:21" x14ac:dyDescent="0.35">
      <c r="J1037">
        <f t="shared" si="135"/>
        <v>1034</v>
      </c>
      <c r="K1037">
        <f>demanda!D1035</f>
        <v>0</v>
      </c>
      <c r="L1037">
        <f>demanda!I1035</f>
        <v>30</v>
      </c>
      <c r="M1037">
        <v>14.416809279416043</v>
      </c>
      <c r="N1037">
        <f t="shared" si="128"/>
        <v>15.583190720583957</v>
      </c>
      <c r="O1037">
        <v>7.4087557083441532E-4</v>
      </c>
      <c r="P1037">
        <f t="shared" si="129"/>
        <v>1.5701226611195016</v>
      </c>
      <c r="Q1037">
        <f t="shared" si="130"/>
        <v>98.426780949442986</v>
      </c>
      <c r="R1037">
        <f t="shared" si="131"/>
        <v>1.5713056923486881</v>
      </c>
      <c r="S1037">
        <f t="shared" si="132"/>
        <v>0.11627651321307192</v>
      </c>
      <c r="T1037">
        <f t="shared" si="133"/>
        <v>9.1458947113061428E-4</v>
      </c>
      <c r="U1037">
        <f t="shared" si="134"/>
        <v>4.2785268323209155E-2</v>
      </c>
    </row>
    <row r="1038" spans="10:21" x14ac:dyDescent="0.35">
      <c r="J1038">
        <f t="shared" si="135"/>
        <v>1035</v>
      </c>
      <c r="K1038">
        <f>demanda!D1036</f>
        <v>6</v>
      </c>
      <c r="L1038">
        <f>demanda!I1036</f>
        <v>3</v>
      </c>
      <c r="M1038">
        <v>-1.3669928598987333</v>
      </c>
      <c r="N1038">
        <f t="shared" si="128"/>
        <v>4.3669928598987333</v>
      </c>
      <c r="O1038">
        <v>5.8863809743332956E-3</v>
      </c>
      <c r="P1038">
        <f t="shared" si="129"/>
        <v>0.44000709310558428</v>
      </c>
      <c r="Q1038">
        <f t="shared" si="130"/>
        <v>98.543481851032595</v>
      </c>
      <c r="R1038">
        <f t="shared" si="131"/>
        <v>0.44121525371752685</v>
      </c>
      <c r="S1038">
        <f t="shared" si="132"/>
        <v>0.65910687609302177</v>
      </c>
      <c r="T1038">
        <f t="shared" si="133"/>
        <v>5.7658810569327667E-4</v>
      </c>
      <c r="U1038">
        <f t="shared" si="134"/>
        <v>3.3951322043777717E-2</v>
      </c>
    </row>
    <row r="1039" spans="10:21" x14ac:dyDescent="0.35">
      <c r="J1039">
        <f t="shared" si="135"/>
        <v>1036</v>
      </c>
      <c r="K1039">
        <f>demanda!D1037</f>
        <v>5</v>
      </c>
      <c r="L1039">
        <f>demanda!I1037</f>
        <v>2</v>
      </c>
      <c r="M1039">
        <v>1.2636408299870627</v>
      </c>
      <c r="N1039">
        <f t="shared" si="128"/>
        <v>0.73635917001293727</v>
      </c>
      <c r="O1039">
        <v>3.9509249049329382E-3</v>
      </c>
      <c r="P1039">
        <f t="shared" si="129"/>
        <v>7.4193677039020078E-2</v>
      </c>
      <c r="Q1039">
        <f t="shared" si="130"/>
        <v>98.553199876422468</v>
      </c>
      <c r="R1039">
        <f t="shared" si="131"/>
        <v>7.4321414457959423E-2</v>
      </c>
      <c r="S1039">
        <f t="shared" si="132"/>
        <v>0.94076238398569867</v>
      </c>
      <c r="T1039">
        <f t="shared" si="133"/>
        <v>1.0960770814463366E-5</v>
      </c>
      <c r="U1039">
        <f t="shared" si="134"/>
        <v>4.680831262592092E-3</v>
      </c>
    </row>
    <row r="1040" spans="10:21" x14ac:dyDescent="0.35">
      <c r="J1040">
        <f t="shared" si="135"/>
        <v>1037</v>
      </c>
      <c r="K1040">
        <f>demanda!D1038</f>
        <v>1</v>
      </c>
      <c r="L1040">
        <f>demanda!I1038</f>
        <v>14</v>
      </c>
      <c r="M1040">
        <v>11.786175589530247</v>
      </c>
      <c r="N1040">
        <f t="shared" si="128"/>
        <v>2.2138244104697531</v>
      </c>
      <c r="O1040">
        <v>5.2058796926701797E-4</v>
      </c>
      <c r="P1040">
        <f t="shared" si="129"/>
        <v>0.22305931673072815</v>
      </c>
      <c r="Q1040">
        <f t="shared" si="130"/>
        <v>98.550927094542288</v>
      </c>
      <c r="R1040">
        <f t="shared" si="131"/>
        <v>0.2230621523462217</v>
      </c>
      <c r="S1040">
        <f t="shared" si="132"/>
        <v>0.82351087455410243</v>
      </c>
      <c r="T1040">
        <f t="shared" si="133"/>
        <v>1.2964541478310422E-5</v>
      </c>
      <c r="U1040">
        <f t="shared" si="134"/>
        <v>5.0907998870362093E-3</v>
      </c>
    </row>
    <row r="1041" spans="10:21" x14ac:dyDescent="0.35">
      <c r="J1041">
        <f t="shared" si="135"/>
        <v>1038</v>
      </c>
      <c r="K1041">
        <f>demanda!D1039</f>
        <v>1</v>
      </c>
      <c r="L1041">
        <f>demanda!I1039</f>
        <v>9</v>
      </c>
      <c r="M1041">
        <v>11.786175589530247</v>
      </c>
      <c r="N1041">
        <f t="shared" si="128"/>
        <v>-2.7861755895302469</v>
      </c>
      <c r="O1041">
        <v>5.2058796926701797E-4</v>
      </c>
      <c r="P1041">
        <f t="shared" si="129"/>
        <v>-0.2807279657561359</v>
      </c>
      <c r="Q1041">
        <f t="shared" si="130"/>
        <v>98.549434265310296</v>
      </c>
      <c r="R1041">
        <f t="shared" si="131"/>
        <v>-0.2807336607336009</v>
      </c>
      <c r="S1041">
        <f t="shared" si="132"/>
        <v>0.77894495126310248</v>
      </c>
      <c r="T1041">
        <f t="shared" si="133"/>
        <v>2.0534672635962656E-5</v>
      </c>
      <c r="U1041">
        <f t="shared" si="134"/>
        <v>-6.4069985576559628E-3</v>
      </c>
    </row>
    <row r="1042" spans="10:21" x14ac:dyDescent="0.35">
      <c r="J1042">
        <f t="shared" si="135"/>
        <v>1039</v>
      </c>
      <c r="K1042">
        <f>demanda!D1040</f>
        <v>1</v>
      </c>
      <c r="L1042">
        <f>demanda!I1040</f>
        <v>14</v>
      </c>
      <c r="M1042">
        <v>11.786175589530247</v>
      </c>
      <c r="N1042">
        <f t="shared" si="128"/>
        <v>2.2138244104697531</v>
      </c>
      <c r="O1042">
        <v>5.2058796926701797E-4</v>
      </c>
      <c r="P1042">
        <f t="shared" si="129"/>
        <v>0.22305931673072815</v>
      </c>
      <c r="Q1042">
        <f t="shared" si="130"/>
        <v>98.550927094542288</v>
      </c>
      <c r="R1042">
        <f t="shared" si="131"/>
        <v>0.2230621523462217</v>
      </c>
      <c r="S1042">
        <f t="shared" si="132"/>
        <v>0.82351087455410243</v>
      </c>
      <c r="T1042">
        <f t="shared" si="133"/>
        <v>1.2964541478310422E-5</v>
      </c>
      <c r="U1042">
        <f t="shared" si="134"/>
        <v>5.0907998870362093E-3</v>
      </c>
    </row>
    <row r="1043" spans="10:21" x14ac:dyDescent="0.35">
      <c r="J1043">
        <f t="shared" si="135"/>
        <v>1040</v>
      </c>
      <c r="K1043">
        <f>demanda!D1041</f>
        <v>0</v>
      </c>
      <c r="L1043">
        <f>demanda!I1041</f>
        <v>21</v>
      </c>
      <c r="M1043">
        <v>14.416809279416043</v>
      </c>
      <c r="N1043">
        <f t="shared" si="128"/>
        <v>6.583190720583957</v>
      </c>
      <c r="O1043">
        <v>7.4087557083441532E-4</v>
      </c>
      <c r="P1043">
        <f t="shared" si="129"/>
        <v>0.66330555264314639</v>
      </c>
      <c r="Q1043">
        <f t="shared" si="130"/>
        <v>98.530871327612786</v>
      </c>
      <c r="R1043">
        <f t="shared" si="131"/>
        <v>0.66345460704039183</v>
      </c>
      <c r="S1043">
        <f t="shared" si="132"/>
        <v>0.507119133075143</v>
      </c>
      <c r="T1043">
        <f t="shared" si="133"/>
        <v>1.6322485812147056E-4</v>
      </c>
      <c r="U1043">
        <f t="shared" si="134"/>
        <v>1.8065283872333419E-2</v>
      </c>
    </row>
    <row r="1044" spans="10:21" x14ac:dyDescent="0.35">
      <c r="J1044">
        <f t="shared" si="135"/>
        <v>1041</v>
      </c>
      <c r="K1044">
        <f>demanda!D1042</f>
        <v>2</v>
      </c>
      <c r="L1044">
        <f>demanda!I1042</f>
        <v>21</v>
      </c>
      <c r="M1044">
        <v>9.1555418996444509</v>
      </c>
      <c r="N1044">
        <f t="shared" si="128"/>
        <v>11.844458100355549</v>
      </c>
      <c r="O1044">
        <v>7.3144910189317154E-4</v>
      </c>
      <c r="P1044">
        <f t="shared" si="129"/>
        <v>1.1934174717815291</v>
      </c>
      <c r="Q1044">
        <f t="shared" si="130"/>
        <v>98.480285641254</v>
      </c>
      <c r="R1044">
        <f t="shared" si="131"/>
        <v>1.1939865550949609</v>
      </c>
      <c r="S1044">
        <f t="shared" si="132"/>
        <v>0.23263079718405388</v>
      </c>
      <c r="T1044">
        <f t="shared" si="133"/>
        <v>5.2164429227492457E-4</v>
      </c>
      <c r="U1044">
        <f t="shared" si="134"/>
        <v>3.2303559702941805E-2</v>
      </c>
    </row>
    <row r="1045" spans="10:21" x14ac:dyDescent="0.35">
      <c r="J1045">
        <f t="shared" si="135"/>
        <v>1042</v>
      </c>
      <c r="K1045">
        <f>demanda!D1043</f>
        <v>0</v>
      </c>
      <c r="L1045">
        <f>demanda!I1043</f>
        <v>74</v>
      </c>
      <c r="M1045">
        <v>14.416809279416043</v>
      </c>
      <c r="N1045">
        <f t="shared" si="128"/>
        <v>59.583190720583957</v>
      </c>
      <c r="O1045">
        <v>7.4087557083441532E-4</v>
      </c>
      <c r="P1045">
        <f t="shared" si="129"/>
        <v>6.0034507470039049</v>
      </c>
      <c r="Q1045">
        <f t="shared" si="130"/>
        <v>96.701143351263681</v>
      </c>
      <c r="R1045">
        <f t="shared" si="131"/>
        <v>6.0613434167076621</v>
      </c>
      <c r="S1045">
        <f t="shared" si="132"/>
        <v>1.6209898295051686E-9</v>
      </c>
      <c r="T1045">
        <f t="shared" si="133"/>
        <v>1.3370909151656615E-2</v>
      </c>
      <c r="U1045">
        <f t="shared" si="134"/>
        <v>0.16504503595052555</v>
      </c>
    </row>
    <row r="1046" spans="10:21" x14ac:dyDescent="0.35">
      <c r="J1046">
        <f t="shared" si="135"/>
        <v>1043</v>
      </c>
      <c r="K1046">
        <f>demanda!D1044</f>
        <v>0</v>
      </c>
      <c r="L1046">
        <f>demanda!I1044</f>
        <v>21</v>
      </c>
      <c r="M1046">
        <v>14.416809279416043</v>
      </c>
      <c r="N1046">
        <f t="shared" si="128"/>
        <v>6.583190720583957</v>
      </c>
      <c r="O1046">
        <v>7.4087557083441532E-4</v>
      </c>
      <c r="P1046">
        <f t="shared" si="129"/>
        <v>0.66330555264314639</v>
      </c>
      <c r="Q1046">
        <f t="shared" si="130"/>
        <v>98.530871327612786</v>
      </c>
      <c r="R1046">
        <f t="shared" si="131"/>
        <v>0.66345460704039183</v>
      </c>
      <c r="S1046">
        <f t="shared" si="132"/>
        <v>0.507119133075143</v>
      </c>
      <c r="T1046">
        <f t="shared" si="133"/>
        <v>1.6322485812147056E-4</v>
      </c>
      <c r="U1046">
        <f t="shared" si="134"/>
        <v>1.8065283872333419E-2</v>
      </c>
    </row>
    <row r="1047" spans="10:21" x14ac:dyDescent="0.35">
      <c r="J1047">
        <f t="shared" si="135"/>
        <v>1044</v>
      </c>
      <c r="K1047">
        <f>demanda!D1045</f>
        <v>0</v>
      </c>
      <c r="L1047">
        <f>demanda!I1045</f>
        <v>18</v>
      </c>
      <c r="M1047">
        <v>14.416809279416043</v>
      </c>
      <c r="N1047">
        <f t="shared" si="128"/>
        <v>3.583190720583957</v>
      </c>
      <c r="O1047">
        <v>7.4087557083441532E-4</v>
      </c>
      <c r="P1047">
        <f t="shared" si="129"/>
        <v>0.36103318315102795</v>
      </c>
      <c r="Q1047">
        <f t="shared" si="130"/>
        <v>98.546784652507341</v>
      </c>
      <c r="R1047">
        <f t="shared" si="131"/>
        <v>0.3610851550254302</v>
      </c>
      <c r="S1047">
        <f t="shared" si="132"/>
        <v>0.7180755365508017</v>
      </c>
      <c r="T1047">
        <f t="shared" si="133"/>
        <v>4.8356323571821784E-5</v>
      </c>
      <c r="U1047">
        <f t="shared" si="134"/>
        <v>9.8320303429934326E-3</v>
      </c>
    </row>
    <row r="1048" spans="10:21" x14ac:dyDescent="0.35">
      <c r="J1048">
        <f t="shared" si="135"/>
        <v>1045</v>
      </c>
      <c r="K1048">
        <f>demanda!D1046</f>
        <v>0</v>
      </c>
      <c r="L1048">
        <f>demanda!I1046</f>
        <v>28</v>
      </c>
      <c r="M1048">
        <v>14.416809279416043</v>
      </c>
      <c r="N1048">
        <f t="shared" si="128"/>
        <v>13.583190720583957</v>
      </c>
      <c r="O1048">
        <v>7.4087557083441532E-4</v>
      </c>
      <c r="P1048">
        <f t="shared" si="129"/>
        <v>1.3686077481247561</v>
      </c>
      <c r="Q1048">
        <f t="shared" si="130"/>
        <v>98.457216826525212</v>
      </c>
      <c r="R1048">
        <f t="shared" si="131"/>
        <v>1.3694272318804395</v>
      </c>
      <c r="S1048">
        <f t="shared" si="132"/>
        <v>0.17102599994876813</v>
      </c>
      <c r="T1048">
        <f t="shared" si="133"/>
        <v>6.9489153739670493E-4</v>
      </c>
      <c r="U1048">
        <f t="shared" si="134"/>
        <v>3.7288295874201023E-2</v>
      </c>
    </row>
    <row r="1049" spans="10:21" x14ac:dyDescent="0.35">
      <c r="J1049">
        <f t="shared" si="135"/>
        <v>1046</v>
      </c>
      <c r="K1049">
        <f>demanda!D1047</f>
        <v>0</v>
      </c>
      <c r="L1049">
        <f>demanda!I1047</f>
        <v>64</v>
      </c>
      <c r="M1049">
        <v>14.416809279416043</v>
      </c>
      <c r="N1049">
        <f t="shared" si="128"/>
        <v>49.583190720583957</v>
      </c>
      <c r="O1049">
        <v>7.4087557083441532E-4</v>
      </c>
      <c r="P1049">
        <f t="shared" si="129"/>
        <v>4.9958761820301767</v>
      </c>
      <c r="Q1049">
        <f t="shared" si="130"/>
        <v>97.270733132868585</v>
      </c>
      <c r="R1049">
        <f t="shared" si="131"/>
        <v>5.029262623477126</v>
      </c>
      <c r="S1049">
        <f t="shared" si="132"/>
        <v>5.382368278869992E-7</v>
      </c>
      <c r="T1049">
        <f t="shared" si="133"/>
        <v>9.2593897840226418E-3</v>
      </c>
      <c r="U1049">
        <f t="shared" si="134"/>
        <v>0.13694238610675474</v>
      </c>
    </row>
    <row r="1050" spans="10:21" x14ac:dyDescent="0.35">
      <c r="J1050">
        <f t="shared" si="135"/>
        <v>1047</v>
      </c>
      <c r="K1050">
        <f>demanda!D1048</f>
        <v>1</v>
      </c>
      <c r="L1050">
        <f>demanda!I1048</f>
        <v>14</v>
      </c>
      <c r="M1050">
        <v>11.786175589530247</v>
      </c>
      <c r="N1050">
        <f t="shared" si="128"/>
        <v>2.2138244104697531</v>
      </c>
      <c r="O1050">
        <v>5.2058796926701797E-4</v>
      </c>
      <c r="P1050">
        <f t="shared" si="129"/>
        <v>0.22305931673072815</v>
      </c>
      <c r="Q1050">
        <f t="shared" si="130"/>
        <v>98.550927094542288</v>
      </c>
      <c r="R1050">
        <f t="shared" si="131"/>
        <v>0.2230621523462217</v>
      </c>
      <c r="S1050">
        <f t="shared" si="132"/>
        <v>0.82351087455410243</v>
      </c>
      <c r="T1050">
        <f t="shared" si="133"/>
        <v>1.2964541478310422E-5</v>
      </c>
      <c r="U1050">
        <f t="shared" si="134"/>
        <v>5.0907998870362093E-3</v>
      </c>
    </row>
    <row r="1051" spans="10:21" x14ac:dyDescent="0.35">
      <c r="J1051">
        <f t="shared" si="135"/>
        <v>1048</v>
      </c>
      <c r="K1051">
        <f>demanda!D1049</f>
        <v>1</v>
      </c>
      <c r="L1051">
        <f>demanda!I1049</f>
        <v>3</v>
      </c>
      <c r="M1051">
        <v>11.786175589530247</v>
      </c>
      <c r="N1051">
        <f t="shared" si="128"/>
        <v>-8.7861755895302469</v>
      </c>
      <c r="O1051">
        <v>5.2058796926701797E-4</v>
      </c>
      <c r="P1051">
        <f t="shared" si="129"/>
        <v>-0.88527270474037267</v>
      </c>
      <c r="Q1051">
        <f t="shared" si="130"/>
        <v>98.513214102399758</v>
      </c>
      <c r="R1051">
        <f t="shared" si="131"/>
        <v>-0.88545339538896362</v>
      </c>
      <c r="S1051">
        <f t="shared" si="132"/>
        <v>0.37602308055069167</v>
      </c>
      <c r="T1051">
        <f t="shared" si="133"/>
        <v>2.0420697614382047E-4</v>
      </c>
      <c r="U1051">
        <f t="shared" si="134"/>
        <v>-2.0208116875988336E-2</v>
      </c>
    </row>
    <row r="1052" spans="10:21" x14ac:dyDescent="0.35">
      <c r="J1052">
        <f t="shared" si="135"/>
        <v>1049</v>
      </c>
      <c r="K1052">
        <f>demanda!D1050</f>
        <v>4</v>
      </c>
      <c r="L1052">
        <f>demanda!I1050</f>
        <v>4</v>
      </c>
      <c r="M1052">
        <v>3.8942745198728588</v>
      </c>
      <c r="N1052">
        <f t="shared" si="128"/>
        <v>0.10572548012714122</v>
      </c>
      <c r="O1052">
        <v>2.4466175697261316E-3</v>
      </c>
      <c r="P1052">
        <f t="shared" si="129"/>
        <v>1.0652630464574285E-2</v>
      </c>
      <c r="Q1052">
        <f t="shared" si="130"/>
        <v>98.553477858863673</v>
      </c>
      <c r="R1052">
        <f t="shared" si="131"/>
        <v>1.0662906866275572E-2</v>
      </c>
      <c r="S1052">
        <f t="shared" si="132"/>
        <v>0.99149350080457299</v>
      </c>
      <c r="T1052">
        <f t="shared" si="133"/>
        <v>1.3950106623021426E-7</v>
      </c>
      <c r="U1052">
        <f t="shared" si="134"/>
        <v>5.2806889669490694E-4</v>
      </c>
    </row>
    <row r="1053" spans="10:21" x14ac:dyDescent="0.35">
      <c r="J1053">
        <f t="shared" si="135"/>
        <v>1050</v>
      </c>
      <c r="K1053">
        <f>demanda!D1051</f>
        <v>0</v>
      </c>
      <c r="L1053">
        <f>demanda!I1051</f>
        <v>13</v>
      </c>
      <c r="M1053">
        <v>14.416809279416043</v>
      </c>
      <c r="N1053">
        <f t="shared" si="128"/>
        <v>-1.416809279416043</v>
      </c>
      <c r="O1053">
        <v>7.4087557083441532E-4</v>
      </c>
      <c r="P1053">
        <f t="shared" si="129"/>
        <v>-0.14275409933583605</v>
      </c>
      <c r="Q1053">
        <f t="shared" si="130"/>
        <v>98.552436340855238</v>
      </c>
      <c r="R1053">
        <f t="shared" si="131"/>
        <v>-0.14277055533334676</v>
      </c>
      <c r="S1053">
        <f t="shared" si="132"/>
        <v>0.88648638054980111</v>
      </c>
      <c r="T1053">
        <f t="shared" si="133"/>
        <v>7.5602509372950483E-6</v>
      </c>
      <c r="U1053">
        <f t="shared" si="134"/>
        <v>-3.8875163173756836E-3</v>
      </c>
    </row>
    <row r="1054" spans="10:21" x14ac:dyDescent="0.35">
      <c r="J1054">
        <f t="shared" si="135"/>
        <v>1051</v>
      </c>
      <c r="K1054">
        <f>demanda!D1052</f>
        <v>1</v>
      </c>
      <c r="L1054">
        <f>demanda!I1052</f>
        <v>4</v>
      </c>
      <c r="M1054">
        <v>11.786175589530247</v>
      </c>
      <c r="N1054">
        <f t="shared" si="128"/>
        <v>-7.7861755895302469</v>
      </c>
      <c r="O1054">
        <v>5.2058796926701797E-4</v>
      </c>
      <c r="P1054">
        <f t="shared" si="129"/>
        <v>-0.7845152482429999</v>
      </c>
      <c r="Q1054">
        <f t="shared" si="130"/>
        <v>98.52185903620547</v>
      </c>
      <c r="R1054">
        <f t="shared" si="131"/>
        <v>-0.784640946599786</v>
      </c>
      <c r="S1054">
        <f t="shared" si="132"/>
        <v>0.43276096337473069</v>
      </c>
      <c r="T1054">
        <f t="shared" si="133"/>
        <v>1.6036855085321727E-4</v>
      </c>
      <c r="U1054">
        <f t="shared" si="134"/>
        <v>-1.7907341071981879E-2</v>
      </c>
    </row>
    <row r="1055" spans="10:21" x14ac:dyDescent="0.35">
      <c r="J1055">
        <f t="shared" si="135"/>
        <v>1052</v>
      </c>
      <c r="K1055">
        <f>demanda!D1053</f>
        <v>3</v>
      </c>
      <c r="L1055">
        <f>demanda!I1053</f>
        <v>3</v>
      </c>
      <c r="M1055">
        <v>6.5249082097586548</v>
      </c>
      <c r="N1055">
        <f t="shared" si="128"/>
        <v>-3.5249082097586548</v>
      </c>
      <c r="O1055">
        <v>1.3734589687128761E-3</v>
      </c>
      <c r="P1055">
        <f t="shared" si="129"/>
        <v>-0.35516078560198994</v>
      </c>
      <c r="Q1055">
        <f t="shared" si="130"/>
        <v>98.546996700749531</v>
      </c>
      <c r="R1055">
        <f t="shared" si="131"/>
        <v>-0.35532401713098288</v>
      </c>
      <c r="S1055">
        <f t="shared" si="132"/>
        <v>0.72238591463660118</v>
      </c>
      <c r="T1055">
        <f t="shared" si="133"/>
        <v>8.6861935283639592E-5</v>
      </c>
      <c r="U1055">
        <f t="shared" si="134"/>
        <v>-1.3177434192717408E-2</v>
      </c>
    </row>
    <row r="1056" spans="10:21" x14ac:dyDescent="0.35">
      <c r="J1056">
        <f t="shared" si="135"/>
        <v>1053</v>
      </c>
      <c r="K1056">
        <f>demanda!D1054</f>
        <v>0</v>
      </c>
      <c r="L1056">
        <f>demanda!I1054</f>
        <v>3</v>
      </c>
      <c r="M1056">
        <v>14.416809279416043</v>
      </c>
      <c r="N1056">
        <f t="shared" si="128"/>
        <v>-11.416809279416043</v>
      </c>
      <c r="O1056">
        <v>7.4087557083441532E-4</v>
      </c>
      <c r="P1056">
        <f t="shared" si="129"/>
        <v>-1.150328664309564</v>
      </c>
      <c r="Q1056">
        <f t="shared" si="130"/>
        <v>98.485475268264722</v>
      </c>
      <c r="R1056">
        <f t="shared" si="131"/>
        <v>-1.1508523061099405</v>
      </c>
      <c r="S1056">
        <f t="shared" si="132"/>
        <v>0.24993638008158123</v>
      </c>
      <c r="T1056">
        <f t="shared" si="133"/>
        <v>4.9091117422407117E-4</v>
      </c>
      <c r="U1056">
        <f t="shared" si="134"/>
        <v>-3.1336693399040466E-2</v>
      </c>
    </row>
    <row r="1057" spans="10:21" x14ac:dyDescent="0.35">
      <c r="J1057">
        <f t="shared" si="135"/>
        <v>1054</v>
      </c>
      <c r="K1057">
        <f>demanda!D1055</f>
        <v>1</v>
      </c>
      <c r="L1057">
        <f>demanda!I1055</f>
        <v>13</v>
      </c>
      <c r="M1057">
        <v>11.786175589530247</v>
      </c>
      <c r="N1057">
        <f t="shared" si="128"/>
        <v>1.2138244104697531</v>
      </c>
      <c r="O1057">
        <v>5.2058796926701797E-4</v>
      </c>
      <c r="P1057">
        <f t="shared" si="129"/>
        <v>0.12230186023335533</v>
      </c>
      <c r="Q1057">
        <f t="shared" si="130"/>
        <v>98.552715120685733</v>
      </c>
      <c r="R1057">
        <f t="shared" si="131"/>
        <v>0.12230230551078146</v>
      </c>
      <c r="S1057">
        <f t="shared" si="132"/>
        <v>0.90267241210292171</v>
      </c>
      <c r="T1057">
        <f t="shared" si="133"/>
        <v>3.8974679450726784E-6</v>
      </c>
      <c r="U1057">
        <f t="shared" si="134"/>
        <v>2.7912245826094769E-3</v>
      </c>
    </row>
    <row r="1058" spans="10:21" x14ac:dyDescent="0.35">
      <c r="J1058">
        <f t="shared" si="135"/>
        <v>1055</v>
      </c>
      <c r="K1058">
        <f>demanda!D1056</f>
        <v>1</v>
      </c>
      <c r="L1058">
        <f>demanda!I1056</f>
        <v>5</v>
      </c>
      <c r="M1058">
        <v>11.786175589530247</v>
      </c>
      <c r="N1058">
        <f t="shared" si="128"/>
        <v>-6.7861755895302469</v>
      </c>
      <c r="O1058">
        <v>5.2058796926701797E-4</v>
      </c>
      <c r="P1058">
        <f t="shared" si="129"/>
        <v>-0.68375779174562712</v>
      </c>
      <c r="Q1058">
        <f t="shared" si="130"/>
        <v>98.529460674016264</v>
      </c>
      <c r="R1058">
        <f t="shared" si="131"/>
        <v>-0.68384096531208116</v>
      </c>
      <c r="S1058">
        <f t="shared" si="132"/>
        <v>0.49415815943295716</v>
      </c>
      <c r="T1058">
        <f t="shared" si="133"/>
        <v>1.2182067544499816E-4</v>
      </c>
      <c r="U1058">
        <f t="shared" si="134"/>
        <v>-1.560684980551091E-2</v>
      </c>
    </row>
    <row r="1059" spans="10:21" x14ac:dyDescent="0.35">
      <c r="J1059">
        <f t="shared" si="135"/>
        <v>1056</v>
      </c>
      <c r="K1059">
        <f>demanda!D1057</f>
        <v>1</v>
      </c>
      <c r="L1059">
        <f>demanda!I1057</f>
        <v>11</v>
      </c>
      <c r="M1059">
        <v>11.786175589530247</v>
      </c>
      <c r="N1059">
        <f t="shared" si="128"/>
        <v>-0.78617558953024691</v>
      </c>
      <c r="O1059">
        <v>5.2058796926701797E-4</v>
      </c>
      <c r="P1059">
        <f t="shared" si="129"/>
        <v>-7.9213052761390276E-2</v>
      </c>
      <c r="Q1059">
        <f t="shared" si="130"/>
        <v>98.553161284987851</v>
      </c>
      <c r="R1059">
        <f t="shared" si="131"/>
        <v>-7.9213161855515926E-2</v>
      </c>
      <c r="S1059">
        <f t="shared" si="132"/>
        <v>0.93687133485398588</v>
      </c>
      <c r="T1059">
        <f t="shared" si="133"/>
        <v>1.6349705257494771E-6</v>
      </c>
      <c r="U1059">
        <f t="shared" si="134"/>
        <v>-1.8078295720913319E-3</v>
      </c>
    </row>
    <row r="1060" spans="10:21" x14ac:dyDescent="0.35">
      <c r="J1060">
        <f t="shared" si="135"/>
        <v>1057</v>
      </c>
      <c r="K1060">
        <f>demanda!D1058</f>
        <v>0</v>
      </c>
      <c r="L1060">
        <f>demanda!I1058</f>
        <v>11</v>
      </c>
      <c r="M1060">
        <v>14.416809279416043</v>
      </c>
      <c r="N1060">
        <f t="shared" si="128"/>
        <v>-3.416809279416043</v>
      </c>
      <c r="O1060">
        <v>7.4087557083441532E-4</v>
      </c>
      <c r="P1060">
        <f t="shared" si="129"/>
        <v>-0.34426901233058166</v>
      </c>
      <c r="Q1060">
        <f t="shared" si="130"/>
        <v>98.547392334261005</v>
      </c>
      <c r="R1060">
        <f t="shared" si="131"/>
        <v>-0.34431750934619676</v>
      </c>
      <c r="S1060">
        <f t="shared" si="132"/>
        <v>0.73064524437297085</v>
      </c>
      <c r="T1060">
        <f t="shared" si="133"/>
        <v>4.3969841615361785E-5</v>
      </c>
      <c r="U1060">
        <f t="shared" si="134"/>
        <v>-9.3754621379472432E-3</v>
      </c>
    </row>
    <row r="1061" spans="10:21" x14ac:dyDescent="0.35">
      <c r="J1061">
        <f t="shared" si="135"/>
        <v>1058</v>
      </c>
      <c r="K1061">
        <f>demanda!D1059</f>
        <v>1</v>
      </c>
      <c r="L1061">
        <f>demanda!I1059</f>
        <v>31</v>
      </c>
      <c r="M1061">
        <v>11.786175589530247</v>
      </c>
      <c r="N1061">
        <f t="shared" si="128"/>
        <v>19.213824410469755</v>
      </c>
      <c r="O1061">
        <v>5.2058796926701797E-4</v>
      </c>
      <c r="P1061">
        <f t="shared" si="129"/>
        <v>1.9359360771860661</v>
      </c>
      <c r="Q1061">
        <f t="shared" si="130"/>
        <v>98.360906362882218</v>
      </c>
      <c r="R1061">
        <f t="shared" si="131"/>
        <v>1.9378297998833094</v>
      </c>
      <c r="S1061">
        <f t="shared" si="132"/>
        <v>5.2790524034388449E-2</v>
      </c>
      <c r="T1061">
        <f t="shared" si="133"/>
        <v>9.7655892354811872E-4</v>
      </c>
      <c r="U1061">
        <f t="shared" si="134"/>
        <v>4.4225807124058492E-2</v>
      </c>
    </row>
    <row r="1062" spans="10:21" x14ac:dyDescent="0.35">
      <c r="J1062">
        <f t="shared" si="135"/>
        <v>1059</v>
      </c>
      <c r="K1062">
        <f>demanda!D1060</f>
        <v>0</v>
      </c>
      <c r="L1062">
        <f>demanda!I1060</f>
        <v>5</v>
      </c>
      <c r="M1062">
        <v>14.416809279416043</v>
      </c>
      <c r="N1062">
        <f t="shared" si="128"/>
        <v>-9.416809279416043</v>
      </c>
      <c r="O1062">
        <v>7.4087557083441532E-4</v>
      </c>
      <c r="P1062">
        <f t="shared" si="129"/>
        <v>-0.94881375131481849</v>
      </c>
      <c r="Q1062">
        <f t="shared" si="130"/>
        <v>98.507215690706701</v>
      </c>
      <c r="R1062">
        <f t="shared" si="131"/>
        <v>-0.94914090693055775</v>
      </c>
      <c r="S1062">
        <f t="shared" si="132"/>
        <v>0.34266846368408377</v>
      </c>
      <c r="T1062">
        <f t="shared" si="133"/>
        <v>3.339803955874275E-4</v>
      </c>
      <c r="U1062">
        <f t="shared" si="134"/>
        <v>-2.5844269881602652E-2</v>
      </c>
    </row>
    <row r="1063" spans="10:21" x14ac:dyDescent="0.35">
      <c r="J1063">
        <f t="shared" si="135"/>
        <v>1060</v>
      </c>
      <c r="K1063">
        <f>demanda!D1061</f>
        <v>2</v>
      </c>
      <c r="L1063">
        <f>demanda!I1061</f>
        <v>3</v>
      </c>
      <c r="M1063">
        <v>9.1555418996444509</v>
      </c>
      <c r="N1063">
        <f t="shared" si="128"/>
        <v>-6.1555418996444509</v>
      </c>
      <c r="O1063">
        <v>7.3144910189317154E-4</v>
      </c>
      <c r="P1063">
        <f t="shared" si="129"/>
        <v>-0.62021674517118131</v>
      </c>
      <c r="Q1063">
        <f t="shared" si="130"/>
        <v>98.533713924458709</v>
      </c>
      <c r="R1063">
        <f t="shared" si="131"/>
        <v>-0.62034424251421916</v>
      </c>
      <c r="S1063">
        <f t="shared" si="132"/>
        <v>0.53510483257501296</v>
      </c>
      <c r="T1063">
        <f t="shared" si="133"/>
        <v>1.4088885884323287E-4</v>
      </c>
      <c r="U1063">
        <f t="shared" si="134"/>
        <v>-1.6783545165498539E-2</v>
      </c>
    </row>
    <row r="1064" spans="10:21" x14ac:dyDescent="0.35">
      <c r="J1064">
        <f t="shared" si="135"/>
        <v>1061</v>
      </c>
      <c r="K1064">
        <f>demanda!D1062</f>
        <v>1</v>
      </c>
      <c r="L1064">
        <f>demanda!I1062</f>
        <v>2</v>
      </c>
      <c r="M1064">
        <v>11.786175589530247</v>
      </c>
      <c r="N1064">
        <f t="shared" si="128"/>
        <v>-9.7861755895302469</v>
      </c>
      <c r="O1064">
        <v>5.2058796926701797E-4</v>
      </c>
      <c r="P1064">
        <f t="shared" si="129"/>
        <v>-0.98603016123774556</v>
      </c>
      <c r="Q1064">
        <f t="shared" si="130"/>
        <v>98.503525872599127</v>
      </c>
      <c r="R1064">
        <f t="shared" si="131"/>
        <v>-0.98627991600190701</v>
      </c>
      <c r="S1064">
        <f t="shared" si="132"/>
        <v>0.32412010689798754</v>
      </c>
      <c r="T1064">
        <f t="shared" si="133"/>
        <v>2.5333595131680776E-4</v>
      </c>
      <c r="U1064">
        <f t="shared" si="134"/>
        <v>-2.2509213831916283E-2</v>
      </c>
    </row>
    <row r="1065" spans="10:21" x14ac:dyDescent="0.35">
      <c r="J1065">
        <f t="shared" si="135"/>
        <v>1062</v>
      </c>
      <c r="K1065">
        <f>demanda!D1063</f>
        <v>0</v>
      </c>
      <c r="L1065">
        <f>demanda!I1063</f>
        <v>5</v>
      </c>
      <c r="M1065">
        <v>14.416809279416043</v>
      </c>
      <c r="N1065">
        <f t="shared" si="128"/>
        <v>-9.416809279416043</v>
      </c>
      <c r="O1065">
        <v>7.4087557083441532E-4</v>
      </c>
      <c r="P1065">
        <f t="shared" si="129"/>
        <v>-0.94881375131481849</v>
      </c>
      <c r="Q1065">
        <f t="shared" si="130"/>
        <v>98.507215690706701</v>
      </c>
      <c r="R1065">
        <f t="shared" si="131"/>
        <v>-0.94914090693055775</v>
      </c>
      <c r="S1065">
        <f t="shared" si="132"/>
        <v>0.34266846368408377</v>
      </c>
      <c r="T1065">
        <f t="shared" si="133"/>
        <v>3.339803955874275E-4</v>
      </c>
      <c r="U1065">
        <f t="shared" si="134"/>
        <v>-2.5844269881602652E-2</v>
      </c>
    </row>
    <row r="1066" spans="10:21" x14ac:dyDescent="0.35">
      <c r="J1066">
        <f t="shared" si="135"/>
        <v>1063</v>
      </c>
      <c r="K1066">
        <f>demanda!D1064</f>
        <v>0</v>
      </c>
      <c r="L1066">
        <f>demanda!I1064</f>
        <v>15</v>
      </c>
      <c r="M1066">
        <v>14.416809279416043</v>
      </c>
      <c r="N1066">
        <f t="shared" si="128"/>
        <v>0.58319072058395705</v>
      </c>
      <c r="O1066">
        <v>7.4087557083441532E-4</v>
      </c>
      <c r="P1066">
        <f t="shared" si="129"/>
        <v>5.8760813658909554E-2</v>
      </c>
      <c r="Q1066">
        <f t="shared" si="130"/>
        <v>98.553306243487526</v>
      </c>
      <c r="R1066">
        <f t="shared" si="131"/>
        <v>5.8767327956256402E-2</v>
      </c>
      <c r="S1066">
        <f t="shared" si="132"/>
        <v>0.95314355069247325</v>
      </c>
      <c r="T1066">
        <f t="shared" si="133"/>
        <v>1.2809572488725558E-6</v>
      </c>
      <c r="U1066">
        <f t="shared" si="134"/>
        <v>1.6001825154010173E-3</v>
      </c>
    </row>
    <row r="1067" spans="10:21" x14ac:dyDescent="0.35">
      <c r="J1067">
        <f t="shared" si="135"/>
        <v>1064</v>
      </c>
      <c r="K1067">
        <f>demanda!D1065</f>
        <v>1</v>
      </c>
      <c r="L1067">
        <f>demanda!I1065</f>
        <v>4</v>
      </c>
      <c r="M1067">
        <v>11.786175589530247</v>
      </c>
      <c r="N1067">
        <f t="shared" si="128"/>
        <v>-7.7861755895302469</v>
      </c>
      <c r="O1067">
        <v>5.2058796926701797E-4</v>
      </c>
      <c r="P1067">
        <f t="shared" si="129"/>
        <v>-0.7845152482429999</v>
      </c>
      <c r="Q1067">
        <f t="shared" si="130"/>
        <v>98.52185903620547</v>
      </c>
      <c r="R1067">
        <f t="shared" si="131"/>
        <v>-0.784640946599786</v>
      </c>
      <c r="S1067">
        <f t="shared" si="132"/>
        <v>0.43276096337473069</v>
      </c>
      <c r="T1067">
        <f t="shared" si="133"/>
        <v>1.6036855085321727E-4</v>
      </c>
      <c r="U1067">
        <f t="shared" si="134"/>
        <v>-1.7907341071981879E-2</v>
      </c>
    </row>
    <row r="1068" spans="10:21" x14ac:dyDescent="0.35">
      <c r="J1068">
        <f t="shared" si="135"/>
        <v>1065</v>
      </c>
      <c r="K1068">
        <f>demanda!D1066</f>
        <v>3</v>
      </c>
      <c r="L1068">
        <f>demanda!I1066</f>
        <v>4</v>
      </c>
      <c r="M1068">
        <v>6.5249082097586548</v>
      </c>
      <c r="N1068">
        <f t="shared" si="128"/>
        <v>-2.5249082097586548</v>
      </c>
      <c r="O1068">
        <v>1.3734589687128761E-3</v>
      </c>
      <c r="P1068">
        <f t="shared" si="129"/>
        <v>-0.2544033291046171</v>
      </c>
      <c r="Q1068">
        <f t="shared" si="130"/>
        <v>98.550155270625524</v>
      </c>
      <c r="R1068">
        <f t="shared" si="131"/>
        <v>-0.25451617384299874</v>
      </c>
      <c r="S1068">
        <f t="shared" si="132"/>
        <v>0.79912408038987892</v>
      </c>
      <c r="T1068">
        <f t="shared" si="133"/>
        <v>4.4568197050885148E-5</v>
      </c>
      <c r="U1068">
        <f t="shared" si="134"/>
        <v>-9.4389063786870474E-3</v>
      </c>
    </row>
    <row r="1069" spans="10:21" x14ac:dyDescent="0.35">
      <c r="J1069">
        <f t="shared" si="135"/>
        <v>1066</v>
      </c>
      <c r="K1069">
        <f>demanda!D1067</f>
        <v>2</v>
      </c>
      <c r="L1069">
        <f>demanda!I1067</f>
        <v>2</v>
      </c>
      <c r="M1069">
        <v>9.1555418996444509</v>
      </c>
      <c r="N1069">
        <f t="shared" si="128"/>
        <v>-7.1555418996444509</v>
      </c>
      <c r="O1069">
        <v>7.3144910189317154E-4</v>
      </c>
      <c r="P1069">
        <f t="shared" si="129"/>
        <v>-0.72097420166855408</v>
      </c>
      <c r="Q1069">
        <f t="shared" si="130"/>
        <v>98.526768759022602</v>
      </c>
      <c r="R1069">
        <f t="shared" si="131"/>
        <v>-0.72114782718324122</v>
      </c>
      <c r="S1069">
        <f t="shared" si="132"/>
        <v>0.47090641241117204</v>
      </c>
      <c r="T1069">
        <f t="shared" si="133"/>
        <v>1.9038342084795563E-4</v>
      </c>
      <c r="U1069">
        <f t="shared" si="134"/>
        <v>-1.9510807546913981E-2</v>
      </c>
    </row>
    <row r="1070" spans="10:21" x14ac:dyDescent="0.35">
      <c r="J1070">
        <f t="shared" si="135"/>
        <v>1067</v>
      </c>
      <c r="K1070">
        <f>demanda!D1068</f>
        <v>0</v>
      </c>
      <c r="L1070">
        <f>demanda!I1068</f>
        <v>13</v>
      </c>
      <c r="M1070">
        <v>14.416809279416043</v>
      </c>
      <c r="N1070">
        <f t="shared" si="128"/>
        <v>-1.416809279416043</v>
      </c>
      <c r="O1070">
        <v>7.4087557083441532E-4</v>
      </c>
      <c r="P1070">
        <f t="shared" si="129"/>
        <v>-0.14275409933583605</v>
      </c>
      <c r="Q1070">
        <f t="shared" si="130"/>
        <v>98.552436340855238</v>
      </c>
      <c r="R1070">
        <f t="shared" si="131"/>
        <v>-0.14277055533334676</v>
      </c>
      <c r="S1070">
        <f t="shared" si="132"/>
        <v>0.88648638054980111</v>
      </c>
      <c r="T1070">
        <f t="shared" si="133"/>
        <v>7.5602509372950483E-6</v>
      </c>
      <c r="U1070">
        <f t="shared" si="134"/>
        <v>-3.8875163173756836E-3</v>
      </c>
    </row>
    <row r="1071" spans="10:21" x14ac:dyDescent="0.35">
      <c r="J1071">
        <f t="shared" si="135"/>
        <v>1068</v>
      </c>
      <c r="K1071">
        <f>demanda!D1069</f>
        <v>0</v>
      </c>
      <c r="L1071">
        <f>demanda!I1069</f>
        <v>10</v>
      </c>
      <c r="M1071">
        <v>14.416809279416043</v>
      </c>
      <c r="N1071">
        <f t="shared" si="128"/>
        <v>-4.416809279416043</v>
      </c>
      <c r="O1071">
        <v>7.4087557083441532E-4</v>
      </c>
      <c r="P1071">
        <f t="shared" si="129"/>
        <v>-0.44502646882795449</v>
      </c>
      <c r="Q1071">
        <f t="shared" si="130"/>
        <v>98.543305041978172</v>
      </c>
      <c r="R1071">
        <f t="shared" si="131"/>
        <v>-0.44509838991165818</v>
      </c>
      <c r="S1071">
        <f t="shared" si="132"/>
        <v>0.65629885256814913</v>
      </c>
      <c r="T1071">
        <f t="shared" si="133"/>
        <v>7.3473498325511761E-5</v>
      </c>
      <c r="U1071">
        <f t="shared" si="134"/>
        <v>-1.2119636640616644E-2</v>
      </c>
    </row>
    <row r="1072" spans="10:21" x14ac:dyDescent="0.35">
      <c r="J1072">
        <f t="shared" si="135"/>
        <v>1069</v>
      </c>
      <c r="K1072">
        <f>demanda!D1070</f>
        <v>1</v>
      </c>
      <c r="L1072">
        <f>demanda!I1070</f>
        <v>6</v>
      </c>
      <c r="M1072">
        <v>11.786175589530247</v>
      </c>
      <c r="N1072">
        <f t="shared" si="128"/>
        <v>-5.7861755895302469</v>
      </c>
      <c r="O1072">
        <v>5.2058796926701797E-4</v>
      </c>
      <c r="P1072">
        <f t="shared" si="129"/>
        <v>-0.58300033524825434</v>
      </c>
      <c r="Q1072">
        <f t="shared" si="130"/>
        <v>98.536019015832139</v>
      </c>
      <c r="R1072">
        <f t="shared" si="131"/>
        <v>-0.58305184819450462</v>
      </c>
      <c r="S1072">
        <f t="shared" si="132"/>
        <v>0.55992690572315473</v>
      </c>
      <c r="T1072">
        <f t="shared" si="133"/>
        <v>8.8563349919163143E-5</v>
      </c>
      <c r="U1072">
        <f t="shared" si="134"/>
        <v>-1.3306606484805191E-2</v>
      </c>
    </row>
    <row r="1073" spans="10:21" x14ac:dyDescent="0.35">
      <c r="J1073">
        <f t="shared" si="135"/>
        <v>1070</v>
      </c>
      <c r="K1073">
        <f>demanda!D1071</f>
        <v>0</v>
      </c>
      <c r="L1073">
        <f>demanda!I1071</f>
        <v>15</v>
      </c>
      <c r="M1073">
        <v>14.416809279416043</v>
      </c>
      <c r="N1073">
        <f t="shared" si="128"/>
        <v>0.58319072058395705</v>
      </c>
      <c r="O1073">
        <v>7.4087557083441532E-4</v>
      </c>
      <c r="P1073">
        <f t="shared" si="129"/>
        <v>5.8760813658909554E-2</v>
      </c>
      <c r="Q1073">
        <f t="shared" si="130"/>
        <v>98.553306243487526</v>
      </c>
      <c r="R1073">
        <f t="shared" si="131"/>
        <v>5.8767327956256402E-2</v>
      </c>
      <c r="S1073">
        <f t="shared" si="132"/>
        <v>0.95314355069247325</v>
      </c>
      <c r="T1073">
        <f t="shared" si="133"/>
        <v>1.2809572488725558E-6</v>
      </c>
      <c r="U1073">
        <f t="shared" si="134"/>
        <v>1.6001825154010173E-3</v>
      </c>
    </row>
    <row r="1074" spans="10:21" x14ac:dyDescent="0.35">
      <c r="J1074">
        <f t="shared" si="135"/>
        <v>1071</v>
      </c>
      <c r="K1074">
        <f>demanda!D1072</f>
        <v>2</v>
      </c>
      <c r="L1074">
        <f>demanda!I1072</f>
        <v>12</v>
      </c>
      <c r="M1074">
        <v>9.1555418996444509</v>
      </c>
      <c r="N1074">
        <f t="shared" si="128"/>
        <v>2.8444581003555491</v>
      </c>
      <c r="O1074">
        <v>7.3144910189317154E-4</v>
      </c>
      <c r="P1074">
        <f t="shared" si="129"/>
        <v>0.28660036330517391</v>
      </c>
      <c r="Q1074">
        <f t="shared" si="130"/>
        <v>98.549262186790372</v>
      </c>
      <c r="R1074">
        <f t="shared" si="131"/>
        <v>0.28663666523797338</v>
      </c>
      <c r="S1074">
        <f t="shared" si="132"/>
        <v>0.77442147974173436</v>
      </c>
      <c r="T1074">
        <f t="shared" si="133"/>
        <v>3.0084524357754542E-5</v>
      </c>
      <c r="U1074">
        <f t="shared" si="134"/>
        <v>7.7550158241359701E-3</v>
      </c>
    </row>
    <row r="1075" spans="10:21" x14ac:dyDescent="0.35">
      <c r="J1075">
        <f t="shared" si="135"/>
        <v>1072</v>
      </c>
      <c r="K1075">
        <f>demanda!D1073</f>
        <v>0</v>
      </c>
      <c r="L1075">
        <f>demanda!I1073</f>
        <v>15</v>
      </c>
      <c r="M1075">
        <v>14.416809279416043</v>
      </c>
      <c r="N1075">
        <f t="shared" si="128"/>
        <v>0.58319072058395705</v>
      </c>
      <c r="O1075">
        <v>7.4087557083441532E-4</v>
      </c>
      <c r="P1075">
        <f t="shared" si="129"/>
        <v>5.8760813658909554E-2</v>
      </c>
      <c r="Q1075">
        <f t="shared" si="130"/>
        <v>98.553306243487526</v>
      </c>
      <c r="R1075">
        <f t="shared" si="131"/>
        <v>5.8767327956256402E-2</v>
      </c>
      <c r="S1075">
        <f t="shared" si="132"/>
        <v>0.95314355069247325</v>
      </c>
      <c r="T1075">
        <f t="shared" si="133"/>
        <v>1.2809572488725558E-6</v>
      </c>
      <c r="U1075">
        <f t="shared" si="134"/>
        <v>1.6001825154010173E-3</v>
      </c>
    </row>
    <row r="1076" spans="10:21" x14ac:dyDescent="0.35">
      <c r="J1076">
        <f t="shared" si="135"/>
        <v>1073</v>
      </c>
      <c r="K1076">
        <f>demanda!D1074</f>
        <v>0</v>
      </c>
      <c r="L1076">
        <f>demanda!I1074</f>
        <v>15</v>
      </c>
      <c r="M1076">
        <v>14.416809279416043</v>
      </c>
      <c r="N1076">
        <f t="shared" si="128"/>
        <v>0.58319072058395705</v>
      </c>
      <c r="O1076">
        <v>7.4087557083441532E-4</v>
      </c>
      <c r="P1076">
        <f t="shared" si="129"/>
        <v>5.8760813658909554E-2</v>
      </c>
      <c r="Q1076">
        <f t="shared" si="130"/>
        <v>98.553306243487526</v>
      </c>
      <c r="R1076">
        <f t="shared" si="131"/>
        <v>5.8767327956256402E-2</v>
      </c>
      <c r="S1076">
        <f t="shared" si="132"/>
        <v>0.95314355069247325</v>
      </c>
      <c r="T1076">
        <f t="shared" si="133"/>
        <v>1.2809572488725558E-6</v>
      </c>
      <c r="U1076">
        <f t="shared" si="134"/>
        <v>1.6001825154010173E-3</v>
      </c>
    </row>
    <row r="1077" spans="10:21" x14ac:dyDescent="0.35">
      <c r="J1077">
        <f t="shared" si="135"/>
        <v>1074</v>
      </c>
      <c r="K1077">
        <f>demanda!D1075</f>
        <v>0</v>
      </c>
      <c r="L1077">
        <f>demanda!I1075</f>
        <v>15</v>
      </c>
      <c r="M1077">
        <v>14.416809279416043</v>
      </c>
      <c r="N1077">
        <f t="shared" si="128"/>
        <v>0.58319072058395705</v>
      </c>
      <c r="O1077">
        <v>7.4087557083441532E-4</v>
      </c>
      <c r="P1077">
        <f t="shared" si="129"/>
        <v>5.8760813658909554E-2</v>
      </c>
      <c r="Q1077">
        <f t="shared" si="130"/>
        <v>98.553306243487526</v>
      </c>
      <c r="R1077">
        <f t="shared" si="131"/>
        <v>5.8767327956256402E-2</v>
      </c>
      <c r="S1077">
        <f t="shared" si="132"/>
        <v>0.95314355069247325</v>
      </c>
      <c r="T1077">
        <f t="shared" si="133"/>
        <v>1.2809572488725558E-6</v>
      </c>
      <c r="U1077">
        <f t="shared" si="134"/>
        <v>1.6001825154010173E-3</v>
      </c>
    </row>
    <row r="1078" spans="10:21" x14ac:dyDescent="0.35">
      <c r="J1078">
        <f t="shared" si="135"/>
        <v>1075</v>
      </c>
      <c r="K1078">
        <f>demanda!D1076</f>
        <v>0</v>
      </c>
      <c r="L1078">
        <f>demanda!I1076</f>
        <v>15</v>
      </c>
      <c r="M1078">
        <v>14.416809279416043</v>
      </c>
      <c r="N1078">
        <f t="shared" si="128"/>
        <v>0.58319072058395705</v>
      </c>
      <c r="O1078">
        <v>7.4087557083441532E-4</v>
      </c>
      <c r="P1078">
        <f t="shared" si="129"/>
        <v>5.8760813658909554E-2</v>
      </c>
      <c r="Q1078">
        <f t="shared" si="130"/>
        <v>98.553306243487526</v>
      </c>
      <c r="R1078">
        <f t="shared" si="131"/>
        <v>5.8767327956256402E-2</v>
      </c>
      <c r="S1078">
        <f t="shared" si="132"/>
        <v>0.95314355069247325</v>
      </c>
      <c r="T1078">
        <f t="shared" si="133"/>
        <v>1.2809572488725558E-6</v>
      </c>
      <c r="U1078">
        <f t="shared" si="134"/>
        <v>1.6001825154010173E-3</v>
      </c>
    </row>
    <row r="1079" spans="10:21" x14ac:dyDescent="0.35">
      <c r="J1079">
        <f t="shared" si="135"/>
        <v>1076</v>
      </c>
      <c r="K1079">
        <f>demanda!D1077</f>
        <v>0</v>
      </c>
      <c r="L1079">
        <f>demanda!I1077</f>
        <v>15</v>
      </c>
      <c r="M1079">
        <v>14.416809279416043</v>
      </c>
      <c r="N1079">
        <f t="shared" si="128"/>
        <v>0.58319072058395705</v>
      </c>
      <c r="O1079">
        <v>7.4087557083441532E-4</v>
      </c>
      <c r="P1079">
        <f t="shared" si="129"/>
        <v>5.8760813658909554E-2</v>
      </c>
      <c r="Q1079">
        <f t="shared" si="130"/>
        <v>98.553306243487526</v>
      </c>
      <c r="R1079">
        <f t="shared" si="131"/>
        <v>5.8767327956256402E-2</v>
      </c>
      <c r="S1079">
        <f t="shared" si="132"/>
        <v>0.95314355069247325</v>
      </c>
      <c r="T1079">
        <f t="shared" si="133"/>
        <v>1.2809572488725558E-6</v>
      </c>
      <c r="U1079">
        <f t="shared" si="134"/>
        <v>1.6001825154010173E-3</v>
      </c>
    </row>
    <row r="1080" spans="10:21" x14ac:dyDescent="0.35">
      <c r="J1080">
        <f t="shared" si="135"/>
        <v>1077</v>
      </c>
      <c r="K1080">
        <f>demanda!D1078</f>
        <v>0</v>
      </c>
      <c r="L1080">
        <f>demanda!I1078</f>
        <v>15</v>
      </c>
      <c r="M1080">
        <v>14.416809279416043</v>
      </c>
      <c r="N1080">
        <f t="shared" si="128"/>
        <v>0.58319072058395705</v>
      </c>
      <c r="O1080">
        <v>7.4087557083441532E-4</v>
      </c>
      <c r="P1080">
        <f t="shared" si="129"/>
        <v>5.8760813658909554E-2</v>
      </c>
      <c r="Q1080">
        <f t="shared" si="130"/>
        <v>98.553306243487526</v>
      </c>
      <c r="R1080">
        <f t="shared" si="131"/>
        <v>5.8767327956256402E-2</v>
      </c>
      <c r="S1080">
        <f t="shared" si="132"/>
        <v>0.95314355069247325</v>
      </c>
      <c r="T1080">
        <f t="shared" si="133"/>
        <v>1.2809572488725558E-6</v>
      </c>
      <c r="U1080">
        <f t="shared" si="134"/>
        <v>1.6001825154010173E-3</v>
      </c>
    </row>
    <row r="1081" spans="10:21" x14ac:dyDescent="0.35">
      <c r="J1081">
        <f t="shared" si="135"/>
        <v>1078</v>
      </c>
      <c r="K1081">
        <f>demanda!D1079</f>
        <v>0</v>
      </c>
      <c r="L1081">
        <f>demanda!I1079</f>
        <v>15</v>
      </c>
      <c r="M1081">
        <v>14.416809279416043</v>
      </c>
      <c r="N1081">
        <f t="shared" si="128"/>
        <v>0.58319072058395705</v>
      </c>
      <c r="O1081">
        <v>7.4087557083441532E-4</v>
      </c>
      <c r="P1081">
        <f t="shared" si="129"/>
        <v>5.8760813658909554E-2</v>
      </c>
      <c r="Q1081">
        <f t="shared" si="130"/>
        <v>98.553306243487526</v>
      </c>
      <c r="R1081">
        <f t="shared" si="131"/>
        <v>5.8767327956256402E-2</v>
      </c>
      <c r="S1081">
        <f t="shared" si="132"/>
        <v>0.95314355069247325</v>
      </c>
      <c r="T1081">
        <f t="shared" si="133"/>
        <v>1.2809572488725558E-6</v>
      </c>
      <c r="U1081">
        <f t="shared" si="134"/>
        <v>1.6001825154010173E-3</v>
      </c>
    </row>
    <row r="1082" spans="10:21" x14ac:dyDescent="0.35">
      <c r="J1082">
        <f t="shared" si="135"/>
        <v>1079</v>
      </c>
      <c r="K1082">
        <f>demanda!D1080</f>
        <v>0</v>
      </c>
      <c r="L1082">
        <f>demanda!I1080</f>
        <v>15</v>
      </c>
      <c r="M1082">
        <v>14.416809279416043</v>
      </c>
      <c r="N1082">
        <f t="shared" si="128"/>
        <v>0.58319072058395705</v>
      </c>
      <c r="O1082">
        <v>7.4087557083441532E-4</v>
      </c>
      <c r="P1082">
        <f t="shared" si="129"/>
        <v>5.8760813658909554E-2</v>
      </c>
      <c r="Q1082">
        <f t="shared" si="130"/>
        <v>98.553306243487526</v>
      </c>
      <c r="R1082">
        <f t="shared" si="131"/>
        <v>5.8767327956256402E-2</v>
      </c>
      <c r="S1082">
        <f t="shared" si="132"/>
        <v>0.95314355069247325</v>
      </c>
      <c r="T1082">
        <f t="shared" si="133"/>
        <v>1.2809572488725558E-6</v>
      </c>
      <c r="U1082">
        <f t="shared" si="134"/>
        <v>1.6001825154010173E-3</v>
      </c>
    </row>
    <row r="1083" spans="10:21" x14ac:dyDescent="0.35">
      <c r="J1083">
        <f t="shared" si="135"/>
        <v>1080</v>
      </c>
      <c r="K1083">
        <f>demanda!D1081</f>
        <v>0</v>
      </c>
      <c r="L1083">
        <f>demanda!I1081</f>
        <v>15</v>
      </c>
      <c r="M1083">
        <v>14.416809279416043</v>
      </c>
      <c r="N1083">
        <f t="shared" si="128"/>
        <v>0.58319072058395705</v>
      </c>
      <c r="O1083">
        <v>7.4087557083441532E-4</v>
      </c>
      <c r="P1083">
        <f t="shared" si="129"/>
        <v>5.8760813658909554E-2</v>
      </c>
      <c r="Q1083">
        <f t="shared" si="130"/>
        <v>98.553306243487526</v>
      </c>
      <c r="R1083">
        <f t="shared" si="131"/>
        <v>5.8767327956256402E-2</v>
      </c>
      <c r="S1083">
        <f t="shared" si="132"/>
        <v>0.95314355069247325</v>
      </c>
      <c r="T1083">
        <f t="shared" si="133"/>
        <v>1.2809572488725558E-6</v>
      </c>
      <c r="U1083">
        <f t="shared" si="134"/>
        <v>1.6001825154010173E-3</v>
      </c>
    </row>
    <row r="1084" spans="10:21" x14ac:dyDescent="0.35">
      <c r="J1084">
        <f t="shared" si="135"/>
        <v>1081</v>
      </c>
      <c r="K1084">
        <f>demanda!D1082</f>
        <v>0</v>
      </c>
      <c r="L1084">
        <f>demanda!I1082</f>
        <v>15</v>
      </c>
      <c r="M1084">
        <v>14.416809279416043</v>
      </c>
      <c r="N1084">
        <f t="shared" si="128"/>
        <v>0.58319072058395705</v>
      </c>
      <c r="O1084">
        <v>7.4087557083441532E-4</v>
      </c>
      <c r="P1084">
        <f t="shared" si="129"/>
        <v>5.8760813658909554E-2</v>
      </c>
      <c r="Q1084">
        <f t="shared" si="130"/>
        <v>98.553306243487526</v>
      </c>
      <c r="R1084">
        <f t="shared" si="131"/>
        <v>5.8767327956256402E-2</v>
      </c>
      <c r="S1084">
        <f t="shared" si="132"/>
        <v>0.95314355069247325</v>
      </c>
      <c r="T1084">
        <f t="shared" si="133"/>
        <v>1.2809572488725558E-6</v>
      </c>
      <c r="U1084">
        <f t="shared" si="134"/>
        <v>1.6001825154010173E-3</v>
      </c>
    </row>
    <row r="1085" spans="10:21" x14ac:dyDescent="0.35">
      <c r="J1085">
        <f t="shared" si="135"/>
        <v>1082</v>
      </c>
      <c r="K1085">
        <f>demanda!D1083</f>
        <v>0</v>
      </c>
      <c r="L1085">
        <f>demanda!I1083</f>
        <v>15</v>
      </c>
      <c r="M1085">
        <v>14.416809279416043</v>
      </c>
      <c r="N1085">
        <f t="shared" si="128"/>
        <v>0.58319072058395705</v>
      </c>
      <c r="O1085">
        <v>7.4087557083441532E-4</v>
      </c>
      <c r="P1085">
        <f t="shared" si="129"/>
        <v>5.8760813658909554E-2</v>
      </c>
      <c r="Q1085">
        <f t="shared" si="130"/>
        <v>98.553306243487526</v>
      </c>
      <c r="R1085">
        <f t="shared" si="131"/>
        <v>5.8767327956256402E-2</v>
      </c>
      <c r="S1085">
        <f t="shared" si="132"/>
        <v>0.95314355069247325</v>
      </c>
      <c r="T1085">
        <f t="shared" si="133"/>
        <v>1.2809572488725558E-6</v>
      </c>
      <c r="U1085">
        <f t="shared" si="134"/>
        <v>1.6001825154010173E-3</v>
      </c>
    </row>
    <row r="1086" spans="10:21" x14ac:dyDescent="0.35">
      <c r="J1086">
        <f t="shared" si="135"/>
        <v>1083</v>
      </c>
      <c r="K1086">
        <f>demanda!D1084</f>
        <v>0</v>
      </c>
      <c r="L1086">
        <f>demanda!I1084</f>
        <v>15</v>
      </c>
      <c r="M1086">
        <v>14.416809279416043</v>
      </c>
      <c r="N1086">
        <f t="shared" si="128"/>
        <v>0.58319072058395705</v>
      </c>
      <c r="O1086">
        <v>7.4087557083441532E-4</v>
      </c>
      <c r="P1086">
        <f t="shared" si="129"/>
        <v>5.8760813658909554E-2</v>
      </c>
      <c r="Q1086">
        <f t="shared" si="130"/>
        <v>98.553306243487526</v>
      </c>
      <c r="R1086">
        <f t="shared" si="131"/>
        <v>5.8767327956256402E-2</v>
      </c>
      <c r="S1086">
        <f t="shared" si="132"/>
        <v>0.95314355069247325</v>
      </c>
      <c r="T1086">
        <f t="shared" si="133"/>
        <v>1.2809572488725558E-6</v>
      </c>
      <c r="U1086">
        <f t="shared" si="134"/>
        <v>1.6001825154010173E-3</v>
      </c>
    </row>
    <row r="1087" spans="10:21" x14ac:dyDescent="0.35">
      <c r="J1087">
        <f t="shared" si="135"/>
        <v>1084</v>
      </c>
      <c r="K1087">
        <f>demanda!D1085</f>
        <v>0</v>
      </c>
      <c r="L1087">
        <f>demanda!I1085</f>
        <v>15</v>
      </c>
      <c r="M1087">
        <v>14.416809279416043</v>
      </c>
      <c r="N1087">
        <f t="shared" si="128"/>
        <v>0.58319072058395705</v>
      </c>
      <c r="O1087">
        <v>7.4087557083441532E-4</v>
      </c>
      <c r="P1087">
        <f t="shared" si="129"/>
        <v>5.8760813658909554E-2</v>
      </c>
      <c r="Q1087">
        <f t="shared" si="130"/>
        <v>98.553306243487526</v>
      </c>
      <c r="R1087">
        <f t="shared" si="131"/>
        <v>5.8767327956256402E-2</v>
      </c>
      <c r="S1087">
        <f t="shared" si="132"/>
        <v>0.95314355069247325</v>
      </c>
      <c r="T1087">
        <f t="shared" si="133"/>
        <v>1.2809572488725558E-6</v>
      </c>
      <c r="U1087">
        <f t="shared" si="134"/>
        <v>1.6001825154010173E-3</v>
      </c>
    </row>
    <row r="1088" spans="10:21" x14ac:dyDescent="0.35">
      <c r="J1088">
        <f t="shared" si="135"/>
        <v>1085</v>
      </c>
      <c r="K1088">
        <f>demanda!D1086</f>
        <v>0</v>
      </c>
      <c r="L1088">
        <f>demanda!I1086</f>
        <v>15</v>
      </c>
      <c r="M1088">
        <v>14.416809279416043</v>
      </c>
      <c r="N1088">
        <f t="shared" si="128"/>
        <v>0.58319072058395705</v>
      </c>
      <c r="O1088">
        <v>7.4087557083441532E-4</v>
      </c>
      <c r="P1088">
        <f t="shared" si="129"/>
        <v>5.8760813658909554E-2</v>
      </c>
      <c r="Q1088">
        <f t="shared" si="130"/>
        <v>98.553306243487526</v>
      </c>
      <c r="R1088">
        <f t="shared" si="131"/>
        <v>5.8767327956256402E-2</v>
      </c>
      <c r="S1088">
        <f t="shared" si="132"/>
        <v>0.95314355069247325</v>
      </c>
      <c r="T1088">
        <f t="shared" si="133"/>
        <v>1.2809572488725558E-6</v>
      </c>
      <c r="U1088">
        <f t="shared" si="134"/>
        <v>1.6001825154010173E-3</v>
      </c>
    </row>
    <row r="1089" spans="10:21" x14ac:dyDescent="0.35">
      <c r="J1089">
        <f t="shared" si="135"/>
        <v>1086</v>
      </c>
      <c r="K1089">
        <f>demanda!D1087</f>
        <v>0</v>
      </c>
      <c r="L1089">
        <f>demanda!I1087</f>
        <v>15</v>
      </c>
      <c r="M1089">
        <v>14.416809279416043</v>
      </c>
      <c r="N1089">
        <f t="shared" si="128"/>
        <v>0.58319072058395705</v>
      </c>
      <c r="O1089">
        <v>7.4087557083441532E-4</v>
      </c>
      <c r="P1089">
        <f t="shared" si="129"/>
        <v>5.8760813658909554E-2</v>
      </c>
      <c r="Q1089">
        <f t="shared" si="130"/>
        <v>98.553306243487526</v>
      </c>
      <c r="R1089">
        <f t="shared" si="131"/>
        <v>5.8767327956256402E-2</v>
      </c>
      <c r="S1089">
        <f t="shared" si="132"/>
        <v>0.95314355069247325</v>
      </c>
      <c r="T1089">
        <f t="shared" si="133"/>
        <v>1.2809572488725558E-6</v>
      </c>
      <c r="U1089">
        <f t="shared" si="134"/>
        <v>1.6001825154010173E-3</v>
      </c>
    </row>
    <row r="1090" spans="10:21" x14ac:dyDescent="0.35">
      <c r="J1090">
        <f t="shared" si="135"/>
        <v>1087</v>
      </c>
      <c r="K1090">
        <f>demanda!D1088</f>
        <v>0</v>
      </c>
      <c r="L1090">
        <f>demanda!I1088</f>
        <v>15</v>
      </c>
      <c r="M1090">
        <v>14.416809279416043</v>
      </c>
      <c r="N1090">
        <f t="shared" si="128"/>
        <v>0.58319072058395705</v>
      </c>
      <c r="O1090">
        <v>7.4087557083441532E-4</v>
      </c>
      <c r="P1090">
        <f t="shared" si="129"/>
        <v>5.8760813658909554E-2</v>
      </c>
      <c r="Q1090">
        <f t="shared" si="130"/>
        <v>98.553306243487526</v>
      </c>
      <c r="R1090">
        <f t="shared" si="131"/>
        <v>5.8767327956256402E-2</v>
      </c>
      <c r="S1090">
        <f t="shared" si="132"/>
        <v>0.95314355069247325</v>
      </c>
      <c r="T1090">
        <f t="shared" si="133"/>
        <v>1.2809572488725558E-6</v>
      </c>
      <c r="U1090">
        <f t="shared" si="134"/>
        <v>1.6001825154010173E-3</v>
      </c>
    </row>
    <row r="1091" spans="10:21" x14ac:dyDescent="0.35">
      <c r="J1091">
        <f t="shared" si="135"/>
        <v>1088</v>
      </c>
      <c r="K1091">
        <f>demanda!D1089</f>
        <v>0</v>
      </c>
      <c r="L1091">
        <f>demanda!I1089</f>
        <v>12</v>
      </c>
      <c r="M1091">
        <v>14.416809279416043</v>
      </c>
      <c r="N1091">
        <f t="shared" si="128"/>
        <v>-2.416809279416043</v>
      </c>
      <c r="O1091">
        <v>7.4087557083441532E-4</v>
      </c>
      <c r="P1091">
        <f t="shared" si="129"/>
        <v>-0.24351155583320885</v>
      </c>
      <c r="Q1091">
        <f t="shared" si="130"/>
        <v>98.55043610055337</v>
      </c>
      <c r="R1091">
        <f t="shared" si="131"/>
        <v>-0.24354209816225414</v>
      </c>
      <c r="S1091">
        <f t="shared" si="132"/>
        <v>0.80761150818210881</v>
      </c>
      <c r="T1091">
        <f t="shared" si="133"/>
        <v>2.199875915262289E-5</v>
      </c>
      <c r="U1091">
        <f t="shared" si="134"/>
        <v>-6.6314365617133417E-3</v>
      </c>
    </row>
    <row r="1092" spans="10:21" x14ac:dyDescent="0.35">
      <c r="J1092">
        <f t="shared" si="135"/>
        <v>1089</v>
      </c>
      <c r="K1092">
        <f>demanda!D1090</f>
        <v>0</v>
      </c>
      <c r="L1092">
        <f>demanda!I1090</f>
        <v>15</v>
      </c>
      <c r="M1092">
        <v>14.416809279416043</v>
      </c>
      <c r="N1092">
        <f t="shared" si="128"/>
        <v>0.58319072058395705</v>
      </c>
      <c r="O1092">
        <v>7.4087557083441532E-4</v>
      </c>
      <c r="P1092">
        <f t="shared" si="129"/>
        <v>5.8760813658909554E-2</v>
      </c>
      <c r="Q1092">
        <f t="shared" si="130"/>
        <v>98.553306243487526</v>
      </c>
      <c r="R1092">
        <f t="shared" si="131"/>
        <v>5.8767327956256402E-2</v>
      </c>
      <c r="S1092">
        <f t="shared" si="132"/>
        <v>0.95314355069247325</v>
      </c>
      <c r="T1092">
        <f t="shared" si="133"/>
        <v>1.2809572488725558E-6</v>
      </c>
      <c r="U1092">
        <f t="shared" si="134"/>
        <v>1.6001825154010173E-3</v>
      </c>
    </row>
    <row r="1093" spans="10:21" x14ac:dyDescent="0.35">
      <c r="J1093">
        <f t="shared" si="135"/>
        <v>1090</v>
      </c>
      <c r="K1093">
        <f>demanda!D1091</f>
        <v>0</v>
      </c>
      <c r="L1093">
        <f>demanda!I1091</f>
        <v>15</v>
      </c>
      <c r="M1093">
        <v>14.416809279416043</v>
      </c>
      <c r="N1093">
        <f t="shared" ref="N1093:N1156" si="136">L1093-M1093</f>
        <v>0.58319072058395705</v>
      </c>
      <c r="O1093">
        <v>7.4087557083441532E-4</v>
      </c>
      <c r="P1093">
        <f t="shared" ref="P1093:P1156" si="137">N1093/SQRT($X$6)</f>
        <v>5.8760813658909554E-2</v>
      </c>
      <c r="Q1093">
        <f t="shared" ref="Q1093:Q1156" si="138">($X$6-N1093^2/((1-O1093)*$X$5))*$X$5/($X$5-1)</f>
        <v>98.553306243487526</v>
      </c>
      <c r="R1093">
        <f t="shared" ref="R1093:R1156" si="139">N1093/SQRT(Q1093*(1-O1093))</f>
        <v>5.8767327956256402E-2</v>
      </c>
      <c r="S1093">
        <f t="shared" ref="S1093:S1156" si="140">_xlfn.T.DIST.2T(ABS(R1093),$X$5)</f>
        <v>0.95314355069247325</v>
      </c>
      <c r="T1093">
        <f t="shared" ref="T1093:T1156" si="141">(N1093^2/$X$6)*(O1093/(1-O1093)^2)/($X$7+1)</f>
        <v>1.2809572488725558E-6</v>
      </c>
      <c r="U1093">
        <f t="shared" ref="U1093:U1156" si="142">R1093*SQRT(O1093/(1-O1093))</f>
        <v>1.6001825154010173E-3</v>
      </c>
    </row>
    <row r="1094" spans="10:21" x14ac:dyDescent="0.35">
      <c r="J1094">
        <f t="shared" ref="J1094:J1157" si="143">J1093+1</f>
        <v>1091</v>
      </c>
      <c r="K1094">
        <f>demanda!D1092</f>
        <v>0</v>
      </c>
      <c r="L1094">
        <f>demanda!I1092</f>
        <v>15</v>
      </c>
      <c r="M1094">
        <v>14.416809279416043</v>
      </c>
      <c r="N1094">
        <f t="shared" si="136"/>
        <v>0.58319072058395705</v>
      </c>
      <c r="O1094">
        <v>7.4087557083441532E-4</v>
      </c>
      <c r="P1094">
        <f t="shared" si="137"/>
        <v>5.8760813658909554E-2</v>
      </c>
      <c r="Q1094">
        <f t="shared" si="138"/>
        <v>98.553306243487526</v>
      </c>
      <c r="R1094">
        <f t="shared" si="139"/>
        <v>5.8767327956256402E-2</v>
      </c>
      <c r="S1094">
        <f t="shared" si="140"/>
        <v>0.95314355069247325</v>
      </c>
      <c r="T1094">
        <f t="shared" si="141"/>
        <v>1.2809572488725558E-6</v>
      </c>
      <c r="U1094">
        <f t="shared" si="142"/>
        <v>1.6001825154010173E-3</v>
      </c>
    </row>
    <row r="1095" spans="10:21" x14ac:dyDescent="0.35">
      <c r="J1095">
        <f t="shared" si="143"/>
        <v>1092</v>
      </c>
      <c r="K1095">
        <f>demanda!D1093</f>
        <v>0</v>
      </c>
      <c r="L1095">
        <f>demanda!I1093</f>
        <v>15</v>
      </c>
      <c r="M1095">
        <v>14.416809279416043</v>
      </c>
      <c r="N1095">
        <f t="shared" si="136"/>
        <v>0.58319072058395705</v>
      </c>
      <c r="O1095">
        <v>7.4087557083441532E-4</v>
      </c>
      <c r="P1095">
        <f t="shared" si="137"/>
        <v>5.8760813658909554E-2</v>
      </c>
      <c r="Q1095">
        <f t="shared" si="138"/>
        <v>98.553306243487526</v>
      </c>
      <c r="R1095">
        <f t="shared" si="139"/>
        <v>5.8767327956256402E-2</v>
      </c>
      <c r="S1095">
        <f t="shared" si="140"/>
        <v>0.95314355069247325</v>
      </c>
      <c r="T1095">
        <f t="shared" si="141"/>
        <v>1.2809572488725558E-6</v>
      </c>
      <c r="U1095">
        <f t="shared" si="142"/>
        <v>1.6001825154010173E-3</v>
      </c>
    </row>
    <row r="1096" spans="10:21" x14ac:dyDescent="0.35">
      <c r="J1096">
        <f t="shared" si="143"/>
        <v>1093</v>
      </c>
      <c r="K1096">
        <f>demanda!D1094</f>
        <v>0</v>
      </c>
      <c r="L1096">
        <f>demanda!I1094</f>
        <v>15</v>
      </c>
      <c r="M1096">
        <v>14.416809279416043</v>
      </c>
      <c r="N1096">
        <f t="shared" si="136"/>
        <v>0.58319072058395705</v>
      </c>
      <c r="O1096">
        <v>7.4087557083441532E-4</v>
      </c>
      <c r="P1096">
        <f t="shared" si="137"/>
        <v>5.8760813658909554E-2</v>
      </c>
      <c r="Q1096">
        <f t="shared" si="138"/>
        <v>98.553306243487526</v>
      </c>
      <c r="R1096">
        <f t="shared" si="139"/>
        <v>5.8767327956256402E-2</v>
      </c>
      <c r="S1096">
        <f t="shared" si="140"/>
        <v>0.95314355069247325</v>
      </c>
      <c r="T1096">
        <f t="shared" si="141"/>
        <v>1.2809572488725558E-6</v>
      </c>
      <c r="U1096">
        <f t="shared" si="142"/>
        <v>1.6001825154010173E-3</v>
      </c>
    </row>
    <row r="1097" spans="10:21" x14ac:dyDescent="0.35">
      <c r="J1097">
        <f t="shared" si="143"/>
        <v>1094</v>
      </c>
      <c r="K1097">
        <f>demanda!D1095</f>
        <v>0</v>
      </c>
      <c r="L1097">
        <f>demanda!I1095</f>
        <v>5</v>
      </c>
      <c r="M1097">
        <v>14.416809279416043</v>
      </c>
      <c r="N1097">
        <f t="shared" si="136"/>
        <v>-9.416809279416043</v>
      </c>
      <c r="O1097">
        <v>7.4087557083441532E-4</v>
      </c>
      <c r="P1097">
        <f t="shared" si="137"/>
        <v>-0.94881375131481849</v>
      </c>
      <c r="Q1097">
        <f t="shared" si="138"/>
        <v>98.507215690706701</v>
      </c>
      <c r="R1097">
        <f t="shared" si="139"/>
        <v>-0.94914090693055775</v>
      </c>
      <c r="S1097">
        <f t="shared" si="140"/>
        <v>0.34266846368408377</v>
      </c>
      <c r="T1097">
        <f t="shared" si="141"/>
        <v>3.339803955874275E-4</v>
      </c>
      <c r="U1097">
        <f t="shared" si="142"/>
        <v>-2.5844269881602652E-2</v>
      </c>
    </row>
    <row r="1098" spans="10:21" x14ac:dyDescent="0.35">
      <c r="J1098">
        <f t="shared" si="143"/>
        <v>1095</v>
      </c>
      <c r="K1098">
        <f>demanda!D1096</f>
        <v>5</v>
      </c>
      <c r="L1098">
        <f>demanda!I1096</f>
        <v>3</v>
      </c>
      <c r="M1098">
        <v>1.2636408299870627</v>
      </c>
      <c r="N1098">
        <f t="shared" si="136"/>
        <v>1.7363591700129373</v>
      </c>
      <c r="O1098">
        <v>3.9509249049329382E-3</v>
      </c>
      <c r="P1098">
        <f t="shared" si="137"/>
        <v>0.17495113353639288</v>
      </c>
      <c r="Q1098">
        <f t="shared" si="138"/>
        <v>98.551905545548507</v>
      </c>
      <c r="R1098">
        <f t="shared" si="139"/>
        <v>0.17525349341046803</v>
      </c>
      <c r="S1098">
        <f t="shared" si="140"/>
        <v>0.86089894193681449</v>
      </c>
      <c r="T1098">
        <f t="shared" si="141"/>
        <v>6.0945385407997739E-5</v>
      </c>
      <c r="U1098">
        <f t="shared" si="142"/>
        <v>1.1037626730021724E-2</v>
      </c>
    </row>
    <row r="1099" spans="10:21" x14ac:dyDescent="0.35">
      <c r="J1099">
        <f t="shared" si="143"/>
        <v>1096</v>
      </c>
      <c r="K1099">
        <f>demanda!D1097</f>
        <v>0</v>
      </c>
      <c r="L1099">
        <f>demanda!I1097</f>
        <v>12</v>
      </c>
      <c r="M1099">
        <v>14.416809279416043</v>
      </c>
      <c r="N1099">
        <f t="shared" si="136"/>
        <v>-2.416809279416043</v>
      </c>
      <c r="O1099">
        <v>7.4087557083441532E-4</v>
      </c>
      <c r="P1099">
        <f t="shared" si="137"/>
        <v>-0.24351155583320885</v>
      </c>
      <c r="Q1099">
        <f t="shared" si="138"/>
        <v>98.55043610055337</v>
      </c>
      <c r="R1099">
        <f t="shared" si="139"/>
        <v>-0.24354209816225414</v>
      </c>
      <c r="S1099">
        <f t="shared" si="140"/>
        <v>0.80761150818210881</v>
      </c>
      <c r="T1099">
        <f t="shared" si="141"/>
        <v>2.199875915262289E-5</v>
      </c>
      <c r="U1099">
        <f t="shared" si="142"/>
        <v>-6.6314365617133417E-3</v>
      </c>
    </row>
    <row r="1100" spans="10:21" x14ac:dyDescent="0.35">
      <c r="J1100">
        <f t="shared" si="143"/>
        <v>1097</v>
      </c>
      <c r="K1100">
        <f>demanda!D1098</f>
        <v>2</v>
      </c>
      <c r="L1100">
        <f>demanda!I1098</f>
        <v>3</v>
      </c>
      <c r="M1100">
        <v>9.1555418996444509</v>
      </c>
      <c r="N1100">
        <f t="shared" si="136"/>
        <v>-6.1555418996444509</v>
      </c>
      <c r="O1100">
        <v>7.3144910189317154E-4</v>
      </c>
      <c r="P1100">
        <f t="shared" si="137"/>
        <v>-0.62021674517118131</v>
      </c>
      <c r="Q1100">
        <f t="shared" si="138"/>
        <v>98.533713924458709</v>
      </c>
      <c r="R1100">
        <f t="shared" si="139"/>
        <v>-0.62034424251421916</v>
      </c>
      <c r="S1100">
        <f t="shared" si="140"/>
        <v>0.53510483257501296</v>
      </c>
      <c r="T1100">
        <f t="shared" si="141"/>
        <v>1.4088885884323287E-4</v>
      </c>
      <c r="U1100">
        <f t="shared" si="142"/>
        <v>-1.6783545165498539E-2</v>
      </c>
    </row>
    <row r="1101" spans="10:21" x14ac:dyDescent="0.35">
      <c r="J1101">
        <f t="shared" si="143"/>
        <v>1098</v>
      </c>
      <c r="K1101">
        <f>demanda!D1099</f>
        <v>3</v>
      </c>
      <c r="L1101">
        <f>demanda!I1099</f>
        <v>4</v>
      </c>
      <c r="M1101">
        <v>6.5249082097586548</v>
      </c>
      <c r="N1101">
        <f t="shared" si="136"/>
        <v>-2.5249082097586548</v>
      </c>
      <c r="O1101">
        <v>1.3734589687128761E-3</v>
      </c>
      <c r="P1101">
        <f t="shared" si="137"/>
        <v>-0.2544033291046171</v>
      </c>
      <c r="Q1101">
        <f t="shared" si="138"/>
        <v>98.550155270625524</v>
      </c>
      <c r="R1101">
        <f t="shared" si="139"/>
        <v>-0.25451617384299874</v>
      </c>
      <c r="S1101">
        <f t="shared" si="140"/>
        <v>0.79912408038987892</v>
      </c>
      <c r="T1101">
        <f t="shared" si="141"/>
        <v>4.4568197050885148E-5</v>
      </c>
      <c r="U1101">
        <f t="shared" si="142"/>
        <v>-9.4389063786870474E-3</v>
      </c>
    </row>
    <row r="1102" spans="10:21" x14ac:dyDescent="0.35">
      <c r="J1102">
        <f t="shared" si="143"/>
        <v>1099</v>
      </c>
      <c r="K1102">
        <f>demanda!D1100</f>
        <v>6</v>
      </c>
      <c r="L1102">
        <f>demanda!I1100</f>
        <v>2</v>
      </c>
      <c r="M1102">
        <v>-1.3669928598987333</v>
      </c>
      <c r="N1102">
        <f t="shared" si="136"/>
        <v>3.3669928598987333</v>
      </c>
      <c r="O1102">
        <v>5.8863809743332956E-3</v>
      </c>
      <c r="P1102">
        <f t="shared" si="137"/>
        <v>0.33924963660821145</v>
      </c>
      <c r="Q1102">
        <f t="shared" si="138"/>
        <v>98.547538045230482</v>
      </c>
      <c r="R1102">
        <f t="shared" si="139"/>
        <v>0.34017413892280718</v>
      </c>
      <c r="S1102">
        <f t="shared" si="140"/>
        <v>0.73376262303153728</v>
      </c>
      <c r="T1102">
        <f t="shared" si="141"/>
        <v>3.4275603188736416E-4</v>
      </c>
      <c r="U1102">
        <f t="shared" si="142"/>
        <v>2.617625216767119E-2</v>
      </c>
    </row>
    <row r="1103" spans="10:21" x14ac:dyDescent="0.35">
      <c r="J1103">
        <f t="shared" si="143"/>
        <v>1100</v>
      </c>
      <c r="K1103">
        <f>demanda!D1101</f>
        <v>6</v>
      </c>
      <c r="L1103">
        <f>demanda!I1101</f>
        <v>1</v>
      </c>
      <c r="M1103">
        <v>-1.3669928598987333</v>
      </c>
      <c r="N1103">
        <f t="shared" si="136"/>
        <v>2.3669928598987333</v>
      </c>
      <c r="O1103">
        <v>5.8863809743332956E-3</v>
      </c>
      <c r="P1103">
        <f t="shared" si="137"/>
        <v>0.23849218011083867</v>
      </c>
      <c r="Q1103">
        <f t="shared" si="138"/>
        <v>98.550545312175373</v>
      </c>
      <c r="R1103">
        <f t="shared" si="139"/>
        <v>0.23913845564622888</v>
      </c>
      <c r="S1103">
        <f t="shared" si="140"/>
        <v>0.81102375974092389</v>
      </c>
      <c r="T1103">
        <f t="shared" si="141"/>
        <v>1.6939266911290566E-4</v>
      </c>
      <c r="U1103">
        <f t="shared" si="142"/>
        <v>1.840160024452538E-2</v>
      </c>
    </row>
    <row r="1104" spans="10:21" x14ac:dyDescent="0.35">
      <c r="J1104">
        <f t="shared" si="143"/>
        <v>1101</v>
      </c>
      <c r="K1104">
        <f>demanda!D1102</f>
        <v>0</v>
      </c>
      <c r="L1104">
        <f>demanda!I1102</f>
        <v>3</v>
      </c>
      <c r="M1104">
        <v>14.416809279416043</v>
      </c>
      <c r="N1104">
        <f t="shared" si="136"/>
        <v>-11.416809279416043</v>
      </c>
      <c r="O1104">
        <v>7.4087557083441532E-4</v>
      </c>
      <c r="P1104">
        <f t="shared" si="137"/>
        <v>-1.150328664309564</v>
      </c>
      <c r="Q1104">
        <f t="shared" si="138"/>
        <v>98.485475268264722</v>
      </c>
      <c r="R1104">
        <f t="shared" si="139"/>
        <v>-1.1508523061099405</v>
      </c>
      <c r="S1104">
        <f t="shared" si="140"/>
        <v>0.24993638008158123</v>
      </c>
      <c r="T1104">
        <f t="shared" si="141"/>
        <v>4.9091117422407117E-4</v>
      </c>
      <c r="U1104">
        <f t="shared" si="142"/>
        <v>-3.1336693399040466E-2</v>
      </c>
    </row>
    <row r="1105" spans="10:21" x14ac:dyDescent="0.35">
      <c r="J1105">
        <f t="shared" si="143"/>
        <v>1102</v>
      </c>
      <c r="K1105">
        <f>demanda!D1103</f>
        <v>0</v>
      </c>
      <c r="L1105">
        <f>demanda!I1103</f>
        <v>15</v>
      </c>
      <c r="M1105">
        <v>14.416809279416043</v>
      </c>
      <c r="N1105">
        <f t="shared" si="136"/>
        <v>0.58319072058395705</v>
      </c>
      <c r="O1105">
        <v>7.4087557083441532E-4</v>
      </c>
      <c r="P1105">
        <f t="shared" si="137"/>
        <v>5.8760813658909554E-2</v>
      </c>
      <c r="Q1105">
        <f t="shared" si="138"/>
        <v>98.553306243487526</v>
      </c>
      <c r="R1105">
        <f t="shared" si="139"/>
        <v>5.8767327956256402E-2</v>
      </c>
      <c r="S1105">
        <f t="shared" si="140"/>
        <v>0.95314355069247325</v>
      </c>
      <c r="T1105">
        <f t="shared" si="141"/>
        <v>1.2809572488725558E-6</v>
      </c>
      <c r="U1105">
        <f t="shared" si="142"/>
        <v>1.6001825154010173E-3</v>
      </c>
    </row>
    <row r="1106" spans="10:21" x14ac:dyDescent="0.35">
      <c r="J1106">
        <f t="shared" si="143"/>
        <v>1103</v>
      </c>
      <c r="K1106">
        <f>demanda!D1104</f>
        <v>3</v>
      </c>
      <c r="L1106">
        <f>demanda!I1104</f>
        <v>9</v>
      </c>
      <c r="M1106">
        <v>6.5249082097586548</v>
      </c>
      <c r="N1106">
        <f t="shared" si="136"/>
        <v>2.4750917902413452</v>
      </c>
      <c r="O1106">
        <v>1.3734589687128761E-3</v>
      </c>
      <c r="P1106">
        <f t="shared" si="137"/>
        <v>0.24938395338224692</v>
      </c>
      <c r="Q1106">
        <f t="shared" si="138"/>
        <v>98.550285314771585</v>
      </c>
      <c r="R1106">
        <f t="shared" si="139"/>
        <v>0.24949440708179485</v>
      </c>
      <c r="S1106">
        <f t="shared" si="140"/>
        <v>0.80300506873249644</v>
      </c>
      <c r="T1106">
        <f t="shared" si="141"/>
        <v>4.2826885860052115E-5</v>
      </c>
      <c r="U1106">
        <f t="shared" si="142"/>
        <v>9.2526707238015336E-3</v>
      </c>
    </row>
    <row r="1107" spans="10:21" x14ac:dyDescent="0.35">
      <c r="J1107">
        <f t="shared" si="143"/>
        <v>1104</v>
      </c>
      <c r="K1107">
        <f>demanda!D1105</f>
        <v>2</v>
      </c>
      <c r="L1107">
        <f>demanda!I1105</f>
        <v>11</v>
      </c>
      <c r="M1107">
        <v>9.1555418996444509</v>
      </c>
      <c r="N1107">
        <f t="shared" si="136"/>
        <v>1.8444581003555491</v>
      </c>
      <c r="O1107">
        <v>7.3144910189317154E-4</v>
      </c>
      <c r="P1107">
        <f t="shared" si="137"/>
        <v>0.18584290680780113</v>
      </c>
      <c r="Q1107">
        <f t="shared" si="138"/>
        <v>98.551708666672923</v>
      </c>
      <c r="R1107">
        <f t="shared" si="139"/>
        <v>0.18586413938454407</v>
      </c>
      <c r="S1107">
        <f t="shared" si="140"/>
        <v>0.85257094830757985</v>
      </c>
      <c r="T1107">
        <f t="shared" si="141"/>
        <v>1.2649741651071969E-5</v>
      </c>
      <c r="U1107">
        <f t="shared" si="142"/>
        <v>5.0285937455694357E-3</v>
      </c>
    </row>
    <row r="1108" spans="10:21" x14ac:dyDescent="0.35">
      <c r="J1108">
        <f t="shared" si="143"/>
        <v>1105</v>
      </c>
      <c r="K1108">
        <f>demanda!D1106</f>
        <v>0</v>
      </c>
      <c r="L1108">
        <f>demanda!I1106</f>
        <v>8</v>
      </c>
      <c r="M1108">
        <v>14.416809279416043</v>
      </c>
      <c r="N1108">
        <f t="shared" si="136"/>
        <v>-6.416809279416043</v>
      </c>
      <c r="O1108">
        <v>7.4087557083441532E-4</v>
      </c>
      <c r="P1108">
        <f t="shared" si="137"/>
        <v>-0.64654138182270005</v>
      </c>
      <c r="Q1108">
        <f t="shared" si="138"/>
        <v>98.531999879441045</v>
      </c>
      <c r="R1108">
        <f t="shared" si="139"/>
        <v>-0.64668296559256133</v>
      </c>
      <c r="S1108">
        <f t="shared" si="140"/>
        <v>0.51791448613837154</v>
      </c>
      <c r="T1108">
        <f t="shared" si="141"/>
        <v>1.5507853448804487E-4</v>
      </c>
      <c r="U1108">
        <f t="shared" si="142"/>
        <v>-1.7608606866032061E-2</v>
      </c>
    </row>
    <row r="1109" spans="10:21" x14ac:dyDescent="0.35">
      <c r="J1109">
        <f t="shared" si="143"/>
        <v>1106</v>
      </c>
      <c r="K1109">
        <f>demanda!D1107</f>
        <v>1</v>
      </c>
      <c r="L1109">
        <f>demanda!I1107</f>
        <v>33</v>
      </c>
      <c r="M1109">
        <v>11.786175589530247</v>
      </c>
      <c r="N1109">
        <f t="shared" si="136"/>
        <v>21.213824410469755</v>
      </c>
      <c r="O1109">
        <v>5.2058796926701797E-4</v>
      </c>
      <c r="P1109">
        <f t="shared" si="137"/>
        <v>2.1374509901808114</v>
      </c>
      <c r="Q1109">
        <f t="shared" si="138"/>
        <v>98.318728358783545</v>
      </c>
      <c r="R1109">
        <f t="shared" si="139"/>
        <v>2.1400007082960935</v>
      </c>
      <c r="S1109">
        <f t="shared" si="140"/>
        <v>3.2480477136979533E-2</v>
      </c>
      <c r="T1109">
        <f t="shared" si="141"/>
        <v>1.1904434162628057E-3</v>
      </c>
      <c r="U1109">
        <f t="shared" si="142"/>
        <v>4.8839819976011688E-2</v>
      </c>
    </row>
    <row r="1110" spans="10:21" x14ac:dyDescent="0.35">
      <c r="J1110">
        <f t="shared" si="143"/>
        <v>1107</v>
      </c>
      <c r="K1110">
        <f>demanda!D1108</f>
        <v>0</v>
      </c>
      <c r="L1110">
        <f>demanda!I1108</f>
        <v>7</v>
      </c>
      <c r="M1110">
        <v>14.416809279416043</v>
      </c>
      <c r="N1110">
        <f t="shared" si="136"/>
        <v>-7.416809279416043</v>
      </c>
      <c r="O1110">
        <v>7.4087557083441532E-4</v>
      </c>
      <c r="P1110">
        <f t="shared" si="137"/>
        <v>-0.74729883832007293</v>
      </c>
      <c r="Q1110">
        <f t="shared" si="138"/>
        <v>98.524782009186751</v>
      </c>
      <c r="R1110">
        <f t="shared" si="139"/>
        <v>-0.74748986544241569</v>
      </c>
      <c r="S1110">
        <f t="shared" si="140"/>
        <v>0.45485950007005715</v>
      </c>
      <c r="T1110">
        <f t="shared" si="141"/>
        <v>2.0717991394042799E-4</v>
      </c>
      <c r="U1110">
        <f t="shared" si="142"/>
        <v>-2.0353489850869988E-2</v>
      </c>
    </row>
    <row r="1111" spans="10:21" x14ac:dyDescent="0.35">
      <c r="J1111">
        <f t="shared" si="143"/>
        <v>1108</v>
      </c>
      <c r="K1111">
        <f>demanda!D1109</f>
        <v>3</v>
      </c>
      <c r="L1111">
        <f>demanda!I1109</f>
        <v>5</v>
      </c>
      <c r="M1111">
        <v>6.5249082097586548</v>
      </c>
      <c r="N1111">
        <f t="shared" si="136"/>
        <v>-1.5249082097586548</v>
      </c>
      <c r="O1111">
        <v>1.3734589687128761E-3</v>
      </c>
      <c r="P1111">
        <f t="shared" si="137"/>
        <v>-0.1536458726072443</v>
      </c>
      <c r="Q1111">
        <f t="shared" si="138"/>
        <v>98.552269653485908</v>
      </c>
      <c r="R1111">
        <f t="shared" si="139"/>
        <v>-0.15371237580313085</v>
      </c>
      <c r="S1111">
        <f t="shared" si="140"/>
        <v>0.8778526883286133</v>
      </c>
      <c r="T1111">
        <f t="shared" si="141"/>
        <v>1.625628414965998E-5</v>
      </c>
      <c r="U1111">
        <f t="shared" si="142"/>
        <v>-5.7005285854497502E-3</v>
      </c>
    </row>
    <row r="1112" spans="10:21" x14ac:dyDescent="0.35">
      <c r="J1112">
        <f t="shared" si="143"/>
        <v>1109</v>
      </c>
      <c r="K1112">
        <f>demanda!D1110</f>
        <v>1</v>
      </c>
      <c r="L1112">
        <f>demanda!I1110</f>
        <v>11</v>
      </c>
      <c r="M1112">
        <v>11.786175589530247</v>
      </c>
      <c r="N1112">
        <f t="shared" si="136"/>
        <v>-0.78617558953024691</v>
      </c>
      <c r="O1112">
        <v>5.2058796926701797E-4</v>
      </c>
      <c r="P1112">
        <f t="shared" si="137"/>
        <v>-7.9213052761390276E-2</v>
      </c>
      <c r="Q1112">
        <f t="shared" si="138"/>
        <v>98.553161284987851</v>
      </c>
      <c r="R1112">
        <f t="shared" si="139"/>
        <v>-7.9213161855515926E-2</v>
      </c>
      <c r="S1112">
        <f t="shared" si="140"/>
        <v>0.93687133485398588</v>
      </c>
      <c r="T1112">
        <f t="shared" si="141"/>
        <v>1.6349705257494771E-6</v>
      </c>
      <c r="U1112">
        <f t="shared" si="142"/>
        <v>-1.8078295720913319E-3</v>
      </c>
    </row>
    <row r="1113" spans="10:21" x14ac:dyDescent="0.35">
      <c r="J1113">
        <f t="shared" si="143"/>
        <v>1110</v>
      </c>
      <c r="K1113">
        <f>demanda!D1111</f>
        <v>0</v>
      </c>
      <c r="L1113">
        <f>demanda!I1111</f>
        <v>3</v>
      </c>
      <c r="M1113">
        <v>14.416809279416043</v>
      </c>
      <c r="N1113">
        <f t="shared" si="136"/>
        <v>-11.416809279416043</v>
      </c>
      <c r="O1113">
        <v>7.4087557083441532E-4</v>
      </c>
      <c r="P1113">
        <f t="shared" si="137"/>
        <v>-1.150328664309564</v>
      </c>
      <c r="Q1113">
        <f t="shared" si="138"/>
        <v>98.485475268264722</v>
      </c>
      <c r="R1113">
        <f t="shared" si="139"/>
        <v>-1.1508523061099405</v>
      </c>
      <c r="S1113">
        <f t="shared" si="140"/>
        <v>0.24993638008158123</v>
      </c>
      <c r="T1113">
        <f t="shared" si="141"/>
        <v>4.9091117422407117E-4</v>
      </c>
      <c r="U1113">
        <f t="shared" si="142"/>
        <v>-3.1336693399040466E-2</v>
      </c>
    </row>
    <row r="1114" spans="10:21" x14ac:dyDescent="0.35">
      <c r="J1114">
        <f t="shared" si="143"/>
        <v>1111</v>
      </c>
      <c r="K1114">
        <f>demanda!D1112</f>
        <v>4</v>
      </c>
      <c r="L1114">
        <f>demanda!I1112</f>
        <v>4</v>
      </c>
      <c r="M1114">
        <v>3.8942745198728588</v>
      </c>
      <c r="N1114">
        <f t="shared" si="136"/>
        <v>0.10572548012714122</v>
      </c>
      <c r="O1114">
        <v>2.4466175697261316E-3</v>
      </c>
      <c r="P1114">
        <f t="shared" si="137"/>
        <v>1.0652630464574285E-2</v>
      </c>
      <c r="Q1114">
        <f t="shared" si="138"/>
        <v>98.553477858863673</v>
      </c>
      <c r="R1114">
        <f t="shared" si="139"/>
        <v>1.0662906866275572E-2</v>
      </c>
      <c r="S1114">
        <f t="shared" si="140"/>
        <v>0.99149350080457299</v>
      </c>
      <c r="T1114">
        <f t="shared" si="141"/>
        <v>1.3950106623021426E-7</v>
      </c>
      <c r="U1114">
        <f t="shared" si="142"/>
        <v>5.2806889669490694E-4</v>
      </c>
    </row>
    <row r="1115" spans="10:21" x14ac:dyDescent="0.35">
      <c r="J1115">
        <f t="shared" si="143"/>
        <v>1112</v>
      </c>
      <c r="K1115">
        <f>demanda!D1113</f>
        <v>1</v>
      </c>
      <c r="L1115">
        <f>demanda!I1113</f>
        <v>4</v>
      </c>
      <c r="M1115">
        <v>11.786175589530247</v>
      </c>
      <c r="N1115">
        <f t="shared" si="136"/>
        <v>-7.7861755895302469</v>
      </c>
      <c r="O1115">
        <v>5.2058796926701797E-4</v>
      </c>
      <c r="P1115">
        <f t="shared" si="137"/>
        <v>-0.7845152482429999</v>
      </c>
      <c r="Q1115">
        <f t="shared" si="138"/>
        <v>98.52185903620547</v>
      </c>
      <c r="R1115">
        <f t="shared" si="139"/>
        <v>-0.784640946599786</v>
      </c>
      <c r="S1115">
        <f t="shared" si="140"/>
        <v>0.43276096337473069</v>
      </c>
      <c r="T1115">
        <f t="shared" si="141"/>
        <v>1.6036855085321727E-4</v>
      </c>
      <c r="U1115">
        <f t="shared" si="142"/>
        <v>-1.7907341071981879E-2</v>
      </c>
    </row>
    <row r="1116" spans="10:21" x14ac:dyDescent="0.35">
      <c r="J1116">
        <f t="shared" si="143"/>
        <v>1113</v>
      </c>
      <c r="K1116">
        <f>demanda!D1114</f>
        <v>1</v>
      </c>
      <c r="L1116">
        <f>demanda!I1114</f>
        <v>6</v>
      </c>
      <c r="M1116">
        <v>11.786175589530247</v>
      </c>
      <c r="N1116">
        <f t="shared" si="136"/>
        <v>-5.7861755895302469</v>
      </c>
      <c r="O1116">
        <v>5.2058796926701797E-4</v>
      </c>
      <c r="P1116">
        <f t="shared" si="137"/>
        <v>-0.58300033524825434</v>
      </c>
      <c r="Q1116">
        <f t="shared" si="138"/>
        <v>98.536019015832139</v>
      </c>
      <c r="R1116">
        <f t="shared" si="139"/>
        <v>-0.58305184819450462</v>
      </c>
      <c r="S1116">
        <f t="shared" si="140"/>
        <v>0.55992690572315473</v>
      </c>
      <c r="T1116">
        <f t="shared" si="141"/>
        <v>8.8563349919163143E-5</v>
      </c>
      <c r="U1116">
        <f t="shared" si="142"/>
        <v>-1.3306606484805191E-2</v>
      </c>
    </row>
    <row r="1117" spans="10:21" x14ac:dyDescent="0.35">
      <c r="J1117">
        <f t="shared" si="143"/>
        <v>1114</v>
      </c>
      <c r="K1117">
        <f>demanda!D1115</f>
        <v>1</v>
      </c>
      <c r="L1117">
        <f>demanda!I1115</f>
        <v>6</v>
      </c>
      <c r="M1117">
        <v>11.786175589530247</v>
      </c>
      <c r="N1117">
        <f t="shared" si="136"/>
        <v>-5.7861755895302469</v>
      </c>
      <c r="O1117">
        <v>5.2058796926701797E-4</v>
      </c>
      <c r="P1117">
        <f t="shared" si="137"/>
        <v>-0.58300033524825434</v>
      </c>
      <c r="Q1117">
        <f t="shared" si="138"/>
        <v>98.536019015832139</v>
      </c>
      <c r="R1117">
        <f t="shared" si="139"/>
        <v>-0.58305184819450462</v>
      </c>
      <c r="S1117">
        <f t="shared" si="140"/>
        <v>0.55992690572315473</v>
      </c>
      <c r="T1117">
        <f t="shared" si="141"/>
        <v>8.8563349919163143E-5</v>
      </c>
      <c r="U1117">
        <f t="shared" si="142"/>
        <v>-1.3306606484805191E-2</v>
      </c>
    </row>
    <row r="1118" spans="10:21" x14ac:dyDescent="0.35">
      <c r="J1118">
        <f t="shared" si="143"/>
        <v>1115</v>
      </c>
      <c r="K1118">
        <f>demanda!D1116</f>
        <v>0</v>
      </c>
      <c r="L1118">
        <f>demanda!I1116</f>
        <v>25</v>
      </c>
      <c r="M1118">
        <v>14.416809279416043</v>
      </c>
      <c r="N1118">
        <f t="shared" si="136"/>
        <v>10.583190720583957</v>
      </c>
      <c r="O1118">
        <v>7.4087557083441532E-4</v>
      </c>
      <c r="P1118">
        <f t="shared" si="137"/>
        <v>1.0663353786326375</v>
      </c>
      <c r="Q1118">
        <f t="shared" si="138"/>
        <v>98.49504419721994</v>
      </c>
      <c r="R1118">
        <f t="shared" si="139"/>
        <v>1.0667689629874253</v>
      </c>
      <c r="S1118">
        <f t="shared" si="140"/>
        <v>0.28621036416391138</v>
      </c>
      <c r="T1118">
        <f t="shared" si="141"/>
        <v>4.2183894365142377E-4</v>
      </c>
      <c r="U1118">
        <f t="shared" si="142"/>
        <v>2.9047178115969151E-2</v>
      </c>
    </row>
    <row r="1119" spans="10:21" x14ac:dyDescent="0.35">
      <c r="J1119">
        <f t="shared" si="143"/>
        <v>1116</v>
      </c>
      <c r="K1119">
        <f>demanda!D1117</f>
        <v>0</v>
      </c>
      <c r="L1119">
        <f>demanda!I1117</f>
        <v>13</v>
      </c>
      <c r="M1119">
        <v>14.416809279416043</v>
      </c>
      <c r="N1119">
        <f t="shared" si="136"/>
        <v>-1.416809279416043</v>
      </c>
      <c r="O1119">
        <v>7.4087557083441532E-4</v>
      </c>
      <c r="P1119">
        <f t="shared" si="137"/>
        <v>-0.14275409933583605</v>
      </c>
      <c r="Q1119">
        <f t="shared" si="138"/>
        <v>98.552436340855238</v>
      </c>
      <c r="R1119">
        <f t="shared" si="139"/>
        <v>-0.14277055533334676</v>
      </c>
      <c r="S1119">
        <f t="shared" si="140"/>
        <v>0.88648638054980111</v>
      </c>
      <c r="T1119">
        <f t="shared" si="141"/>
        <v>7.5602509372950483E-6</v>
      </c>
      <c r="U1119">
        <f t="shared" si="142"/>
        <v>-3.8875163173756836E-3</v>
      </c>
    </row>
    <row r="1120" spans="10:21" x14ac:dyDescent="0.35">
      <c r="J1120">
        <f t="shared" si="143"/>
        <v>1117</v>
      </c>
      <c r="K1120">
        <f>demanda!D1118</f>
        <v>1</v>
      </c>
      <c r="L1120">
        <f>demanda!I1118</f>
        <v>5</v>
      </c>
      <c r="M1120">
        <v>11.786175589530247</v>
      </c>
      <c r="N1120">
        <f t="shared" si="136"/>
        <v>-6.7861755895302469</v>
      </c>
      <c r="O1120">
        <v>5.2058796926701797E-4</v>
      </c>
      <c r="P1120">
        <f t="shared" si="137"/>
        <v>-0.68375779174562712</v>
      </c>
      <c r="Q1120">
        <f t="shared" si="138"/>
        <v>98.529460674016264</v>
      </c>
      <c r="R1120">
        <f t="shared" si="139"/>
        <v>-0.68384096531208116</v>
      </c>
      <c r="S1120">
        <f t="shared" si="140"/>
        <v>0.49415815943295716</v>
      </c>
      <c r="T1120">
        <f t="shared" si="141"/>
        <v>1.2182067544499816E-4</v>
      </c>
      <c r="U1120">
        <f t="shared" si="142"/>
        <v>-1.560684980551091E-2</v>
      </c>
    </row>
    <row r="1121" spans="10:21" x14ac:dyDescent="0.35">
      <c r="J1121">
        <f t="shared" si="143"/>
        <v>1118</v>
      </c>
      <c r="K1121">
        <f>demanda!D1119</f>
        <v>0</v>
      </c>
      <c r="L1121">
        <f>demanda!I1119</f>
        <v>3</v>
      </c>
      <c r="M1121">
        <v>14.416809279416043</v>
      </c>
      <c r="N1121">
        <f t="shared" si="136"/>
        <v>-11.416809279416043</v>
      </c>
      <c r="O1121">
        <v>7.4087557083441532E-4</v>
      </c>
      <c r="P1121">
        <f t="shared" si="137"/>
        <v>-1.150328664309564</v>
      </c>
      <c r="Q1121">
        <f t="shared" si="138"/>
        <v>98.485475268264722</v>
      </c>
      <c r="R1121">
        <f t="shared" si="139"/>
        <v>-1.1508523061099405</v>
      </c>
      <c r="S1121">
        <f t="shared" si="140"/>
        <v>0.24993638008158123</v>
      </c>
      <c r="T1121">
        <f t="shared" si="141"/>
        <v>4.9091117422407117E-4</v>
      </c>
      <c r="U1121">
        <f t="shared" si="142"/>
        <v>-3.1336693399040466E-2</v>
      </c>
    </row>
    <row r="1122" spans="10:21" x14ac:dyDescent="0.35">
      <c r="J1122">
        <f t="shared" si="143"/>
        <v>1119</v>
      </c>
      <c r="K1122">
        <f>demanda!D1120</f>
        <v>3</v>
      </c>
      <c r="L1122">
        <f>demanda!I1120</f>
        <v>3</v>
      </c>
      <c r="M1122">
        <v>6.5249082097586548</v>
      </c>
      <c r="N1122">
        <f t="shared" si="136"/>
        <v>-3.5249082097586548</v>
      </c>
      <c r="O1122">
        <v>1.3734589687128761E-3</v>
      </c>
      <c r="P1122">
        <f t="shared" si="137"/>
        <v>-0.35516078560198994</v>
      </c>
      <c r="Q1122">
        <f t="shared" si="138"/>
        <v>98.546996700749531</v>
      </c>
      <c r="R1122">
        <f t="shared" si="139"/>
        <v>-0.35532401713098288</v>
      </c>
      <c r="S1122">
        <f t="shared" si="140"/>
        <v>0.72238591463660118</v>
      </c>
      <c r="T1122">
        <f t="shared" si="141"/>
        <v>8.6861935283639592E-5</v>
      </c>
      <c r="U1122">
        <f t="shared" si="142"/>
        <v>-1.3177434192717408E-2</v>
      </c>
    </row>
    <row r="1123" spans="10:21" x14ac:dyDescent="0.35">
      <c r="J1123">
        <f t="shared" si="143"/>
        <v>1120</v>
      </c>
      <c r="K1123">
        <f>demanda!D1121</f>
        <v>0</v>
      </c>
      <c r="L1123">
        <f>demanda!I1121</f>
        <v>27</v>
      </c>
      <c r="M1123">
        <v>14.416809279416043</v>
      </c>
      <c r="N1123">
        <f t="shared" si="136"/>
        <v>12.583190720583957</v>
      </c>
      <c r="O1123">
        <v>7.4087557083441532E-4</v>
      </c>
      <c r="P1123">
        <f t="shared" si="137"/>
        <v>1.2678502916273833</v>
      </c>
      <c r="Q1123">
        <f t="shared" si="138"/>
        <v>98.470869476080594</v>
      </c>
      <c r="R1123">
        <f t="shared" si="139"/>
        <v>1.2685214974265175</v>
      </c>
      <c r="S1123">
        <f t="shared" si="140"/>
        <v>0.20476563644072704</v>
      </c>
      <c r="T1123">
        <f t="shared" si="141"/>
        <v>5.9634143190086687E-4</v>
      </c>
      <c r="U1123">
        <f t="shared" si="142"/>
        <v>3.454072171025311E-2</v>
      </c>
    </row>
    <row r="1124" spans="10:21" x14ac:dyDescent="0.35">
      <c r="J1124">
        <f t="shared" si="143"/>
        <v>1121</v>
      </c>
      <c r="K1124">
        <f>demanda!D1122</f>
        <v>1</v>
      </c>
      <c r="L1124">
        <f>demanda!I1122</f>
        <v>4</v>
      </c>
      <c r="M1124">
        <v>11.786175589530247</v>
      </c>
      <c r="N1124">
        <f t="shared" si="136"/>
        <v>-7.7861755895302469</v>
      </c>
      <c r="O1124">
        <v>5.2058796926701797E-4</v>
      </c>
      <c r="P1124">
        <f t="shared" si="137"/>
        <v>-0.7845152482429999</v>
      </c>
      <c r="Q1124">
        <f t="shared" si="138"/>
        <v>98.52185903620547</v>
      </c>
      <c r="R1124">
        <f t="shared" si="139"/>
        <v>-0.784640946599786</v>
      </c>
      <c r="S1124">
        <f t="shared" si="140"/>
        <v>0.43276096337473069</v>
      </c>
      <c r="T1124">
        <f t="shared" si="141"/>
        <v>1.6036855085321727E-4</v>
      </c>
      <c r="U1124">
        <f t="shared" si="142"/>
        <v>-1.7907341071981879E-2</v>
      </c>
    </row>
    <row r="1125" spans="10:21" x14ac:dyDescent="0.35">
      <c r="J1125">
        <f t="shared" si="143"/>
        <v>1122</v>
      </c>
      <c r="K1125">
        <f>demanda!D1123</f>
        <v>1</v>
      </c>
      <c r="L1125">
        <f>demanda!I1123</f>
        <v>4</v>
      </c>
      <c r="M1125">
        <v>11.786175589530247</v>
      </c>
      <c r="N1125">
        <f t="shared" si="136"/>
        <v>-7.7861755895302469</v>
      </c>
      <c r="O1125">
        <v>5.2058796926701797E-4</v>
      </c>
      <c r="P1125">
        <f t="shared" si="137"/>
        <v>-0.7845152482429999</v>
      </c>
      <c r="Q1125">
        <f t="shared" si="138"/>
        <v>98.52185903620547</v>
      </c>
      <c r="R1125">
        <f t="shared" si="139"/>
        <v>-0.784640946599786</v>
      </c>
      <c r="S1125">
        <f t="shared" si="140"/>
        <v>0.43276096337473069</v>
      </c>
      <c r="T1125">
        <f t="shared" si="141"/>
        <v>1.6036855085321727E-4</v>
      </c>
      <c r="U1125">
        <f t="shared" si="142"/>
        <v>-1.7907341071981879E-2</v>
      </c>
    </row>
    <row r="1126" spans="10:21" x14ac:dyDescent="0.35">
      <c r="J1126">
        <f t="shared" si="143"/>
        <v>1123</v>
      </c>
      <c r="K1126">
        <f>demanda!D1124</f>
        <v>6</v>
      </c>
      <c r="L1126">
        <f>demanda!I1124</f>
        <v>2</v>
      </c>
      <c r="M1126">
        <v>-1.3669928598987333</v>
      </c>
      <c r="N1126">
        <f t="shared" si="136"/>
        <v>3.3669928598987333</v>
      </c>
      <c r="O1126">
        <v>5.8863809743332956E-3</v>
      </c>
      <c r="P1126">
        <f t="shared" si="137"/>
        <v>0.33924963660821145</v>
      </c>
      <c r="Q1126">
        <f t="shared" si="138"/>
        <v>98.547538045230482</v>
      </c>
      <c r="R1126">
        <f t="shared" si="139"/>
        <v>0.34017413892280718</v>
      </c>
      <c r="S1126">
        <f t="shared" si="140"/>
        <v>0.73376262303153728</v>
      </c>
      <c r="T1126">
        <f t="shared" si="141"/>
        <v>3.4275603188736416E-4</v>
      </c>
      <c r="U1126">
        <f t="shared" si="142"/>
        <v>2.617625216767119E-2</v>
      </c>
    </row>
    <row r="1127" spans="10:21" x14ac:dyDescent="0.35">
      <c r="J1127">
        <f t="shared" si="143"/>
        <v>1124</v>
      </c>
      <c r="K1127">
        <f>demanda!D1125</f>
        <v>6</v>
      </c>
      <c r="L1127">
        <f>demanda!I1125</f>
        <v>3</v>
      </c>
      <c r="M1127">
        <v>-1.3669928598987333</v>
      </c>
      <c r="N1127">
        <f t="shared" si="136"/>
        <v>4.3669928598987333</v>
      </c>
      <c r="O1127">
        <v>5.8863809743332956E-3</v>
      </c>
      <c r="P1127">
        <f t="shared" si="137"/>
        <v>0.44000709310558428</v>
      </c>
      <c r="Q1127">
        <f t="shared" si="138"/>
        <v>98.543481851032595</v>
      </c>
      <c r="R1127">
        <f t="shared" si="139"/>
        <v>0.44121525371752685</v>
      </c>
      <c r="S1127">
        <f t="shared" si="140"/>
        <v>0.65910687609302177</v>
      </c>
      <c r="T1127">
        <f t="shared" si="141"/>
        <v>5.7658810569327667E-4</v>
      </c>
      <c r="U1127">
        <f t="shared" si="142"/>
        <v>3.3951322043777717E-2</v>
      </c>
    </row>
    <row r="1128" spans="10:21" x14ac:dyDescent="0.35">
      <c r="J1128">
        <f t="shared" si="143"/>
        <v>1125</v>
      </c>
      <c r="K1128">
        <f>demanda!D1126</f>
        <v>1</v>
      </c>
      <c r="L1128">
        <f>demanda!I1126</f>
        <v>2</v>
      </c>
      <c r="M1128">
        <v>11.786175589530247</v>
      </c>
      <c r="N1128">
        <f t="shared" si="136"/>
        <v>-9.7861755895302469</v>
      </c>
      <c r="O1128">
        <v>5.2058796926701797E-4</v>
      </c>
      <c r="P1128">
        <f t="shared" si="137"/>
        <v>-0.98603016123774556</v>
      </c>
      <c r="Q1128">
        <f t="shared" si="138"/>
        <v>98.503525872599127</v>
      </c>
      <c r="R1128">
        <f t="shared" si="139"/>
        <v>-0.98627991600190701</v>
      </c>
      <c r="S1128">
        <f t="shared" si="140"/>
        <v>0.32412010689798754</v>
      </c>
      <c r="T1128">
        <f t="shared" si="141"/>
        <v>2.5333595131680776E-4</v>
      </c>
      <c r="U1128">
        <f t="shared" si="142"/>
        <v>-2.2509213831916283E-2</v>
      </c>
    </row>
    <row r="1129" spans="10:21" x14ac:dyDescent="0.35">
      <c r="J1129">
        <f t="shared" si="143"/>
        <v>1126</v>
      </c>
      <c r="K1129">
        <f>demanda!D1127</f>
        <v>0</v>
      </c>
      <c r="L1129">
        <f>demanda!I1127</f>
        <v>18</v>
      </c>
      <c r="M1129">
        <v>14.416809279416043</v>
      </c>
      <c r="N1129">
        <f t="shared" si="136"/>
        <v>3.583190720583957</v>
      </c>
      <c r="O1129">
        <v>7.4087557083441532E-4</v>
      </c>
      <c r="P1129">
        <f t="shared" si="137"/>
        <v>0.36103318315102795</v>
      </c>
      <c r="Q1129">
        <f t="shared" si="138"/>
        <v>98.546784652507341</v>
      </c>
      <c r="R1129">
        <f t="shared" si="139"/>
        <v>0.3610851550254302</v>
      </c>
      <c r="S1129">
        <f t="shared" si="140"/>
        <v>0.7180755365508017</v>
      </c>
      <c r="T1129">
        <f t="shared" si="141"/>
        <v>4.8356323571821784E-5</v>
      </c>
      <c r="U1129">
        <f t="shared" si="142"/>
        <v>9.8320303429934326E-3</v>
      </c>
    </row>
    <row r="1130" spans="10:21" x14ac:dyDescent="0.35">
      <c r="J1130">
        <f t="shared" si="143"/>
        <v>1127</v>
      </c>
      <c r="K1130">
        <f>demanda!D1128</f>
        <v>3</v>
      </c>
      <c r="L1130">
        <f>demanda!I1128</f>
        <v>10</v>
      </c>
      <c r="M1130">
        <v>6.5249082097586548</v>
      </c>
      <c r="N1130">
        <f t="shared" si="136"/>
        <v>3.4750917902413452</v>
      </c>
      <c r="O1130">
        <v>1.3734589687128761E-3</v>
      </c>
      <c r="P1130">
        <f t="shared" si="137"/>
        <v>0.35014140987961972</v>
      </c>
      <c r="Q1130">
        <f t="shared" si="138"/>
        <v>98.547178762554012</v>
      </c>
      <c r="R1130">
        <f t="shared" si="139"/>
        <v>0.35030201092410335</v>
      </c>
      <c r="S1130">
        <f t="shared" si="140"/>
        <v>0.72615050111788593</v>
      </c>
      <c r="T1130">
        <f t="shared" si="141"/>
        <v>8.4424099616473345E-5</v>
      </c>
      <c r="U1130">
        <f t="shared" si="142"/>
        <v>1.2991189657825249E-2</v>
      </c>
    </row>
    <row r="1131" spans="10:21" x14ac:dyDescent="0.35">
      <c r="J1131">
        <f t="shared" si="143"/>
        <v>1128</v>
      </c>
      <c r="K1131">
        <f>demanda!D1129</f>
        <v>2</v>
      </c>
      <c r="L1131">
        <f>demanda!I1129</f>
        <v>11</v>
      </c>
      <c r="M1131">
        <v>9.1555418996444509</v>
      </c>
      <c r="N1131">
        <f t="shared" si="136"/>
        <v>1.8444581003555491</v>
      </c>
      <c r="O1131">
        <v>7.3144910189317154E-4</v>
      </c>
      <c r="P1131">
        <f t="shared" si="137"/>
        <v>0.18584290680780113</v>
      </c>
      <c r="Q1131">
        <f t="shared" si="138"/>
        <v>98.551708666672923</v>
      </c>
      <c r="R1131">
        <f t="shared" si="139"/>
        <v>0.18586413938454407</v>
      </c>
      <c r="S1131">
        <f t="shared" si="140"/>
        <v>0.85257094830757985</v>
      </c>
      <c r="T1131">
        <f t="shared" si="141"/>
        <v>1.2649741651071969E-5</v>
      </c>
      <c r="U1131">
        <f t="shared" si="142"/>
        <v>5.0285937455694357E-3</v>
      </c>
    </row>
    <row r="1132" spans="10:21" x14ac:dyDescent="0.35">
      <c r="J1132">
        <f t="shared" si="143"/>
        <v>1129</v>
      </c>
      <c r="K1132">
        <f>demanda!D1130</f>
        <v>2</v>
      </c>
      <c r="L1132">
        <f>demanda!I1130</f>
        <v>23</v>
      </c>
      <c r="M1132">
        <v>9.1555418996444509</v>
      </c>
      <c r="N1132">
        <f t="shared" si="136"/>
        <v>13.844458100355549</v>
      </c>
      <c r="O1132">
        <v>7.3144910189317154E-4</v>
      </c>
      <c r="P1132">
        <f t="shared" si="137"/>
        <v>1.3949323847762749</v>
      </c>
      <c r="Q1132">
        <f t="shared" si="138"/>
        <v>98.453478842412011</v>
      </c>
      <c r="R1132">
        <f t="shared" si="139"/>
        <v>1.3957875437561733</v>
      </c>
      <c r="S1132">
        <f t="shared" si="140"/>
        <v>0.16293994759049926</v>
      </c>
      <c r="T1132">
        <f t="shared" si="141"/>
        <v>7.126823286815688E-4</v>
      </c>
      <c r="U1132">
        <f t="shared" si="142"/>
        <v>3.7763328288704219E-2</v>
      </c>
    </row>
    <row r="1133" spans="10:21" x14ac:dyDescent="0.35">
      <c r="J1133">
        <f t="shared" si="143"/>
        <v>1130</v>
      </c>
      <c r="K1133">
        <f>demanda!D1131</f>
        <v>0</v>
      </c>
      <c r="L1133">
        <f>demanda!I1131</f>
        <v>47</v>
      </c>
      <c r="M1133">
        <v>14.416809279416043</v>
      </c>
      <c r="N1133">
        <f t="shared" si="136"/>
        <v>32.583190720583957</v>
      </c>
      <c r="O1133">
        <v>7.4087557083441532E-4</v>
      </c>
      <c r="P1133">
        <f t="shared" si="137"/>
        <v>3.2829994215748393</v>
      </c>
      <c r="Q1133">
        <f t="shared" si="138"/>
        <v>97.999546546780749</v>
      </c>
      <c r="R1133">
        <f t="shared" si="139"/>
        <v>3.292626855801088</v>
      </c>
      <c r="S1133">
        <f t="shared" si="140"/>
        <v>1.0105875758910101E-3</v>
      </c>
      <c r="T1133">
        <f t="shared" si="141"/>
        <v>3.9985326488257301E-3</v>
      </c>
      <c r="U1133">
        <f t="shared" si="142"/>
        <v>8.9655325631183613E-2</v>
      </c>
    </row>
    <row r="1134" spans="10:21" x14ac:dyDescent="0.35">
      <c r="J1134">
        <f t="shared" si="143"/>
        <v>1131</v>
      </c>
      <c r="K1134">
        <f>demanda!D1132</f>
        <v>1</v>
      </c>
      <c r="L1134">
        <f>demanda!I1132</f>
        <v>14</v>
      </c>
      <c r="M1134">
        <v>11.786175589530247</v>
      </c>
      <c r="N1134">
        <f t="shared" si="136"/>
        <v>2.2138244104697531</v>
      </c>
      <c r="O1134">
        <v>5.2058796926701797E-4</v>
      </c>
      <c r="P1134">
        <f t="shared" si="137"/>
        <v>0.22305931673072815</v>
      </c>
      <c r="Q1134">
        <f t="shared" si="138"/>
        <v>98.550927094542288</v>
      </c>
      <c r="R1134">
        <f t="shared" si="139"/>
        <v>0.2230621523462217</v>
      </c>
      <c r="S1134">
        <f t="shared" si="140"/>
        <v>0.82351087455410243</v>
      </c>
      <c r="T1134">
        <f t="shared" si="141"/>
        <v>1.2964541478310422E-5</v>
      </c>
      <c r="U1134">
        <f t="shared" si="142"/>
        <v>5.0907998870362093E-3</v>
      </c>
    </row>
    <row r="1135" spans="10:21" x14ac:dyDescent="0.35">
      <c r="J1135">
        <f t="shared" si="143"/>
        <v>1132</v>
      </c>
      <c r="K1135">
        <f>demanda!D1133</f>
        <v>1</v>
      </c>
      <c r="L1135">
        <f>demanda!I1133</f>
        <v>22</v>
      </c>
      <c r="M1135">
        <v>11.786175589530247</v>
      </c>
      <c r="N1135">
        <f t="shared" si="136"/>
        <v>10.213824410469753</v>
      </c>
      <c r="O1135">
        <v>5.2058796926701797E-4</v>
      </c>
      <c r="P1135">
        <f t="shared" si="137"/>
        <v>1.0291189687097106</v>
      </c>
      <c r="Q1135">
        <f t="shared" si="138"/>
        <v>98.499064229577968</v>
      </c>
      <c r="R1135">
        <f t="shared" si="139"/>
        <v>1.0294029508567815</v>
      </c>
      <c r="S1135">
        <f t="shared" si="140"/>
        <v>0.30342008877727494</v>
      </c>
      <c r="T1135">
        <f t="shared" si="141"/>
        <v>2.7596092551003982E-4</v>
      </c>
      <c r="U1135">
        <f t="shared" si="142"/>
        <v>2.3493382318854904E-2</v>
      </c>
    </row>
    <row r="1136" spans="10:21" x14ac:dyDescent="0.35">
      <c r="J1136">
        <f t="shared" si="143"/>
        <v>1133</v>
      </c>
      <c r="K1136">
        <f>demanda!D1134</f>
        <v>0</v>
      </c>
      <c r="L1136">
        <f>demanda!I1134</f>
        <v>28</v>
      </c>
      <c r="M1136">
        <v>14.416809279416043</v>
      </c>
      <c r="N1136">
        <f t="shared" si="136"/>
        <v>13.583190720583957</v>
      </c>
      <c r="O1136">
        <v>7.4087557083441532E-4</v>
      </c>
      <c r="P1136">
        <f t="shared" si="137"/>
        <v>1.3686077481247561</v>
      </c>
      <c r="Q1136">
        <f t="shared" si="138"/>
        <v>98.457216826525212</v>
      </c>
      <c r="R1136">
        <f t="shared" si="139"/>
        <v>1.3694272318804395</v>
      </c>
      <c r="S1136">
        <f t="shared" si="140"/>
        <v>0.17102599994876813</v>
      </c>
      <c r="T1136">
        <f t="shared" si="141"/>
        <v>6.9489153739670493E-4</v>
      </c>
      <c r="U1136">
        <f t="shared" si="142"/>
        <v>3.7288295874201023E-2</v>
      </c>
    </row>
    <row r="1137" spans="10:21" x14ac:dyDescent="0.35">
      <c r="J1137">
        <f t="shared" si="143"/>
        <v>1134</v>
      </c>
      <c r="K1137">
        <f>demanda!D1135</f>
        <v>0</v>
      </c>
      <c r="L1137">
        <f>demanda!I1135</f>
        <v>67</v>
      </c>
      <c r="M1137">
        <v>14.416809279416043</v>
      </c>
      <c r="N1137">
        <f t="shared" si="136"/>
        <v>52.583190720583957</v>
      </c>
      <c r="O1137">
        <v>7.4087557083441532E-4</v>
      </c>
      <c r="P1137">
        <f t="shared" si="137"/>
        <v>5.2981485515222957</v>
      </c>
      <c r="Q1137">
        <f t="shared" si="138"/>
        <v>97.110813221287202</v>
      </c>
      <c r="R1137">
        <f t="shared" si="139"/>
        <v>5.33794480171741</v>
      </c>
      <c r="S1137">
        <f t="shared" si="140"/>
        <v>1.0514723871054866E-7</v>
      </c>
      <c r="T1137">
        <f t="shared" si="141"/>
        <v>1.0413753564715019E-2</v>
      </c>
      <c r="U1137">
        <f t="shared" si="142"/>
        <v>0.14534752960423816</v>
      </c>
    </row>
    <row r="1138" spans="10:21" x14ac:dyDescent="0.35">
      <c r="J1138">
        <f t="shared" si="143"/>
        <v>1135</v>
      </c>
      <c r="K1138">
        <f>demanda!D1136</f>
        <v>0</v>
      </c>
      <c r="L1138">
        <f>demanda!I1136</f>
        <v>20</v>
      </c>
      <c r="M1138">
        <v>14.416809279416043</v>
      </c>
      <c r="N1138">
        <f t="shared" si="136"/>
        <v>5.583190720583957</v>
      </c>
      <c r="O1138">
        <v>7.4087557083441532E-4</v>
      </c>
      <c r="P1138">
        <f t="shared" si="137"/>
        <v>0.56254809614577361</v>
      </c>
      <c r="Q1138">
        <f t="shared" si="138"/>
        <v>98.537219295234792</v>
      </c>
      <c r="R1138">
        <f t="shared" si="139"/>
        <v>0.56265638426953379</v>
      </c>
      <c r="S1138">
        <f t="shared" si="140"/>
        <v>0.57373461200688847</v>
      </c>
      <c r="T1138">
        <f t="shared" si="141"/>
        <v>1.1740277235750991E-4</v>
      </c>
      <c r="U1138">
        <f t="shared" si="142"/>
        <v>1.5320637156704552E-2</v>
      </c>
    </row>
    <row r="1139" spans="10:21" x14ac:dyDescent="0.35">
      <c r="J1139">
        <f t="shared" si="143"/>
        <v>1136</v>
      </c>
      <c r="K1139">
        <f>demanda!D1137</f>
        <v>0</v>
      </c>
      <c r="L1139">
        <f>demanda!I1137</f>
        <v>13</v>
      </c>
      <c r="M1139">
        <v>14.416809279416043</v>
      </c>
      <c r="N1139">
        <f t="shared" si="136"/>
        <v>-1.416809279416043</v>
      </c>
      <c r="O1139">
        <v>7.4087557083441532E-4</v>
      </c>
      <c r="P1139">
        <f t="shared" si="137"/>
        <v>-0.14275409933583605</v>
      </c>
      <c r="Q1139">
        <f t="shared" si="138"/>
        <v>98.552436340855238</v>
      </c>
      <c r="R1139">
        <f t="shared" si="139"/>
        <v>-0.14277055533334676</v>
      </c>
      <c r="S1139">
        <f t="shared" si="140"/>
        <v>0.88648638054980111</v>
      </c>
      <c r="T1139">
        <f t="shared" si="141"/>
        <v>7.5602509372950483E-6</v>
      </c>
      <c r="U1139">
        <f t="shared" si="142"/>
        <v>-3.8875163173756836E-3</v>
      </c>
    </row>
    <row r="1140" spans="10:21" x14ac:dyDescent="0.35">
      <c r="J1140">
        <f t="shared" si="143"/>
        <v>1137</v>
      </c>
      <c r="K1140">
        <f>demanda!D1138</f>
        <v>0</v>
      </c>
      <c r="L1140">
        <f>demanda!I1138</f>
        <v>23</v>
      </c>
      <c r="M1140">
        <v>14.416809279416043</v>
      </c>
      <c r="N1140">
        <f t="shared" si="136"/>
        <v>8.583190720583957</v>
      </c>
      <c r="O1140">
        <v>7.4087557083441532E-4</v>
      </c>
      <c r="P1140">
        <f t="shared" si="137"/>
        <v>0.86482046563789194</v>
      </c>
      <c r="Q1140">
        <f t="shared" si="138"/>
        <v>98.515044814397314</v>
      </c>
      <c r="R1140">
        <f t="shared" si="139"/>
        <v>0.86508428320119957</v>
      </c>
      <c r="S1140">
        <f t="shared" si="140"/>
        <v>0.38710065879826105</v>
      </c>
      <c r="T1140">
        <f t="shared" si="141"/>
        <v>2.7746675239162511E-4</v>
      </c>
      <c r="U1140">
        <f t="shared" si="142"/>
        <v>2.3555482144044106E-2</v>
      </c>
    </row>
    <row r="1141" spans="10:21" x14ac:dyDescent="0.35">
      <c r="J1141">
        <f t="shared" si="143"/>
        <v>1138</v>
      </c>
      <c r="K1141">
        <f>demanda!D1139</f>
        <v>0</v>
      </c>
      <c r="L1141">
        <f>demanda!I1139</f>
        <v>3</v>
      </c>
      <c r="M1141">
        <v>14.416809279416043</v>
      </c>
      <c r="N1141">
        <f t="shared" si="136"/>
        <v>-11.416809279416043</v>
      </c>
      <c r="O1141">
        <v>7.4087557083441532E-4</v>
      </c>
      <c r="P1141">
        <f t="shared" si="137"/>
        <v>-1.150328664309564</v>
      </c>
      <c r="Q1141">
        <f t="shared" si="138"/>
        <v>98.485475268264722</v>
      </c>
      <c r="R1141">
        <f t="shared" si="139"/>
        <v>-1.1508523061099405</v>
      </c>
      <c r="S1141">
        <f t="shared" si="140"/>
        <v>0.24993638008158123</v>
      </c>
      <c r="T1141">
        <f t="shared" si="141"/>
        <v>4.9091117422407117E-4</v>
      </c>
      <c r="U1141">
        <f t="shared" si="142"/>
        <v>-3.1336693399040466E-2</v>
      </c>
    </row>
    <row r="1142" spans="10:21" x14ac:dyDescent="0.35">
      <c r="J1142">
        <f t="shared" si="143"/>
        <v>1139</v>
      </c>
      <c r="K1142">
        <f>demanda!D1140</f>
        <v>3</v>
      </c>
      <c r="L1142">
        <f>demanda!I1140</f>
        <v>2</v>
      </c>
      <c r="M1142">
        <v>6.5249082097586548</v>
      </c>
      <c r="N1142">
        <f t="shared" si="136"/>
        <v>-4.5249082097586548</v>
      </c>
      <c r="O1142">
        <v>1.3734589687128761E-3</v>
      </c>
      <c r="P1142">
        <f t="shared" si="137"/>
        <v>-0.45591824209936271</v>
      </c>
      <c r="Q1142">
        <f t="shared" si="138"/>
        <v>98.542793943857959</v>
      </c>
      <c r="R1142">
        <f t="shared" si="139"/>
        <v>-0.45613750825631832</v>
      </c>
      <c r="S1142">
        <f t="shared" si="140"/>
        <v>0.64834271460897308</v>
      </c>
      <c r="T1142">
        <f t="shared" si="141"/>
        <v>1.4313749884792331E-4</v>
      </c>
      <c r="U1142">
        <f t="shared" si="142"/>
        <v>-1.6916171460658679E-2</v>
      </c>
    </row>
    <row r="1143" spans="10:21" x14ac:dyDescent="0.35">
      <c r="J1143">
        <f t="shared" si="143"/>
        <v>1140</v>
      </c>
      <c r="K1143">
        <f>demanda!D1141</f>
        <v>0</v>
      </c>
      <c r="L1143">
        <f>demanda!I1141</f>
        <v>4</v>
      </c>
      <c r="M1143">
        <v>14.416809279416043</v>
      </c>
      <c r="N1143">
        <f t="shared" si="136"/>
        <v>-10.416809279416043</v>
      </c>
      <c r="O1143">
        <v>7.4087557083441532E-4</v>
      </c>
      <c r="P1143">
        <f t="shared" si="137"/>
        <v>-1.0495712078121913</v>
      </c>
      <c r="Q1143">
        <f t="shared" si="138"/>
        <v>98.49686724248096</v>
      </c>
      <c r="R1143">
        <f t="shared" si="139"/>
        <v>-1.049988258586362</v>
      </c>
      <c r="S1143">
        <f t="shared" si="140"/>
        <v>0.29385572056513598</v>
      </c>
      <c r="T1143">
        <f t="shared" si="141"/>
        <v>4.0867949778204384E-4</v>
      </c>
      <c r="U1143">
        <f t="shared" si="142"/>
        <v>-2.8590254333443563E-2</v>
      </c>
    </row>
    <row r="1144" spans="10:21" x14ac:dyDescent="0.35">
      <c r="J1144">
        <f t="shared" si="143"/>
        <v>1141</v>
      </c>
      <c r="K1144">
        <f>demanda!D1142</f>
        <v>0</v>
      </c>
      <c r="L1144">
        <f>demanda!I1142</f>
        <v>12</v>
      </c>
      <c r="M1144">
        <v>14.416809279416043</v>
      </c>
      <c r="N1144">
        <f t="shared" si="136"/>
        <v>-2.416809279416043</v>
      </c>
      <c r="O1144">
        <v>7.4087557083441532E-4</v>
      </c>
      <c r="P1144">
        <f t="shared" si="137"/>
        <v>-0.24351155583320885</v>
      </c>
      <c r="Q1144">
        <f t="shared" si="138"/>
        <v>98.55043610055337</v>
      </c>
      <c r="R1144">
        <f t="shared" si="139"/>
        <v>-0.24354209816225414</v>
      </c>
      <c r="S1144">
        <f t="shared" si="140"/>
        <v>0.80761150818210881</v>
      </c>
      <c r="T1144">
        <f t="shared" si="141"/>
        <v>2.199875915262289E-5</v>
      </c>
      <c r="U1144">
        <f t="shared" si="142"/>
        <v>-6.6314365617133417E-3</v>
      </c>
    </row>
    <row r="1145" spans="10:21" x14ac:dyDescent="0.35">
      <c r="J1145">
        <f t="shared" si="143"/>
        <v>1142</v>
      </c>
      <c r="K1145">
        <f>demanda!D1143</f>
        <v>0</v>
      </c>
      <c r="L1145">
        <f>demanda!I1143</f>
        <v>4</v>
      </c>
      <c r="M1145">
        <v>14.416809279416043</v>
      </c>
      <c r="N1145">
        <f t="shared" si="136"/>
        <v>-10.416809279416043</v>
      </c>
      <c r="O1145">
        <v>7.4087557083441532E-4</v>
      </c>
      <c r="P1145">
        <f t="shared" si="137"/>
        <v>-1.0495712078121913</v>
      </c>
      <c r="Q1145">
        <f t="shared" si="138"/>
        <v>98.49686724248096</v>
      </c>
      <c r="R1145">
        <f t="shared" si="139"/>
        <v>-1.049988258586362</v>
      </c>
      <c r="S1145">
        <f t="shared" si="140"/>
        <v>0.29385572056513598</v>
      </c>
      <c r="T1145">
        <f t="shared" si="141"/>
        <v>4.0867949778204384E-4</v>
      </c>
      <c r="U1145">
        <f t="shared" si="142"/>
        <v>-2.8590254333443563E-2</v>
      </c>
    </row>
    <row r="1146" spans="10:21" x14ac:dyDescent="0.35">
      <c r="J1146">
        <f t="shared" si="143"/>
        <v>1143</v>
      </c>
      <c r="K1146">
        <f>demanda!D1144</f>
        <v>4</v>
      </c>
      <c r="L1146">
        <f>demanda!I1144</f>
        <v>3</v>
      </c>
      <c r="M1146">
        <v>3.8942745198728588</v>
      </c>
      <c r="N1146">
        <f t="shared" si="136"/>
        <v>-0.89427451987285878</v>
      </c>
      <c r="O1146">
        <v>2.4466175697261316E-3</v>
      </c>
      <c r="P1146">
        <f t="shared" si="137"/>
        <v>-9.0104826032798527E-2</v>
      </c>
      <c r="Q1146">
        <f t="shared" si="138"/>
        <v>98.553065719630368</v>
      </c>
      <c r="R1146">
        <f t="shared" si="139"/>
        <v>-9.0191937130002245E-2</v>
      </c>
      <c r="S1146">
        <f t="shared" si="140"/>
        <v>0.92814410376796586</v>
      </c>
      <c r="T1146">
        <f t="shared" si="141"/>
        <v>9.9806748742546123E-6</v>
      </c>
      <c r="U1146">
        <f t="shared" si="142"/>
        <v>-4.4666578568412878E-3</v>
      </c>
    </row>
    <row r="1147" spans="10:21" x14ac:dyDescent="0.35">
      <c r="J1147">
        <f t="shared" si="143"/>
        <v>1144</v>
      </c>
      <c r="K1147">
        <f>demanda!D1145</f>
        <v>3</v>
      </c>
      <c r="L1147">
        <f>demanda!I1145</f>
        <v>7</v>
      </c>
      <c r="M1147">
        <v>6.5249082097586548</v>
      </c>
      <c r="N1147">
        <f t="shared" si="136"/>
        <v>0.47509179024134518</v>
      </c>
      <c r="O1147">
        <v>1.3734589687128761E-3</v>
      </c>
      <c r="P1147">
        <f t="shared" si="137"/>
        <v>4.7869040387501303E-2</v>
      </c>
      <c r="Q1147">
        <f t="shared" si="138"/>
        <v>98.553365858159935</v>
      </c>
      <c r="R1147">
        <f t="shared" si="139"/>
        <v>4.7889493409082308E-2</v>
      </c>
      <c r="S1147">
        <f t="shared" si="140"/>
        <v>0.96180929609305088</v>
      </c>
      <c r="T1147">
        <f t="shared" si="141"/>
        <v>1.5779343417974939E-6</v>
      </c>
      <c r="U1147">
        <f t="shared" si="142"/>
        <v>1.7760146162259802E-3</v>
      </c>
    </row>
    <row r="1148" spans="10:21" x14ac:dyDescent="0.35">
      <c r="J1148">
        <f t="shared" si="143"/>
        <v>1145</v>
      </c>
      <c r="K1148">
        <f>demanda!D1146</f>
        <v>0</v>
      </c>
      <c r="L1148">
        <f>demanda!I1146</f>
        <v>5</v>
      </c>
      <c r="M1148">
        <v>14.416809279416043</v>
      </c>
      <c r="N1148">
        <f t="shared" si="136"/>
        <v>-9.416809279416043</v>
      </c>
      <c r="O1148">
        <v>7.4087557083441532E-4</v>
      </c>
      <c r="P1148">
        <f t="shared" si="137"/>
        <v>-0.94881375131481849</v>
      </c>
      <c r="Q1148">
        <f t="shared" si="138"/>
        <v>98.507215690706701</v>
      </c>
      <c r="R1148">
        <f t="shared" si="139"/>
        <v>-0.94914090693055775</v>
      </c>
      <c r="S1148">
        <f t="shared" si="140"/>
        <v>0.34266846368408377</v>
      </c>
      <c r="T1148">
        <f t="shared" si="141"/>
        <v>3.339803955874275E-4</v>
      </c>
      <c r="U1148">
        <f t="shared" si="142"/>
        <v>-2.5844269881602652E-2</v>
      </c>
    </row>
    <row r="1149" spans="10:21" x14ac:dyDescent="0.35">
      <c r="J1149">
        <f t="shared" si="143"/>
        <v>1146</v>
      </c>
      <c r="K1149">
        <f>demanda!D1147</f>
        <v>0</v>
      </c>
      <c r="L1149">
        <f>demanda!I1147</f>
        <v>9</v>
      </c>
      <c r="M1149">
        <v>14.416809279416043</v>
      </c>
      <c r="N1149">
        <f t="shared" si="136"/>
        <v>-5.416809279416043</v>
      </c>
      <c r="O1149">
        <v>7.4087557083441532E-4</v>
      </c>
      <c r="P1149">
        <f t="shared" si="137"/>
        <v>-0.54578392532532727</v>
      </c>
      <c r="Q1149">
        <f t="shared" si="138"/>
        <v>98.538174223704843</v>
      </c>
      <c r="R1149">
        <f t="shared" si="139"/>
        <v>-0.54588634131956315</v>
      </c>
      <c r="S1149">
        <f t="shared" si="140"/>
        <v>0.58520751823074413</v>
      </c>
      <c r="T1149">
        <f t="shared" si="141"/>
        <v>1.1050972928307278E-4</v>
      </c>
      <c r="U1149">
        <f t="shared" si="142"/>
        <v>-1.4864003676090257E-2</v>
      </c>
    </row>
    <row r="1150" spans="10:21" x14ac:dyDescent="0.35">
      <c r="J1150">
        <f t="shared" si="143"/>
        <v>1147</v>
      </c>
      <c r="K1150">
        <f>demanda!D1148</f>
        <v>0</v>
      </c>
      <c r="L1150">
        <f>demanda!I1148</f>
        <v>22</v>
      </c>
      <c r="M1150">
        <v>14.416809279416043</v>
      </c>
      <c r="N1150">
        <f t="shared" si="136"/>
        <v>7.583190720583957</v>
      </c>
      <c r="O1150">
        <v>7.4087557083441532E-4</v>
      </c>
      <c r="P1150">
        <f t="shared" si="137"/>
        <v>0.76406300914051917</v>
      </c>
      <c r="Q1150">
        <f t="shared" si="138"/>
        <v>98.523479834000298</v>
      </c>
      <c r="R1150">
        <f t="shared" si="139"/>
        <v>0.76426337212539786</v>
      </c>
      <c r="S1150">
        <f t="shared" si="140"/>
        <v>0.44480426948631324</v>
      </c>
      <c r="T1150">
        <f t="shared" si="141"/>
        <v>2.1657951813284224E-4</v>
      </c>
      <c r="U1150">
        <f t="shared" si="142"/>
        <v>2.081021764587964E-2</v>
      </c>
    </row>
    <row r="1151" spans="10:21" x14ac:dyDescent="0.35">
      <c r="J1151">
        <f t="shared" si="143"/>
        <v>1148</v>
      </c>
      <c r="K1151">
        <f>demanda!D1149</f>
        <v>0</v>
      </c>
      <c r="L1151">
        <f>demanda!I1149</f>
        <v>14</v>
      </c>
      <c r="M1151">
        <v>14.416809279416043</v>
      </c>
      <c r="N1151">
        <f t="shared" si="136"/>
        <v>-0.41680927941604295</v>
      </c>
      <c r="O1151">
        <v>7.4087557083441532E-4</v>
      </c>
      <c r="P1151">
        <f t="shared" si="137"/>
        <v>-4.1996642838463258E-2</v>
      </c>
      <c r="Q1151">
        <f t="shared" si="138"/>
        <v>98.553393055166637</v>
      </c>
      <c r="R1151">
        <f t="shared" si="139"/>
        <v>-4.2001280140228352E-2</v>
      </c>
      <c r="S1151">
        <f t="shared" si="140"/>
        <v>0.96650204701357412</v>
      </c>
      <c r="T1151">
        <f t="shared" si="141"/>
        <v>6.5431696937827154E-7</v>
      </c>
      <c r="U1151">
        <f t="shared" si="142"/>
        <v>-1.1436578187608104E-3</v>
      </c>
    </row>
    <row r="1152" spans="10:21" x14ac:dyDescent="0.35">
      <c r="J1152">
        <f t="shared" si="143"/>
        <v>1149</v>
      </c>
      <c r="K1152">
        <f>demanda!D1150</f>
        <v>1</v>
      </c>
      <c r="L1152">
        <f>demanda!I1150</f>
        <v>3</v>
      </c>
      <c r="M1152">
        <v>11.786175589530247</v>
      </c>
      <c r="N1152">
        <f t="shared" si="136"/>
        <v>-8.7861755895302469</v>
      </c>
      <c r="O1152">
        <v>5.2058796926701797E-4</v>
      </c>
      <c r="P1152">
        <f t="shared" si="137"/>
        <v>-0.88527270474037267</v>
      </c>
      <c r="Q1152">
        <f t="shared" si="138"/>
        <v>98.513214102399758</v>
      </c>
      <c r="R1152">
        <f t="shared" si="139"/>
        <v>-0.88545339538896362</v>
      </c>
      <c r="S1152">
        <f t="shared" si="140"/>
        <v>0.37602308055069167</v>
      </c>
      <c r="T1152">
        <f t="shared" si="141"/>
        <v>2.0420697614382047E-4</v>
      </c>
      <c r="U1152">
        <f t="shared" si="142"/>
        <v>-2.0208116875988336E-2</v>
      </c>
    </row>
    <row r="1153" spans="10:21" x14ac:dyDescent="0.35">
      <c r="J1153">
        <f t="shared" si="143"/>
        <v>1150</v>
      </c>
      <c r="K1153">
        <f>demanda!D1151</f>
        <v>0</v>
      </c>
      <c r="L1153">
        <f>demanda!I1151</f>
        <v>3</v>
      </c>
      <c r="M1153">
        <v>14.416809279416043</v>
      </c>
      <c r="N1153">
        <f t="shared" si="136"/>
        <v>-11.416809279416043</v>
      </c>
      <c r="O1153">
        <v>7.4087557083441532E-4</v>
      </c>
      <c r="P1153">
        <f t="shared" si="137"/>
        <v>-1.150328664309564</v>
      </c>
      <c r="Q1153">
        <f t="shared" si="138"/>
        <v>98.485475268264722</v>
      </c>
      <c r="R1153">
        <f t="shared" si="139"/>
        <v>-1.1508523061099405</v>
      </c>
      <c r="S1153">
        <f t="shared" si="140"/>
        <v>0.24993638008158123</v>
      </c>
      <c r="T1153">
        <f t="shared" si="141"/>
        <v>4.9091117422407117E-4</v>
      </c>
      <c r="U1153">
        <f t="shared" si="142"/>
        <v>-3.1336693399040466E-2</v>
      </c>
    </row>
    <row r="1154" spans="10:21" x14ac:dyDescent="0.35">
      <c r="J1154">
        <f t="shared" si="143"/>
        <v>1151</v>
      </c>
      <c r="K1154">
        <f>demanda!D1152</f>
        <v>0</v>
      </c>
      <c r="L1154">
        <f>demanda!I1152</f>
        <v>14</v>
      </c>
      <c r="M1154">
        <v>14.416809279416043</v>
      </c>
      <c r="N1154">
        <f t="shared" si="136"/>
        <v>-0.41680927941604295</v>
      </c>
      <c r="O1154">
        <v>7.4087557083441532E-4</v>
      </c>
      <c r="P1154">
        <f t="shared" si="137"/>
        <v>-4.1996642838463258E-2</v>
      </c>
      <c r="Q1154">
        <f t="shared" si="138"/>
        <v>98.553393055166637</v>
      </c>
      <c r="R1154">
        <f t="shared" si="139"/>
        <v>-4.2001280140228352E-2</v>
      </c>
      <c r="S1154">
        <f t="shared" si="140"/>
        <v>0.96650204701357412</v>
      </c>
      <c r="T1154">
        <f t="shared" si="141"/>
        <v>6.5431696937827154E-7</v>
      </c>
      <c r="U1154">
        <f t="shared" si="142"/>
        <v>-1.1436578187608104E-3</v>
      </c>
    </row>
    <row r="1155" spans="10:21" x14ac:dyDescent="0.35">
      <c r="J1155">
        <f t="shared" si="143"/>
        <v>1152</v>
      </c>
      <c r="K1155">
        <f>demanda!D1153</f>
        <v>2</v>
      </c>
      <c r="L1155">
        <f>demanda!I1153</f>
        <v>3</v>
      </c>
      <c r="M1155">
        <v>9.1555418996444509</v>
      </c>
      <c r="N1155">
        <f t="shared" si="136"/>
        <v>-6.1555418996444509</v>
      </c>
      <c r="O1155">
        <v>7.3144910189317154E-4</v>
      </c>
      <c r="P1155">
        <f t="shared" si="137"/>
        <v>-0.62021674517118131</v>
      </c>
      <c r="Q1155">
        <f t="shared" si="138"/>
        <v>98.533713924458709</v>
      </c>
      <c r="R1155">
        <f t="shared" si="139"/>
        <v>-0.62034424251421916</v>
      </c>
      <c r="S1155">
        <f t="shared" si="140"/>
        <v>0.53510483257501296</v>
      </c>
      <c r="T1155">
        <f t="shared" si="141"/>
        <v>1.4088885884323287E-4</v>
      </c>
      <c r="U1155">
        <f t="shared" si="142"/>
        <v>-1.6783545165498539E-2</v>
      </c>
    </row>
    <row r="1156" spans="10:21" x14ac:dyDescent="0.35">
      <c r="J1156">
        <f t="shared" si="143"/>
        <v>1153</v>
      </c>
      <c r="K1156">
        <f>demanda!D1154</f>
        <v>1</v>
      </c>
      <c r="L1156">
        <f>demanda!I1154</f>
        <v>3</v>
      </c>
      <c r="M1156">
        <v>11.786175589530247</v>
      </c>
      <c r="N1156">
        <f t="shared" si="136"/>
        <v>-8.7861755895302469</v>
      </c>
      <c r="O1156">
        <v>5.2058796926701797E-4</v>
      </c>
      <c r="P1156">
        <f t="shared" si="137"/>
        <v>-0.88527270474037267</v>
      </c>
      <c r="Q1156">
        <f t="shared" si="138"/>
        <v>98.513214102399758</v>
      </c>
      <c r="R1156">
        <f t="shared" si="139"/>
        <v>-0.88545339538896362</v>
      </c>
      <c r="S1156">
        <f t="shared" si="140"/>
        <v>0.37602308055069167</v>
      </c>
      <c r="T1156">
        <f t="shared" si="141"/>
        <v>2.0420697614382047E-4</v>
      </c>
      <c r="U1156">
        <f t="shared" si="142"/>
        <v>-2.0208116875988336E-2</v>
      </c>
    </row>
    <row r="1157" spans="10:21" x14ac:dyDescent="0.35">
      <c r="J1157">
        <f t="shared" si="143"/>
        <v>1154</v>
      </c>
      <c r="K1157">
        <f>demanda!D1155</f>
        <v>7</v>
      </c>
      <c r="L1157">
        <f>demanda!I1155</f>
        <v>1</v>
      </c>
      <c r="M1157">
        <v>-3.9976265497845276</v>
      </c>
      <c r="N1157">
        <f t="shared" ref="N1157:N1220" si="144">L1157-M1157</f>
        <v>4.9976265497845276</v>
      </c>
      <c r="O1157">
        <v>8.2529857779272044E-3</v>
      </c>
      <c r="P1157">
        <f t="shared" ref="P1157:P1220" si="145">N1157/SQRT($X$6)</f>
        <v>0.50354813968002987</v>
      </c>
      <c r="Q1157">
        <f t="shared" ref="Q1157:Q1220" si="146">($X$6-N1157^2/((1-O1157)*$X$5))*$X$5/($X$5-1)</f>
        <v>98.540353296828158</v>
      </c>
      <c r="R1157">
        <f t="shared" ref="R1157:R1220" si="147">N1157/SQRT(Q1157*(1-O1157))</f>
        <v>0.50554089362351151</v>
      </c>
      <c r="S1157">
        <f t="shared" ref="S1157:S1220" si="148">_xlfn.T.DIST.2T(ABS(R1157),$X$5)</f>
        <v>0.61323704299937098</v>
      </c>
      <c r="T1157">
        <f t="shared" ref="T1157:T1220" si="149">(N1157^2/$X$6)*(O1157/(1-O1157)^2)/($X$7+1)</f>
        <v>1.063803192754387E-3</v>
      </c>
      <c r="U1157">
        <f t="shared" ref="U1157:U1220" si="150">R1157*SQRT(O1157/(1-O1157))</f>
        <v>4.6117036260322951E-2</v>
      </c>
    </row>
    <row r="1158" spans="10:21" x14ac:dyDescent="0.35">
      <c r="J1158">
        <f t="shared" ref="J1158:J1221" si="151">J1157+1</f>
        <v>1155</v>
      </c>
      <c r="K1158">
        <f>demanda!D1156</f>
        <v>2</v>
      </c>
      <c r="L1158">
        <f>demanda!I1156</f>
        <v>2</v>
      </c>
      <c r="M1158">
        <v>9.1555418996444509</v>
      </c>
      <c r="N1158">
        <f t="shared" si="144"/>
        <v>-7.1555418996444509</v>
      </c>
      <c r="O1158">
        <v>7.3144910189317154E-4</v>
      </c>
      <c r="P1158">
        <f t="shared" si="145"/>
        <v>-0.72097420166855408</v>
      </c>
      <c r="Q1158">
        <f t="shared" si="146"/>
        <v>98.526768759022602</v>
      </c>
      <c r="R1158">
        <f t="shared" si="147"/>
        <v>-0.72114782718324122</v>
      </c>
      <c r="S1158">
        <f t="shared" si="148"/>
        <v>0.47090641241117204</v>
      </c>
      <c r="T1158">
        <f t="shared" si="149"/>
        <v>1.9038342084795563E-4</v>
      </c>
      <c r="U1158">
        <f t="shared" si="150"/>
        <v>-1.9510807546913981E-2</v>
      </c>
    </row>
    <row r="1159" spans="10:21" x14ac:dyDescent="0.35">
      <c r="J1159">
        <f t="shared" si="151"/>
        <v>1156</v>
      </c>
      <c r="K1159">
        <f>demanda!D1157</f>
        <v>2</v>
      </c>
      <c r="L1159">
        <f>demanda!I1157</f>
        <v>3</v>
      </c>
      <c r="M1159">
        <v>9.1555418996444509</v>
      </c>
      <c r="N1159">
        <f t="shared" si="144"/>
        <v>-6.1555418996444509</v>
      </c>
      <c r="O1159">
        <v>7.3144910189317154E-4</v>
      </c>
      <c r="P1159">
        <f t="shared" si="145"/>
        <v>-0.62021674517118131</v>
      </c>
      <c r="Q1159">
        <f t="shared" si="146"/>
        <v>98.533713924458709</v>
      </c>
      <c r="R1159">
        <f t="shared" si="147"/>
        <v>-0.62034424251421916</v>
      </c>
      <c r="S1159">
        <f t="shared" si="148"/>
        <v>0.53510483257501296</v>
      </c>
      <c r="T1159">
        <f t="shared" si="149"/>
        <v>1.4088885884323287E-4</v>
      </c>
      <c r="U1159">
        <f t="shared" si="150"/>
        <v>-1.6783545165498539E-2</v>
      </c>
    </row>
    <row r="1160" spans="10:21" x14ac:dyDescent="0.35">
      <c r="J1160">
        <f t="shared" si="151"/>
        <v>1157</v>
      </c>
      <c r="K1160">
        <f>demanda!D1158</f>
        <v>0</v>
      </c>
      <c r="L1160">
        <f>demanda!I1158</f>
        <v>13</v>
      </c>
      <c r="M1160">
        <v>14.416809279416043</v>
      </c>
      <c r="N1160">
        <f t="shared" si="144"/>
        <v>-1.416809279416043</v>
      </c>
      <c r="O1160">
        <v>7.4087557083441532E-4</v>
      </c>
      <c r="P1160">
        <f t="shared" si="145"/>
        <v>-0.14275409933583605</v>
      </c>
      <c r="Q1160">
        <f t="shared" si="146"/>
        <v>98.552436340855238</v>
      </c>
      <c r="R1160">
        <f t="shared" si="147"/>
        <v>-0.14277055533334676</v>
      </c>
      <c r="S1160">
        <f t="shared" si="148"/>
        <v>0.88648638054980111</v>
      </c>
      <c r="T1160">
        <f t="shared" si="149"/>
        <v>7.5602509372950483E-6</v>
      </c>
      <c r="U1160">
        <f t="shared" si="150"/>
        <v>-3.8875163173756836E-3</v>
      </c>
    </row>
    <row r="1161" spans="10:21" x14ac:dyDescent="0.35">
      <c r="J1161">
        <f t="shared" si="151"/>
        <v>1158</v>
      </c>
      <c r="K1161">
        <f>demanda!D1159</f>
        <v>1</v>
      </c>
      <c r="L1161">
        <f>demanda!I1159</f>
        <v>3</v>
      </c>
      <c r="M1161">
        <v>11.786175589530247</v>
      </c>
      <c r="N1161">
        <f t="shared" si="144"/>
        <v>-8.7861755895302469</v>
      </c>
      <c r="O1161">
        <v>5.2058796926701797E-4</v>
      </c>
      <c r="P1161">
        <f t="shared" si="145"/>
        <v>-0.88527270474037267</v>
      </c>
      <c r="Q1161">
        <f t="shared" si="146"/>
        <v>98.513214102399758</v>
      </c>
      <c r="R1161">
        <f t="shared" si="147"/>
        <v>-0.88545339538896362</v>
      </c>
      <c r="S1161">
        <f t="shared" si="148"/>
        <v>0.37602308055069167</v>
      </c>
      <c r="T1161">
        <f t="shared" si="149"/>
        <v>2.0420697614382047E-4</v>
      </c>
      <c r="U1161">
        <f t="shared" si="150"/>
        <v>-2.0208116875988336E-2</v>
      </c>
    </row>
    <row r="1162" spans="10:21" x14ac:dyDescent="0.35">
      <c r="J1162">
        <f t="shared" si="151"/>
        <v>1159</v>
      </c>
      <c r="K1162">
        <f>demanda!D1160</f>
        <v>0</v>
      </c>
      <c r="L1162">
        <f>demanda!I1160</f>
        <v>4</v>
      </c>
      <c r="M1162">
        <v>14.416809279416043</v>
      </c>
      <c r="N1162">
        <f t="shared" si="144"/>
        <v>-10.416809279416043</v>
      </c>
      <c r="O1162">
        <v>7.4087557083441532E-4</v>
      </c>
      <c r="P1162">
        <f t="shared" si="145"/>
        <v>-1.0495712078121913</v>
      </c>
      <c r="Q1162">
        <f t="shared" si="146"/>
        <v>98.49686724248096</v>
      </c>
      <c r="R1162">
        <f t="shared" si="147"/>
        <v>-1.049988258586362</v>
      </c>
      <c r="S1162">
        <f t="shared" si="148"/>
        <v>0.29385572056513598</v>
      </c>
      <c r="T1162">
        <f t="shared" si="149"/>
        <v>4.0867949778204384E-4</v>
      </c>
      <c r="U1162">
        <f t="shared" si="150"/>
        <v>-2.8590254333443563E-2</v>
      </c>
    </row>
    <row r="1163" spans="10:21" x14ac:dyDescent="0.35">
      <c r="J1163">
        <f t="shared" si="151"/>
        <v>1160</v>
      </c>
      <c r="K1163">
        <f>demanda!D1161</f>
        <v>0</v>
      </c>
      <c r="L1163">
        <f>demanda!I1161</f>
        <v>15</v>
      </c>
      <c r="M1163">
        <v>14.416809279416043</v>
      </c>
      <c r="N1163">
        <f t="shared" si="144"/>
        <v>0.58319072058395705</v>
      </c>
      <c r="O1163">
        <v>7.4087557083441532E-4</v>
      </c>
      <c r="P1163">
        <f t="shared" si="145"/>
        <v>5.8760813658909554E-2</v>
      </c>
      <c r="Q1163">
        <f t="shared" si="146"/>
        <v>98.553306243487526</v>
      </c>
      <c r="R1163">
        <f t="shared" si="147"/>
        <v>5.8767327956256402E-2</v>
      </c>
      <c r="S1163">
        <f t="shared" si="148"/>
        <v>0.95314355069247325</v>
      </c>
      <c r="T1163">
        <f t="shared" si="149"/>
        <v>1.2809572488725558E-6</v>
      </c>
      <c r="U1163">
        <f t="shared" si="150"/>
        <v>1.6001825154010173E-3</v>
      </c>
    </row>
    <row r="1164" spans="10:21" x14ac:dyDescent="0.35">
      <c r="J1164">
        <f t="shared" si="151"/>
        <v>1161</v>
      </c>
      <c r="K1164">
        <f>demanda!D1162</f>
        <v>6</v>
      </c>
      <c r="L1164">
        <f>demanda!I1162</f>
        <v>7</v>
      </c>
      <c r="M1164">
        <v>-1.3669928598987333</v>
      </c>
      <c r="N1164">
        <f t="shared" si="144"/>
        <v>8.3669928598987333</v>
      </c>
      <c r="O1164">
        <v>5.8863809743332956E-3</v>
      </c>
      <c r="P1164">
        <f t="shared" si="145"/>
        <v>0.8430369190950755</v>
      </c>
      <c r="Q1164">
        <f t="shared" si="146"/>
        <v>98.516767801711083</v>
      </c>
      <c r="R1164">
        <f t="shared" si="147"/>
        <v>0.84546631510864856</v>
      </c>
      <c r="S1164">
        <f t="shared" si="148"/>
        <v>0.39795593426841325</v>
      </c>
      <c r="T1164">
        <f t="shared" si="149"/>
        <v>2.1166035112314672E-3</v>
      </c>
      <c r="U1164">
        <f t="shared" si="150"/>
        <v>6.5058265550802991E-2</v>
      </c>
    </row>
    <row r="1165" spans="10:21" x14ac:dyDescent="0.35">
      <c r="J1165">
        <f t="shared" si="151"/>
        <v>1162</v>
      </c>
      <c r="K1165">
        <f>demanda!D1163</f>
        <v>0</v>
      </c>
      <c r="L1165">
        <f>demanda!I1163</f>
        <v>10</v>
      </c>
      <c r="M1165">
        <v>14.416809279416043</v>
      </c>
      <c r="N1165">
        <f t="shared" si="144"/>
        <v>-4.416809279416043</v>
      </c>
      <c r="O1165">
        <v>7.4087557083441532E-4</v>
      </c>
      <c r="P1165">
        <f t="shared" si="145"/>
        <v>-0.44502646882795449</v>
      </c>
      <c r="Q1165">
        <f t="shared" si="146"/>
        <v>98.543305041978172</v>
      </c>
      <c r="R1165">
        <f t="shared" si="147"/>
        <v>-0.44509838991165818</v>
      </c>
      <c r="S1165">
        <f t="shared" si="148"/>
        <v>0.65629885256814913</v>
      </c>
      <c r="T1165">
        <f t="shared" si="149"/>
        <v>7.3473498325511761E-5</v>
      </c>
      <c r="U1165">
        <f t="shared" si="150"/>
        <v>-1.2119636640616644E-2</v>
      </c>
    </row>
    <row r="1166" spans="10:21" x14ac:dyDescent="0.35">
      <c r="J1166">
        <f t="shared" si="151"/>
        <v>1163</v>
      </c>
      <c r="K1166">
        <f>demanda!D1164</f>
        <v>0</v>
      </c>
      <c r="L1166">
        <f>demanda!I1164</f>
        <v>15</v>
      </c>
      <c r="M1166">
        <v>14.416809279416043</v>
      </c>
      <c r="N1166">
        <f t="shared" si="144"/>
        <v>0.58319072058395705</v>
      </c>
      <c r="O1166">
        <v>7.4087557083441532E-4</v>
      </c>
      <c r="P1166">
        <f t="shared" si="145"/>
        <v>5.8760813658909554E-2</v>
      </c>
      <c r="Q1166">
        <f t="shared" si="146"/>
        <v>98.553306243487526</v>
      </c>
      <c r="R1166">
        <f t="shared" si="147"/>
        <v>5.8767327956256402E-2</v>
      </c>
      <c r="S1166">
        <f t="shared" si="148"/>
        <v>0.95314355069247325</v>
      </c>
      <c r="T1166">
        <f t="shared" si="149"/>
        <v>1.2809572488725558E-6</v>
      </c>
      <c r="U1166">
        <f t="shared" si="150"/>
        <v>1.6001825154010173E-3</v>
      </c>
    </row>
    <row r="1167" spans="10:21" x14ac:dyDescent="0.35">
      <c r="J1167">
        <f t="shared" si="151"/>
        <v>1164</v>
      </c>
      <c r="K1167">
        <f>demanda!D1165</f>
        <v>3</v>
      </c>
      <c r="L1167">
        <f>demanda!I1165</f>
        <v>11</v>
      </c>
      <c r="M1167">
        <v>6.5249082097586548</v>
      </c>
      <c r="N1167">
        <f t="shared" si="144"/>
        <v>4.4750917902413452</v>
      </c>
      <c r="O1167">
        <v>1.3734589687128761E-3</v>
      </c>
      <c r="P1167">
        <f t="shared" si="145"/>
        <v>0.4508988663769925</v>
      </c>
      <c r="Q1167">
        <f t="shared" si="146"/>
        <v>98.543028023320858</v>
      </c>
      <c r="R1167">
        <f t="shared" si="147"/>
        <v>0.45111518275893658</v>
      </c>
      <c r="S1167">
        <f t="shared" si="148"/>
        <v>0.65195750576320555</v>
      </c>
      <c r="T1167">
        <f t="shared" si="149"/>
        <v>1.4000313870442385E-4</v>
      </c>
      <c r="U1167">
        <f t="shared" si="150"/>
        <v>1.6729915084659874E-2</v>
      </c>
    </row>
    <row r="1168" spans="10:21" x14ac:dyDescent="0.35">
      <c r="J1168">
        <f t="shared" si="151"/>
        <v>1165</v>
      </c>
      <c r="K1168">
        <f>demanda!D1166</f>
        <v>0</v>
      </c>
      <c r="L1168">
        <f>demanda!I1166</f>
        <v>15</v>
      </c>
      <c r="M1168">
        <v>14.416809279416043</v>
      </c>
      <c r="N1168">
        <f t="shared" si="144"/>
        <v>0.58319072058395705</v>
      </c>
      <c r="O1168">
        <v>7.4087557083441532E-4</v>
      </c>
      <c r="P1168">
        <f t="shared" si="145"/>
        <v>5.8760813658909554E-2</v>
      </c>
      <c r="Q1168">
        <f t="shared" si="146"/>
        <v>98.553306243487526</v>
      </c>
      <c r="R1168">
        <f t="shared" si="147"/>
        <v>5.8767327956256402E-2</v>
      </c>
      <c r="S1168">
        <f t="shared" si="148"/>
        <v>0.95314355069247325</v>
      </c>
      <c r="T1168">
        <f t="shared" si="149"/>
        <v>1.2809572488725558E-6</v>
      </c>
      <c r="U1168">
        <f t="shared" si="150"/>
        <v>1.6001825154010173E-3</v>
      </c>
    </row>
    <row r="1169" spans="10:21" x14ac:dyDescent="0.35">
      <c r="J1169">
        <f t="shared" si="151"/>
        <v>1166</v>
      </c>
      <c r="K1169">
        <f>demanda!D1167</f>
        <v>0</v>
      </c>
      <c r="L1169">
        <f>demanda!I1167</f>
        <v>15</v>
      </c>
      <c r="M1169">
        <v>14.416809279416043</v>
      </c>
      <c r="N1169">
        <f t="shared" si="144"/>
        <v>0.58319072058395705</v>
      </c>
      <c r="O1169">
        <v>7.4087557083441532E-4</v>
      </c>
      <c r="P1169">
        <f t="shared" si="145"/>
        <v>5.8760813658909554E-2</v>
      </c>
      <c r="Q1169">
        <f t="shared" si="146"/>
        <v>98.553306243487526</v>
      </c>
      <c r="R1169">
        <f t="shared" si="147"/>
        <v>5.8767327956256402E-2</v>
      </c>
      <c r="S1169">
        <f t="shared" si="148"/>
        <v>0.95314355069247325</v>
      </c>
      <c r="T1169">
        <f t="shared" si="149"/>
        <v>1.2809572488725558E-6</v>
      </c>
      <c r="U1169">
        <f t="shared" si="150"/>
        <v>1.6001825154010173E-3</v>
      </c>
    </row>
    <row r="1170" spans="10:21" x14ac:dyDescent="0.35">
      <c r="J1170">
        <f t="shared" si="151"/>
        <v>1167</v>
      </c>
      <c r="K1170">
        <f>demanda!D1168</f>
        <v>0</v>
      </c>
      <c r="L1170">
        <f>demanda!I1168</f>
        <v>15</v>
      </c>
      <c r="M1170">
        <v>14.416809279416043</v>
      </c>
      <c r="N1170">
        <f t="shared" si="144"/>
        <v>0.58319072058395705</v>
      </c>
      <c r="O1170">
        <v>7.4087557083441532E-4</v>
      </c>
      <c r="P1170">
        <f t="shared" si="145"/>
        <v>5.8760813658909554E-2</v>
      </c>
      <c r="Q1170">
        <f t="shared" si="146"/>
        <v>98.553306243487526</v>
      </c>
      <c r="R1170">
        <f t="shared" si="147"/>
        <v>5.8767327956256402E-2</v>
      </c>
      <c r="S1170">
        <f t="shared" si="148"/>
        <v>0.95314355069247325</v>
      </c>
      <c r="T1170">
        <f t="shared" si="149"/>
        <v>1.2809572488725558E-6</v>
      </c>
      <c r="U1170">
        <f t="shared" si="150"/>
        <v>1.6001825154010173E-3</v>
      </c>
    </row>
    <row r="1171" spans="10:21" x14ac:dyDescent="0.35">
      <c r="J1171">
        <f t="shared" si="151"/>
        <v>1168</v>
      </c>
      <c r="K1171">
        <f>demanda!D1169</f>
        <v>0</v>
      </c>
      <c r="L1171">
        <f>demanda!I1169</f>
        <v>15</v>
      </c>
      <c r="M1171">
        <v>14.416809279416043</v>
      </c>
      <c r="N1171">
        <f t="shared" si="144"/>
        <v>0.58319072058395705</v>
      </c>
      <c r="O1171">
        <v>7.4087557083441532E-4</v>
      </c>
      <c r="P1171">
        <f t="shared" si="145"/>
        <v>5.8760813658909554E-2</v>
      </c>
      <c r="Q1171">
        <f t="shared" si="146"/>
        <v>98.553306243487526</v>
      </c>
      <c r="R1171">
        <f t="shared" si="147"/>
        <v>5.8767327956256402E-2</v>
      </c>
      <c r="S1171">
        <f t="shared" si="148"/>
        <v>0.95314355069247325</v>
      </c>
      <c r="T1171">
        <f t="shared" si="149"/>
        <v>1.2809572488725558E-6</v>
      </c>
      <c r="U1171">
        <f t="shared" si="150"/>
        <v>1.6001825154010173E-3</v>
      </c>
    </row>
    <row r="1172" spans="10:21" x14ac:dyDescent="0.35">
      <c r="J1172">
        <f t="shared" si="151"/>
        <v>1169</v>
      </c>
      <c r="K1172">
        <f>demanda!D1170</f>
        <v>0</v>
      </c>
      <c r="L1172">
        <f>demanda!I1170</f>
        <v>15</v>
      </c>
      <c r="M1172">
        <v>14.416809279416043</v>
      </c>
      <c r="N1172">
        <f t="shared" si="144"/>
        <v>0.58319072058395705</v>
      </c>
      <c r="O1172">
        <v>7.4087557083441532E-4</v>
      </c>
      <c r="P1172">
        <f t="shared" si="145"/>
        <v>5.8760813658909554E-2</v>
      </c>
      <c r="Q1172">
        <f t="shared" si="146"/>
        <v>98.553306243487526</v>
      </c>
      <c r="R1172">
        <f t="shared" si="147"/>
        <v>5.8767327956256402E-2</v>
      </c>
      <c r="S1172">
        <f t="shared" si="148"/>
        <v>0.95314355069247325</v>
      </c>
      <c r="T1172">
        <f t="shared" si="149"/>
        <v>1.2809572488725558E-6</v>
      </c>
      <c r="U1172">
        <f t="shared" si="150"/>
        <v>1.6001825154010173E-3</v>
      </c>
    </row>
    <row r="1173" spans="10:21" x14ac:dyDescent="0.35">
      <c r="J1173">
        <f t="shared" si="151"/>
        <v>1170</v>
      </c>
      <c r="K1173">
        <f>demanda!D1171</f>
        <v>0</v>
      </c>
      <c r="L1173">
        <f>demanda!I1171</f>
        <v>15</v>
      </c>
      <c r="M1173">
        <v>14.416809279416043</v>
      </c>
      <c r="N1173">
        <f t="shared" si="144"/>
        <v>0.58319072058395705</v>
      </c>
      <c r="O1173">
        <v>7.4087557083441532E-4</v>
      </c>
      <c r="P1173">
        <f t="shared" si="145"/>
        <v>5.8760813658909554E-2</v>
      </c>
      <c r="Q1173">
        <f t="shared" si="146"/>
        <v>98.553306243487526</v>
      </c>
      <c r="R1173">
        <f t="shared" si="147"/>
        <v>5.8767327956256402E-2</v>
      </c>
      <c r="S1173">
        <f t="shared" si="148"/>
        <v>0.95314355069247325</v>
      </c>
      <c r="T1173">
        <f t="shared" si="149"/>
        <v>1.2809572488725558E-6</v>
      </c>
      <c r="U1173">
        <f t="shared" si="150"/>
        <v>1.6001825154010173E-3</v>
      </c>
    </row>
    <row r="1174" spans="10:21" x14ac:dyDescent="0.35">
      <c r="J1174">
        <f t="shared" si="151"/>
        <v>1171</v>
      </c>
      <c r="K1174">
        <f>demanda!D1172</f>
        <v>0</v>
      </c>
      <c r="L1174">
        <f>demanda!I1172</f>
        <v>15</v>
      </c>
      <c r="M1174">
        <v>14.416809279416043</v>
      </c>
      <c r="N1174">
        <f t="shared" si="144"/>
        <v>0.58319072058395705</v>
      </c>
      <c r="O1174">
        <v>7.4087557083441532E-4</v>
      </c>
      <c r="P1174">
        <f t="shared" si="145"/>
        <v>5.8760813658909554E-2</v>
      </c>
      <c r="Q1174">
        <f t="shared" si="146"/>
        <v>98.553306243487526</v>
      </c>
      <c r="R1174">
        <f t="shared" si="147"/>
        <v>5.8767327956256402E-2</v>
      </c>
      <c r="S1174">
        <f t="shared" si="148"/>
        <v>0.95314355069247325</v>
      </c>
      <c r="T1174">
        <f t="shared" si="149"/>
        <v>1.2809572488725558E-6</v>
      </c>
      <c r="U1174">
        <f t="shared" si="150"/>
        <v>1.6001825154010173E-3</v>
      </c>
    </row>
    <row r="1175" spans="10:21" x14ac:dyDescent="0.35">
      <c r="J1175">
        <f t="shared" si="151"/>
        <v>1172</v>
      </c>
      <c r="K1175">
        <f>demanda!D1173</f>
        <v>0</v>
      </c>
      <c r="L1175">
        <f>demanda!I1173</f>
        <v>15</v>
      </c>
      <c r="M1175">
        <v>14.416809279416043</v>
      </c>
      <c r="N1175">
        <f t="shared" si="144"/>
        <v>0.58319072058395705</v>
      </c>
      <c r="O1175">
        <v>7.4087557083441532E-4</v>
      </c>
      <c r="P1175">
        <f t="shared" si="145"/>
        <v>5.8760813658909554E-2</v>
      </c>
      <c r="Q1175">
        <f t="shared" si="146"/>
        <v>98.553306243487526</v>
      </c>
      <c r="R1175">
        <f t="shared" si="147"/>
        <v>5.8767327956256402E-2</v>
      </c>
      <c r="S1175">
        <f t="shared" si="148"/>
        <v>0.95314355069247325</v>
      </c>
      <c r="T1175">
        <f t="shared" si="149"/>
        <v>1.2809572488725558E-6</v>
      </c>
      <c r="U1175">
        <f t="shared" si="150"/>
        <v>1.6001825154010173E-3</v>
      </c>
    </row>
    <row r="1176" spans="10:21" x14ac:dyDescent="0.35">
      <c r="J1176">
        <f t="shared" si="151"/>
        <v>1173</v>
      </c>
      <c r="K1176">
        <f>demanda!D1174</f>
        <v>0</v>
      </c>
      <c r="L1176">
        <f>demanda!I1174</f>
        <v>15</v>
      </c>
      <c r="M1176">
        <v>14.416809279416043</v>
      </c>
      <c r="N1176">
        <f t="shared" si="144"/>
        <v>0.58319072058395705</v>
      </c>
      <c r="O1176">
        <v>7.4087557083441532E-4</v>
      </c>
      <c r="P1176">
        <f t="shared" si="145"/>
        <v>5.8760813658909554E-2</v>
      </c>
      <c r="Q1176">
        <f t="shared" si="146"/>
        <v>98.553306243487526</v>
      </c>
      <c r="R1176">
        <f t="shared" si="147"/>
        <v>5.8767327956256402E-2</v>
      </c>
      <c r="S1176">
        <f t="shared" si="148"/>
        <v>0.95314355069247325</v>
      </c>
      <c r="T1176">
        <f t="shared" si="149"/>
        <v>1.2809572488725558E-6</v>
      </c>
      <c r="U1176">
        <f t="shared" si="150"/>
        <v>1.6001825154010173E-3</v>
      </c>
    </row>
    <row r="1177" spans="10:21" x14ac:dyDescent="0.35">
      <c r="J1177">
        <f t="shared" si="151"/>
        <v>1174</v>
      </c>
      <c r="K1177">
        <f>demanda!D1175</f>
        <v>0</v>
      </c>
      <c r="L1177">
        <f>demanda!I1175</f>
        <v>15</v>
      </c>
      <c r="M1177">
        <v>14.416809279416043</v>
      </c>
      <c r="N1177">
        <f t="shared" si="144"/>
        <v>0.58319072058395705</v>
      </c>
      <c r="O1177">
        <v>7.4087557083441532E-4</v>
      </c>
      <c r="P1177">
        <f t="shared" si="145"/>
        <v>5.8760813658909554E-2</v>
      </c>
      <c r="Q1177">
        <f t="shared" si="146"/>
        <v>98.553306243487526</v>
      </c>
      <c r="R1177">
        <f t="shared" si="147"/>
        <v>5.8767327956256402E-2</v>
      </c>
      <c r="S1177">
        <f t="shared" si="148"/>
        <v>0.95314355069247325</v>
      </c>
      <c r="T1177">
        <f t="shared" si="149"/>
        <v>1.2809572488725558E-6</v>
      </c>
      <c r="U1177">
        <f t="shared" si="150"/>
        <v>1.6001825154010173E-3</v>
      </c>
    </row>
    <row r="1178" spans="10:21" x14ac:dyDescent="0.35">
      <c r="J1178">
        <f t="shared" si="151"/>
        <v>1175</v>
      </c>
      <c r="K1178">
        <f>demanda!D1176</f>
        <v>0</v>
      </c>
      <c r="L1178">
        <f>demanda!I1176</f>
        <v>15</v>
      </c>
      <c r="M1178">
        <v>14.416809279416043</v>
      </c>
      <c r="N1178">
        <f t="shared" si="144"/>
        <v>0.58319072058395705</v>
      </c>
      <c r="O1178">
        <v>7.4087557083441532E-4</v>
      </c>
      <c r="P1178">
        <f t="shared" si="145"/>
        <v>5.8760813658909554E-2</v>
      </c>
      <c r="Q1178">
        <f t="shared" si="146"/>
        <v>98.553306243487526</v>
      </c>
      <c r="R1178">
        <f t="shared" si="147"/>
        <v>5.8767327956256402E-2</v>
      </c>
      <c r="S1178">
        <f t="shared" si="148"/>
        <v>0.95314355069247325</v>
      </c>
      <c r="T1178">
        <f t="shared" si="149"/>
        <v>1.2809572488725558E-6</v>
      </c>
      <c r="U1178">
        <f t="shared" si="150"/>
        <v>1.6001825154010173E-3</v>
      </c>
    </row>
    <row r="1179" spans="10:21" x14ac:dyDescent="0.35">
      <c r="J1179">
        <f t="shared" si="151"/>
        <v>1176</v>
      </c>
      <c r="K1179">
        <f>demanda!D1177</f>
        <v>0</v>
      </c>
      <c r="L1179">
        <f>demanda!I1177</f>
        <v>15</v>
      </c>
      <c r="M1179">
        <v>14.416809279416043</v>
      </c>
      <c r="N1179">
        <f t="shared" si="144"/>
        <v>0.58319072058395705</v>
      </c>
      <c r="O1179">
        <v>7.4087557083441532E-4</v>
      </c>
      <c r="P1179">
        <f t="shared" si="145"/>
        <v>5.8760813658909554E-2</v>
      </c>
      <c r="Q1179">
        <f t="shared" si="146"/>
        <v>98.553306243487526</v>
      </c>
      <c r="R1179">
        <f t="shared" si="147"/>
        <v>5.8767327956256402E-2</v>
      </c>
      <c r="S1179">
        <f t="shared" si="148"/>
        <v>0.95314355069247325</v>
      </c>
      <c r="T1179">
        <f t="shared" si="149"/>
        <v>1.2809572488725558E-6</v>
      </c>
      <c r="U1179">
        <f t="shared" si="150"/>
        <v>1.6001825154010173E-3</v>
      </c>
    </row>
    <row r="1180" spans="10:21" x14ac:dyDescent="0.35">
      <c r="J1180">
        <f t="shared" si="151"/>
        <v>1177</v>
      </c>
      <c r="K1180">
        <f>demanda!D1178</f>
        <v>0</v>
      </c>
      <c r="L1180">
        <f>demanda!I1178</f>
        <v>15</v>
      </c>
      <c r="M1180">
        <v>14.416809279416043</v>
      </c>
      <c r="N1180">
        <f t="shared" si="144"/>
        <v>0.58319072058395705</v>
      </c>
      <c r="O1180">
        <v>7.4087557083441532E-4</v>
      </c>
      <c r="P1180">
        <f t="shared" si="145"/>
        <v>5.8760813658909554E-2</v>
      </c>
      <c r="Q1180">
        <f t="shared" si="146"/>
        <v>98.553306243487526</v>
      </c>
      <c r="R1180">
        <f t="shared" si="147"/>
        <v>5.8767327956256402E-2</v>
      </c>
      <c r="S1180">
        <f t="shared" si="148"/>
        <v>0.95314355069247325</v>
      </c>
      <c r="T1180">
        <f t="shared" si="149"/>
        <v>1.2809572488725558E-6</v>
      </c>
      <c r="U1180">
        <f t="shared" si="150"/>
        <v>1.6001825154010173E-3</v>
      </c>
    </row>
    <row r="1181" spans="10:21" x14ac:dyDescent="0.35">
      <c r="J1181">
        <f t="shared" si="151"/>
        <v>1178</v>
      </c>
      <c r="K1181">
        <f>demanda!D1179</f>
        <v>0</v>
      </c>
      <c r="L1181">
        <f>demanda!I1179</f>
        <v>15</v>
      </c>
      <c r="M1181">
        <v>14.416809279416043</v>
      </c>
      <c r="N1181">
        <f t="shared" si="144"/>
        <v>0.58319072058395705</v>
      </c>
      <c r="O1181">
        <v>7.4087557083441532E-4</v>
      </c>
      <c r="P1181">
        <f t="shared" si="145"/>
        <v>5.8760813658909554E-2</v>
      </c>
      <c r="Q1181">
        <f t="shared" si="146"/>
        <v>98.553306243487526</v>
      </c>
      <c r="R1181">
        <f t="shared" si="147"/>
        <v>5.8767327956256402E-2</v>
      </c>
      <c r="S1181">
        <f t="shared" si="148"/>
        <v>0.95314355069247325</v>
      </c>
      <c r="T1181">
        <f t="shared" si="149"/>
        <v>1.2809572488725558E-6</v>
      </c>
      <c r="U1181">
        <f t="shared" si="150"/>
        <v>1.6001825154010173E-3</v>
      </c>
    </row>
    <row r="1182" spans="10:21" x14ac:dyDescent="0.35">
      <c r="J1182">
        <f t="shared" si="151"/>
        <v>1179</v>
      </c>
      <c r="K1182">
        <f>demanda!D1180</f>
        <v>1</v>
      </c>
      <c r="L1182">
        <f>demanda!I1180</f>
        <v>15</v>
      </c>
      <c r="M1182">
        <v>11.786175589530247</v>
      </c>
      <c r="N1182">
        <f t="shared" si="144"/>
        <v>3.2138244104697531</v>
      </c>
      <c r="O1182">
        <v>5.2058796926701797E-4</v>
      </c>
      <c r="P1182">
        <f t="shared" si="145"/>
        <v>0.32381677322810093</v>
      </c>
      <c r="Q1182">
        <f t="shared" si="146"/>
        <v>98.548095772403954</v>
      </c>
      <c r="R1182">
        <f t="shared" si="147"/>
        <v>0.3238255414227269</v>
      </c>
      <c r="S1182">
        <f t="shared" si="148"/>
        <v>0.74610540567370975</v>
      </c>
      <c r="T1182">
        <f t="shared" si="149"/>
        <v>2.7322164893932259E-5</v>
      </c>
      <c r="U1182">
        <f t="shared" si="150"/>
        <v>7.390456033686617E-3</v>
      </c>
    </row>
    <row r="1183" spans="10:21" x14ac:dyDescent="0.35">
      <c r="J1183">
        <f t="shared" si="151"/>
        <v>1180</v>
      </c>
      <c r="K1183">
        <f>demanda!D1181</f>
        <v>0</v>
      </c>
      <c r="L1183">
        <f>demanda!I1181</f>
        <v>15</v>
      </c>
      <c r="M1183">
        <v>14.416809279416043</v>
      </c>
      <c r="N1183">
        <f t="shared" si="144"/>
        <v>0.58319072058395705</v>
      </c>
      <c r="O1183">
        <v>7.4087557083441532E-4</v>
      </c>
      <c r="P1183">
        <f t="shared" si="145"/>
        <v>5.8760813658909554E-2</v>
      </c>
      <c r="Q1183">
        <f t="shared" si="146"/>
        <v>98.553306243487526</v>
      </c>
      <c r="R1183">
        <f t="shared" si="147"/>
        <v>5.8767327956256402E-2</v>
      </c>
      <c r="S1183">
        <f t="shared" si="148"/>
        <v>0.95314355069247325</v>
      </c>
      <c r="T1183">
        <f t="shared" si="149"/>
        <v>1.2809572488725558E-6</v>
      </c>
      <c r="U1183">
        <f t="shared" si="150"/>
        <v>1.6001825154010173E-3</v>
      </c>
    </row>
    <row r="1184" spans="10:21" x14ac:dyDescent="0.35">
      <c r="J1184">
        <f t="shared" si="151"/>
        <v>1181</v>
      </c>
      <c r="K1184">
        <f>demanda!D1182</f>
        <v>0</v>
      </c>
      <c r="L1184">
        <f>demanda!I1182</f>
        <v>15</v>
      </c>
      <c r="M1184">
        <v>14.416809279416043</v>
      </c>
      <c r="N1184">
        <f t="shared" si="144"/>
        <v>0.58319072058395705</v>
      </c>
      <c r="O1184">
        <v>7.4087557083441532E-4</v>
      </c>
      <c r="P1184">
        <f t="shared" si="145"/>
        <v>5.8760813658909554E-2</v>
      </c>
      <c r="Q1184">
        <f t="shared" si="146"/>
        <v>98.553306243487526</v>
      </c>
      <c r="R1184">
        <f t="shared" si="147"/>
        <v>5.8767327956256402E-2</v>
      </c>
      <c r="S1184">
        <f t="shared" si="148"/>
        <v>0.95314355069247325</v>
      </c>
      <c r="T1184">
        <f t="shared" si="149"/>
        <v>1.2809572488725558E-6</v>
      </c>
      <c r="U1184">
        <f t="shared" si="150"/>
        <v>1.6001825154010173E-3</v>
      </c>
    </row>
    <row r="1185" spans="10:21" x14ac:dyDescent="0.35">
      <c r="J1185">
        <f t="shared" si="151"/>
        <v>1182</v>
      </c>
      <c r="K1185">
        <f>demanda!D1183</f>
        <v>0</v>
      </c>
      <c r="L1185">
        <f>demanda!I1183</f>
        <v>15</v>
      </c>
      <c r="M1185">
        <v>14.416809279416043</v>
      </c>
      <c r="N1185">
        <f t="shared" si="144"/>
        <v>0.58319072058395705</v>
      </c>
      <c r="O1185">
        <v>7.4087557083441532E-4</v>
      </c>
      <c r="P1185">
        <f t="shared" si="145"/>
        <v>5.8760813658909554E-2</v>
      </c>
      <c r="Q1185">
        <f t="shared" si="146"/>
        <v>98.553306243487526</v>
      </c>
      <c r="R1185">
        <f t="shared" si="147"/>
        <v>5.8767327956256402E-2</v>
      </c>
      <c r="S1185">
        <f t="shared" si="148"/>
        <v>0.95314355069247325</v>
      </c>
      <c r="T1185">
        <f t="shared" si="149"/>
        <v>1.2809572488725558E-6</v>
      </c>
      <c r="U1185">
        <f t="shared" si="150"/>
        <v>1.6001825154010173E-3</v>
      </c>
    </row>
    <row r="1186" spans="10:21" x14ac:dyDescent="0.35">
      <c r="J1186">
        <f t="shared" si="151"/>
        <v>1183</v>
      </c>
      <c r="K1186">
        <f>demanda!D1184</f>
        <v>0</v>
      </c>
      <c r="L1186">
        <f>demanda!I1184</f>
        <v>15</v>
      </c>
      <c r="M1186">
        <v>14.416809279416043</v>
      </c>
      <c r="N1186">
        <f t="shared" si="144"/>
        <v>0.58319072058395705</v>
      </c>
      <c r="O1186">
        <v>7.4087557083441532E-4</v>
      </c>
      <c r="P1186">
        <f t="shared" si="145"/>
        <v>5.8760813658909554E-2</v>
      </c>
      <c r="Q1186">
        <f t="shared" si="146"/>
        <v>98.553306243487526</v>
      </c>
      <c r="R1186">
        <f t="shared" si="147"/>
        <v>5.8767327956256402E-2</v>
      </c>
      <c r="S1186">
        <f t="shared" si="148"/>
        <v>0.95314355069247325</v>
      </c>
      <c r="T1186">
        <f t="shared" si="149"/>
        <v>1.2809572488725558E-6</v>
      </c>
      <c r="U1186">
        <f t="shared" si="150"/>
        <v>1.6001825154010173E-3</v>
      </c>
    </row>
    <row r="1187" spans="10:21" x14ac:dyDescent="0.35">
      <c r="J1187">
        <f t="shared" si="151"/>
        <v>1184</v>
      </c>
      <c r="K1187">
        <f>demanda!D1185</f>
        <v>0</v>
      </c>
      <c r="L1187">
        <f>demanda!I1185</f>
        <v>15</v>
      </c>
      <c r="M1187">
        <v>14.416809279416043</v>
      </c>
      <c r="N1187">
        <f t="shared" si="144"/>
        <v>0.58319072058395705</v>
      </c>
      <c r="O1187">
        <v>7.4087557083441532E-4</v>
      </c>
      <c r="P1187">
        <f t="shared" si="145"/>
        <v>5.8760813658909554E-2</v>
      </c>
      <c r="Q1187">
        <f t="shared" si="146"/>
        <v>98.553306243487526</v>
      </c>
      <c r="R1187">
        <f t="shared" si="147"/>
        <v>5.8767327956256402E-2</v>
      </c>
      <c r="S1187">
        <f t="shared" si="148"/>
        <v>0.95314355069247325</v>
      </c>
      <c r="T1187">
        <f t="shared" si="149"/>
        <v>1.2809572488725558E-6</v>
      </c>
      <c r="U1187">
        <f t="shared" si="150"/>
        <v>1.6001825154010173E-3</v>
      </c>
    </row>
    <row r="1188" spans="10:21" x14ac:dyDescent="0.35">
      <c r="J1188">
        <f t="shared" si="151"/>
        <v>1185</v>
      </c>
      <c r="K1188">
        <f>demanda!D1186</f>
        <v>0</v>
      </c>
      <c r="L1188">
        <f>demanda!I1186</f>
        <v>15</v>
      </c>
      <c r="M1188">
        <v>14.416809279416043</v>
      </c>
      <c r="N1188">
        <f t="shared" si="144"/>
        <v>0.58319072058395705</v>
      </c>
      <c r="O1188">
        <v>7.4087557083441532E-4</v>
      </c>
      <c r="P1188">
        <f t="shared" si="145"/>
        <v>5.8760813658909554E-2</v>
      </c>
      <c r="Q1188">
        <f t="shared" si="146"/>
        <v>98.553306243487526</v>
      </c>
      <c r="R1188">
        <f t="shared" si="147"/>
        <v>5.8767327956256402E-2</v>
      </c>
      <c r="S1188">
        <f t="shared" si="148"/>
        <v>0.95314355069247325</v>
      </c>
      <c r="T1188">
        <f t="shared" si="149"/>
        <v>1.2809572488725558E-6</v>
      </c>
      <c r="U1188">
        <f t="shared" si="150"/>
        <v>1.6001825154010173E-3</v>
      </c>
    </row>
    <row r="1189" spans="10:21" x14ac:dyDescent="0.35">
      <c r="J1189">
        <f t="shared" si="151"/>
        <v>1186</v>
      </c>
      <c r="K1189">
        <f>demanda!D1187</f>
        <v>0</v>
      </c>
      <c r="L1189">
        <f>demanda!I1187</f>
        <v>15</v>
      </c>
      <c r="M1189">
        <v>14.416809279416043</v>
      </c>
      <c r="N1189">
        <f t="shared" si="144"/>
        <v>0.58319072058395705</v>
      </c>
      <c r="O1189">
        <v>7.4087557083441532E-4</v>
      </c>
      <c r="P1189">
        <f t="shared" si="145"/>
        <v>5.8760813658909554E-2</v>
      </c>
      <c r="Q1189">
        <f t="shared" si="146"/>
        <v>98.553306243487526</v>
      </c>
      <c r="R1189">
        <f t="shared" si="147"/>
        <v>5.8767327956256402E-2</v>
      </c>
      <c r="S1189">
        <f t="shared" si="148"/>
        <v>0.95314355069247325</v>
      </c>
      <c r="T1189">
        <f t="shared" si="149"/>
        <v>1.2809572488725558E-6</v>
      </c>
      <c r="U1189">
        <f t="shared" si="150"/>
        <v>1.6001825154010173E-3</v>
      </c>
    </row>
    <row r="1190" spans="10:21" x14ac:dyDescent="0.35">
      <c r="J1190">
        <f t="shared" si="151"/>
        <v>1187</v>
      </c>
      <c r="K1190">
        <f>demanda!D1188</f>
        <v>0</v>
      </c>
      <c r="L1190">
        <f>demanda!I1188</f>
        <v>5</v>
      </c>
      <c r="M1190">
        <v>14.416809279416043</v>
      </c>
      <c r="N1190">
        <f t="shared" si="144"/>
        <v>-9.416809279416043</v>
      </c>
      <c r="O1190">
        <v>7.4087557083441532E-4</v>
      </c>
      <c r="P1190">
        <f t="shared" si="145"/>
        <v>-0.94881375131481849</v>
      </c>
      <c r="Q1190">
        <f t="shared" si="146"/>
        <v>98.507215690706701</v>
      </c>
      <c r="R1190">
        <f t="shared" si="147"/>
        <v>-0.94914090693055775</v>
      </c>
      <c r="S1190">
        <f t="shared" si="148"/>
        <v>0.34266846368408377</v>
      </c>
      <c r="T1190">
        <f t="shared" si="149"/>
        <v>3.339803955874275E-4</v>
      </c>
      <c r="U1190">
        <f t="shared" si="150"/>
        <v>-2.5844269881602652E-2</v>
      </c>
    </row>
    <row r="1191" spans="10:21" x14ac:dyDescent="0.35">
      <c r="J1191">
        <f t="shared" si="151"/>
        <v>1188</v>
      </c>
      <c r="K1191">
        <f>demanda!D1189</f>
        <v>5</v>
      </c>
      <c r="L1191">
        <f>demanda!I1189</f>
        <v>1</v>
      </c>
      <c r="M1191">
        <v>1.2636408299870627</v>
      </c>
      <c r="N1191">
        <f t="shared" si="144"/>
        <v>-0.26364082998706273</v>
      </c>
      <c r="O1191">
        <v>3.9509249049329382E-3</v>
      </c>
      <c r="P1191">
        <f t="shared" si="145"/>
        <v>-2.6563779458352733E-2</v>
      </c>
      <c r="Q1191">
        <f t="shared" si="146"/>
        <v>98.553447318248843</v>
      </c>
      <c r="R1191">
        <f t="shared" si="147"/>
        <v>-2.6609480255749079E-2</v>
      </c>
      <c r="S1191">
        <f t="shared" si="148"/>
        <v>0.97877397851771408</v>
      </c>
      <c r="T1191">
        <f t="shared" si="149"/>
        <v>1.4050346616585871E-6</v>
      </c>
      <c r="U1191">
        <f t="shared" si="150"/>
        <v>-1.6758896203851537E-3</v>
      </c>
    </row>
    <row r="1192" spans="10:21" x14ac:dyDescent="0.35">
      <c r="J1192">
        <f t="shared" si="151"/>
        <v>1189</v>
      </c>
      <c r="K1192">
        <f>demanda!D1190</f>
        <v>2</v>
      </c>
      <c r="L1192">
        <f>demanda!I1190</f>
        <v>2</v>
      </c>
      <c r="M1192">
        <v>9.1555418996444509</v>
      </c>
      <c r="N1192">
        <f t="shared" si="144"/>
        <v>-7.1555418996444509</v>
      </c>
      <c r="O1192">
        <v>7.3144910189317154E-4</v>
      </c>
      <c r="P1192">
        <f t="shared" si="145"/>
        <v>-0.72097420166855408</v>
      </c>
      <c r="Q1192">
        <f t="shared" si="146"/>
        <v>98.526768759022602</v>
      </c>
      <c r="R1192">
        <f t="shared" si="147"/>
        <v>-0.72114782718324122</v>
      </c>
      <c r="S1192">
        <f t="shared" si="148"/>
        <v>0.47090641241117204</v>
      </c>
      <c r="T1192">
        <f t="shared" si="149"/>
        <v>1.9038342084795563E-4</v>
      </c>
      <c r="U1192">
        <f t="shared" si="150"/>
        <v>-1.9510807546913981E-2</v>
      </c>
    </row>
    <row r="1193" spans="10:21" x14ac:dyDescent="0.35">
      <c r="J1193">
        <f t="shared" si="151"/>
        <v>1190</v>
      </c>
      <c r="K1193">
        <f>demanda!D1191</f>
        <v>9</v>
      </c>
      <c r="L1193">
        <f>demanda!I1191</f>
        <v>1</v>
      </c>
      <c r="M1193">
        <v>-9.2588939295561232</v>
      </c>
      <c r="N1193">
        <f t="shared" si="144"/>
        <v>10.258893929556123</v>
      </c>
      <c r="O1193">
        <v>1.4279641587695676E-2</v>
      </c>
      <c r="P1193">
        <f t="shared" si="145"/>
        <v>1.0336600588184131</v>
      </c>
      <c r="Q1193">
        <f t="shared" si="146"/>
        <v>98.497816581458551</v>
      </c>
      <c r="R1193">
        <f t="shared" si="147"/>
        <v>1.0411429785924986</v>
      </c>
      <c r="S1193">
        <f t="shared" si="148"/>
        <v>0.29794034508579298</v>
      </c>
      <c r="T1193">
        <f t="shared" si="149"/>
        <v>7.8511871390236302E-3</v>
      </c>
      <c r="U1193">
        <f t="shared" si="150"/>
        <v>0.12531185674402961</v>
      </c>
    </row>
    <row r="1194" spans="10:21" x14ac:dyDescent="0.35">
      <c r="J1194">
        <f t="shared" si="151"/>
        <v>1191</v>
      </c>
      <c r="K1194">
        <f>demanda!D1192</f>
        <v>0</v>
      </c>
      <c r="L1194">
        <f>demanda!I1192</f>
        <v>12</v>
      </c>
      <c r="M1194">
        <v>14.416809279416043</v>
      </c>
      <c r="N1194">
        <f t="shared" si="144"/>
        <v>-2.416809279416043</v>
      </c>
      <c r="O1194">
        <v>7.4087557083441532E-4</v>
      </c>
      <c r="P1194">
        <f t="shared" si="145"/>
        <v>-0.24351155583320885</v>
      </c>
      <c r="Q1194">
        <f t="shared" si="146"/>
        <v>98.55043610055337</v>
      </c>
      <c r="R1194">
        <f t="shared" si="147"/>
        <v>-0.24354209816225414</v>
      </c>
      <c r="S1194">
        <f t="shared" si="148"/>
        <v>0.80761150818210881</v>
      </c>
      <c r="T1194">
        <f t="shared" si="149"/>
        <v>2.199875915262289E-5</v>
      </c>
      <c r="U1194">
        <f t="shared" si="150"/>
        <v>-6.6314365617133417E-3</v>
      </c>
    </row>
    <row r="1195" spans="10:21" x14ac:dyDescent="0.35">
      <c r="J1195">
        <f t="shared" si="151"/>
        <v>1192</v>
      </c>
      <c r="K1195">
        <f>demanda!D1193</f>
        <v>2</v>
      </c>
      <c r="L1195">
        <f>demanda!I1193</f>
        <v>4</v>
      </c>
      <c r="M1195">
        <v>9.1555418996444509</v>
      </c>
      <c r="N1195">
        <f t="shared" si="144"/>
        <v>-5.1555418996444509</v>
      </c>
      <c r="O1195">
        <v>7.3144910189317154E-4</v>
      </c>
      <c r="P1195">
        <f t="shared" si="145"/>
        <v>-0.51945928867380853</v>
      </c>
      <c r="Q1195">
        <f t="shared" si="146"/>
        <v>98.539615573748293</v>
      </c>
      <c r="R1195">
        <f t="shared" si="147"/>
        <v>-0.51955051447259837</v>
      </c>
      <c r="S1195">
        <f t="shared" si="148"/>
        <v>0.60343681513546954</v>
      </c>
      <c r="T1195">
        <f t="shared" si="149"/>
        <v>9.8830890695332879E-5</v>
      </c>
      <c r="U1195">
        <f t="shared" si="150"/>
        <v>-1.4056549457229766E-2</v>
      </c>
    </row>
    <row r="1196" spans="10:21" x14ac:dyDescent="0.35">
      <c r="J1196">
        <f t="shared" si="151"/>
        <v>1193</v>
      </c>
      <c r="K1196">
        <f>demanda!D1194</f>
        <v>4</v>
      </c>
      <c r="L1196">
        <f>demanda!I1194</f>
        <v>3</v>
      </c>
      <c r="M1196">
        <v>3.8942745198728588</v>
      </c>
      <c r="N1196">
        <f t="shared" si="144"/>
        <v>-0.89427451987285878</v>
      </c>
      <c r="O1196">
        <v>2.4466175697261316E-3</v>
      </c>
      <c r="P1196">
        <f t="shared" si="145"/>
        <v>-9.0104826032798527E-2</v>
      </c>
      <c r="Q1196">
        <f t="shared" si="146"/>
        <v>98.553065719630368</v>
      </c>
      <c r="R1196">
        <f t="shared" si="147"/>
        <v>-9.0191937130002245E-2</v>
      </c>
      <c r="S1196">
        <f t="shared" si="148"/>
        <v>0.92814410376796586</v>
      </c>
      <c r="T1196">
        <f t="shared" si="149"/>
        <v>9.9806748742546123E-6</v>
      </c>
      <c r="U1196">
        <f t="shared" si="150"/>
        <v>-4.4666578568412878E-3</v>
      </c>
    </row>
    <row r="1197" spans="10:21" x14ac:dyDescent="0.35">
      <c r="J1197">
        <f t="shared" si="151"/>
        <v>1194</v>
      </c>
      <c r="K1197">
        <f>demanda!D1195</f>
        <v>3</v>
      </c>
      <c r="L1197">
        <f>demanda!I1195</f>
        <v>3</v>
      </c>
      <c r="M1197">
        <v>6.5249082097586548</v>
      </c>
      <c r="N1197">
        <f t="shared" si="144"/>
        <v>-3.5249082097586548</v>
      </c>
      <c r="O1197">
        <v>1.3734589687128761E-3</v>
      </c>
      <c r="P1197">
        <f t="shared" si="145"/>
        <v>-0.35516078560198994</v>
      </c>
      <c r="Q1197">
        <f t="shared" si="146"/>
        <v>98.546996700749531</v>
      </c>
      <c r="R1197">
        <f t="shared" si="147"/>
        <v>-0.35532401713098288</v>
      </c>
      <c r="S1197">
        <f t="shared" si="148"/>
        <v>0.72238591463660118</v>
      </c>
      <c r="T1197">
        <f t="shared" si="149"/>
        <v>8.6861935283639592E-5</v>
      </c>
      <c r="U1197">
        <f t="shared" si="150"/>
        <v>-1.3177434192717408E-2</v>
      </c>
    </row>
    <row r="1198" spans="10:21" x14ac:dyDescent="0.35">
      <c r="J1198">
        <f t="shared" si="151"/>
        <v>1195</v>
      </c>
      <c r="K1198">
        <f>demanda!D1196</f>
        <v>4</v>
      </c>
      <c r="L1198">
        <f>demanda!I1196</f>
        <v>6</v>
      </c>
      <c r="M1198">
        <v>3.8942745198728588</v>
      </c>
      <c r="N1198">
        <f t="shared" si="144"/>
        <v>2.1057254801271412</v>
      </c>
      <c r="O1198">
        <v>2.4466175697261316E-3</v>
      </c>
      <c r="P1198">
        <f t="shared" si="145"/>
        <v>0.2121675434593199</v>
      </c>
      <c r="Q1198">
        <f t="shared" si="146"/>
        <v>98.551166206303606</v>
      </c>
      <c r="R1198">
        <f t="shared" si="147"/>
        <v>0.21237470841218797</v>
      </c>
      <c r="S1198">
        <f t="shared" si="148"/>
        <v>0.8318372705485767</v>
      </c>
      <c r="T1198">
        <f t="shared" si="149"/>
        <v>5.5337775798269256E-5</v>
      </c>
      <c r="U1198">
        <f t="shared" si="150"/>
        <v>1.0517627075204759E-2</v>
      </c>
    </row>
    <row r="1199" spans="10:21" x14ac:dyDescent="0.35">
      <c r="J1199">
        <f t="shared" si="151"/>
        <v>1196</v>
      </c>
      <c r="K1199">
        <f>demanda!D1197</f>
        <v>0</v>
      </c>
      <c r="L1199">
        <f>demanda!I1197</f>
        <v>20</v>
      </c>
      <c r="M1199">
        <v>14.416809279416043</v>
      </c>
      <c r="N1199">
        <f t="shared" si="144"/>
        <v>5.583190720583957</v>
      </c>
      <c r="O1199">
        <v>7.4087557083441532E-4</v>
      </c>
      <c r="P1199">
        <f t="shared" si="145"/>
        <v>0.56254809614577361</v>
      </c>
      <c r="Q1199">
        <f t="shared" si="146"/>
        <v>98.537219295234792</v>
      </c>
      <c r="R1199">
        <f t="shared" si="147"/>
        <v>0.56265638426953379</v>
      </c>
      <c r="S1199">
        <f t="shared" si="148"/>
        <v>0.57373461200688847</v>
      </c>
      <c r="T1199">
        <f t="shared" si="149"/>
        <v>1.1740277235750991E-4</v>
      </c>
      <c r="U1199">
        <f t="shared" si="150"/>
        <v>1.5320637156704552E-2</v>
      </c>
    </row>
    <row r="1200" spans="10:21" x14ac:dyDescent="0.35">
      <c r="J1200">
        <f t="shared" si="151"/>
        <v>1197</v>
      </c>
      <c r="K1200">
        <f>demanda!D1198</f>
        <v>1</v>
      </c>
      <c r="L1200">
        <f>demanda!I1198</f>
        <v>8</v>
      </c>
      <c r="M1200">
        <v>11.786175589530247</v>
      </c>
      <c r="N1200">
        <f t="shared" si="144"/>
        <v>-3.7861755895302469</v>
      </c>
      <c r="O1200">
        <v>5.2058796926701797E-4</v>
      </c>
      <c r="P1200">
        <f t="shared" si="145"/>
        <v>-0.38148542225350868</v>
      </c>
      <c r="Q1200">
        <f t="shared" si="146"/>
        <v>98.546005811479162</v>
      </c>
      <c r="R1200">
        <f t="shared" si="147"/>
        <v>-0.38149979733331263</v>
      </c>
      <c r="S1200">
        <f t="shared" si="148"/>
        <v>0.70287465676174632</v>
      </c>
      <c r="T1200">
        <f t="shared" si="149"/>
        <v>3.7920348514645389E-5</v>
      </c>
      <c r="U1200">
        <f t="shared" si="150"/>
        <v>-8.7067174092102829E-3</v>
      </c>
    </row>
    <row r="1201" spans="10:21" x14ac:dyDescent="0.35">
      <c r="J1201">
        <f t="shared" si="151"/>
        <v>1198</v>
      </c>
      <c r="K1201">
        <f>demanda!D1199</f>
        <v>0</v>
      </c>
      <c r="L1201">
        <f>demanda!I1199</f>
        <v>11</v>
      </c>
      <c r="M1201">
        <v>14.416809279416043</v>
      </c>
      <c r="N1201">
        <f t="shared" si="144"/>
        <v>-3.416809279416043</v>
      </c>
      <c r="O1201">
        <v>7.4087557083441532E-4</v>
      </c>
      <c r="P1201">
        <f t="shared" si="145"/>
        <v>-0.34426901233058166</v>
      </c>
      <c r="Q1201">
        <f t="shared" si="146"/>
        <v>98.547392334261005</v>
      </c>
      <c r="R1201">
        <f t="shared" si="147"/>
        <v>-0.34431750934619676</v>
      </c>
      <c r="S1201">
        <f t="shared" si="148"/>
        <v>0.73064524437297085</v>
      </c>
      <c r="T1201">
        <f t="shared" si="149"/>
        <v>4.3969841615361785E-5</v>
      </c>
      <c r="U1201">
        <f t="shared" si="150"/>
        <v>-9.3754621379472432E-3</v>
      </c>
    </row>
    <row r="1202" spans="10:21" x14ac:dyDescent="0.35">
      <c r="J1202">
        <f t="shared" si="151"/>
        <v>1199</v>
      </c>
      <c r="K1202">
        <f>demanda!D1200</f>
        <v>1</v>
      </c>
      <c r="L1202">
        <f>demanda!I1200</f>
        <v>8</v>
      </c>
      <c r="M1202">
        <v>11.786175589530247</v>
      </c>
      <c r="N1202">
        <f t="shared" si="144"/>
        <v>-3.7861755895302469</v>
      </c>
      <c r="O1202">
        <v>5.2058796926701797E-4</v>
      </c>
      <c r="P1202">
        <f t="shared" si="145"/>
        <v>-0.38148542225350868</v>
      </c>
      <c r="Q1202">
        <f t="shared" si="146"/>
        <v>98.546005811479162</v>
      </c>
      <c r="R1202">
        <f t="shared" si="147"/>
        <v>-0.38149979733331263</v>
      </c>
      <c r="S1202">
        <f t="shared" si="148"/>
        <v>0.70287465676174632</v>
      </c>
      <c r="T1202">
        <f t="shared" si="149"/>
        <v>3.7920348514645389E-5</v>
      </c>
      <c r="U1202">
        <f t="shared" si="150"/>
        <v>-8.7067174092102829E-3</v>
      </c>
    </row>
    <row r="1203" spans="10:21" x14ac:dyDescent="0.35">
      <c r="J1203">
        <f t="shared" si="151"/>
        <v>1200</v>
      </c>
      <c r="K1203">
        <f>demanda!D1201</f>
        <v>0</v>
      </c>
      <c r="L1203">
        <f>demanda!I1201</f>
        <v>24</v>
      </c>
      <c r="M1203">
        <v>14.416809279416043</v>
      </c>
      <c r="N1203">
        <f t="shared" si="144"/>
        <v>9.583190720583957</v>
      </c>
      <c r="O1203">
        <v>7.4087557083441532E-4</v>
      </c>
      <c r="P1203">
        <f t="shared" si="145"/>
        <v>0.96557792213526483</v>
      </c>
      <c r="Q1203">
        <f t="shared" si="146"/>
        <v>98.505566268803875</v>
      </c>
      <c r="R1203">
        <f t="shared" si="147"/>
        <v>0.9659189449099983</v>
      </c>
      <c r="S1203">
        <f t="shared" si="148"/>
        <v>0.33420645107335933</v>
      </c>
      <c r="T1203">
        <f t="shared" si="149"/>
        <v>3.4588656089781892E-4</v>
      </c>
      <c r="U1203">
        <f t="shared" si="150"/>
        <v>2.6301121059818876E-2</v>
      </c>
    </row>
    <row r="1204" spans="10:21" x14ac:dyDescent="0.35">
      <c r="J1204">
        <f t="shared" si="151"/>
        <v>1201</v>
      </c>
      <c r="K1204">
        <f>demanda!D1202</f>
        <v>3</v>
      </c>
      <c r="L1204">
        <f>demanda!I1202</f>
        <v>2</v>
      </c>
      <c r="M1204">
        <v>6.5249082097586548</v>
      </c>
      <c r="N1204">
        <f t="shared" si="144"/>
        <v>-4.5249082097586548</v>
      </c>
      <c r="O1204">
        <v>1.3734589687128761E-3</v>
      </c>
      <c r="P1204">
        <f t="shared" si="145"/>
        <v>-0.45591824209936271</v>
      </c>
      <c r="Q1204">
        <f t="shared" si="146"/>
        <v>98.542793943857959</v>
      </c>
      <c r="R1204">
        <f t="shared" si="147"/>
        <v>-0.45613750825631832</v>
      </c>
      <c r="S1204">
        <f t="shared" si="148"/>
        <v>0.64834271460897308</v>
      </c>
      <c r="T1204">
        <f t="shared" si="149"/>
        <v>1.4313749884792331E-4</v>
      </c>
      <c r="U1204">
        <f t="shared" si="150"/>
        <v>-1.6916171460658679E-2</v>
      </c>
    </row>
    <row r="1205" spans="10:21" x14ac:dyDescent="0.35">
      <c r="J1205">
        <f t="shared" si="151"/>
        <v>1202</v>
      </c>
      <c r="K1205">
        <f>demanda!D1203</f>
        <v>1</v>
      </c>
      <c r="L1205">
        <f>demanda!I1203</f>
        <v>6</v>
      </c>
      <c r="M1205">
        <v>11.786175589530247</v>
      </c>
      <c r="N1205">
        <f t="shared" si="144"/>
        <v>-5.7861755895302469</v>
      </c>
      <c r="O1205">
        <v>5.2058796926701797E-4</v>
      </c>
      <c r="P1205">
        <f t="shared" si="145"/>
        <v>-0.58300033524825434</v>
      </c>
      <c r="Q1205">
        <f t="shared" si="146"/>
        <v>98.536019015832139</v>
      </c>
      <c r="R1205">
        <f t="shared" si="147"/>
        <v>-0.58305184819450462</v>
      </c>
      <c r="S1205">
        <f t="shared" si="148"/>
        <v>0.55992690572315473</v>
      </c>
      <c r="T1205">
        <f t="shared" si="149"/>
        <v>8.8563349919163143E-5</v>
      </c>
      <c r="U1205">
        <f t="shared" si="150"/>
        <v>-1.3306606484805191E-2</v>
      </c>
    </row>
    <row r="1206" spans="10:21" x14ac:dyDescent="0.35">
      <c r="J1206">
        <f t="shared" si="151"/>
        <v>1203</v>
      </c>
      <c r="K1206">
        <f>demanda!D1204</f>
        <v>3</v>
      </c>
      <c r="L1206">
        <f>demanda!I1204</f>
        <v>2</v>
      </c>
      <c r="M1206">
        <v>6.5249082097586548</v>
      </c>
      <c r="N1206">
        <f t="shared" si="144"/>
        <v>-4.5249082097586548</v>
      </c>
      <c r="O1206">
        <v>1.3734589687128761E-3</v>
      </c>
      <c r="P1206">
        <f t="shared" si="145"/>
        <v>-0.45591824209936271</v>
      </c>
      <c r="Q1206">
        <f t="shared" si="146"/>
        <v>98.542793943857959</v>
      </c>
      <c r="R1206">
        <f t="shared" si="147"/>
        <v>-0.45613750825631832</v>
      </c>
      <c r="S1206">
        <f t="shared" si="148"/>
        <v>0.64834271460897308</v>
      </c>
      <c r="T1206">
        <f t="shared" si="149"/>
        <v>1.4313749884792331E-4</v>
      </c>
      <c r="U1206">
        <f t="shared" si="150"/>
        <v>-1.6916171460658679E-2</v>
      </c>
    </row>
    <row r="1207" spans="10:21" x14ac:dyDescent="0.35">
      <c r="J1207">
        <f t="shared" si="151"/>
        <v>1204</v>
      </c>
      <c r="K1207">
        <f>demanda!D1205</f>
        <v>0</v>
      </c>
      <c r="L1207">
        <f>demanda!I1205</f>
        <v>11</v>
      </c>
      <c r="M1207">
        <v>14.416809279416043</v>
      </c>
      <c r="N1207">
        <f t="shared" si="144"/>
        <v>-3.416809279416043</v>
      </c>
      <c r="O1207">
        <v>7.4087557083441532E-4</v>
      </c>
      <c r="P1207">
        <f t="shared" si="145"/>
        <v>-0.34426901233058166</v>
      </c>
      <c r="Q1207">
        <f t="shared" si="146"/>
        <v>98.547392334261005</v>
      </c>
      <c r="R1207">
        <f t="shared" si="147"/>
        <v>-0.34431750934619676</v>
      </c>
      <c r="S1207">
        <f t="shared" si="148"/>
        <v>0.73064524437297085</v>
      </c>
      <c r="T1207">
        <f t="shared" si="149"/>
        <v>4.3969841615361785E-5</v>
      </c>
      <c r="U1207">
        <f t="shared" si="150"/>
        <v>-9.3754621379472432E-3</v>
      </c>
    </row>
    <row r="1208" spans="10:21" x14ac:dyDescent="0.35">
      <c r="J1208">
        <f t="shared" si="151"/>
        <v>1205</v>
      </c>
      <c r="K1208">
        <f>demanda!D1206</f>
        <v>5</v>
      </c>
      <c r="L1208">
        <f>demanda!I1206</f>
        <v>1</v>
      </c>
      <c r="M1208">
        <v>1.2636408299870627</v>
      </c>
      <c r="N1208">
        <f t="shared" si="144"/>
        <v>-0.26364082998706273</v>
      </c>
      <c r="O1208">
        <v>3.9509249049329382E-3</v>
      </c>
      <c r="P1208">
        <f t="shared" si="145"/>
        <v>-2.6563779458352733E-2</v>
      </c>
      <c r="Q1208">
        <f t="shared" si="146"/>
        <v>98.553447318248843</v>
      </c>
      <c r="R1208">
        <f t="shared" si="147"/>
        <v>-2.6609480255749079E-2</v>
      </c>
      <c r="S1208">
        <f t="shared" si="148"/>
        <v>0.97877397851771408</v>
      </c>
      <c r="T1208">
        <f t="shared" si="149"/>
        <v>1.4050346616585871E-6</v>
      </c>
      <c r="U1208">
        <f t="shared" si="150"/>
        <v>-1.6758896203851537E-3</v>
      </c>
    </row>
    <row r="1209" spans="10:21" x14ac:dyDescent="0.35">
      <c r="J1209">
        <f t="shared" si="151"/>
        <v>1206</v>
      </c>
      <c r="K1209">
        <f>demanda!D1207</f>
        <v>1</v>
      </c>
      <c r="L1209">
        <f>demanda!I1207</f>
        <v>3</v>
      </c>
      <c r="M1209">
        <v>11.786175589530247</v>
      </c>
      <c r="N1209">
        <f t="shared" si="144"/>
        <v>-8.7861755895302469</v>
      </c>
      <c r="O1209">
        <v>5.2058796926701797E-4</v>
      </c>
      <c r="P1209">
        <f t="shared" si="145"/>
        <v>-0.88527270474037267</v>
      </c>
      <c r="Q1209">
        <f t="shared" si="146"/>
        <v>98.513214102399758</v>
      </c>
      <c r="R1209">
        <f t="shared" si="147"/>
        <v>-0.88545339538896362</v>
      </c>
      <c r="S1209">
        <f t="shared" si="148"/>
        <v>0.37602308055069167</v>
      </c>
      <c r="T1209">
        <f t="shared" si="149"/>
        <v>2.0420697614382047E-4</v>
      </c>
      <c r="U1209">
        <f t="shared" si="150"/>
        <v>-2.0208116875988336E-2</v>
      </c>
    </row>
    <row r="1210" spans="10:21" x14ac:dyDescent="0.35">
      <c r="J1210">
        <f t="shared" si="151"/>
        <v>1207</v>
      </c>
      <c r="K1210">
        <f>demanda!D1208</f>
        <v>4</v>
      </c>
      <c r="L1210">
        <f>demanda!I1208</f>
        <v>2</v>
      </c>
      <c r="M1210">
        <v>3.8942745198728588</v>
      </c>
      <c r="N1210">
        <f t="shared" si="144"/>
        <v>-1.8942745198728588</v>
      </c>
      <c r="O1210">
        <v>2.4466175697261316E-3</v>
      </c>
      <c r="P1210">
        <f t="shared" si="145"/>
        <v>-0.19086228253017132</v>
      </c>
      <c r="Q1210">
        <f t="shared" si="146"/>
        <v>98.551608270054842</v>
      </c>
      <c r="R1210">
        <f t="shared" si="147"/>
        <v>-0.19104821608300357</v>
      </c>
      <c r="S1210">
        <f t="shared" si="148"/>
        <v>0.84850802764464628</v>
      </c>
      <c r="T1210">
        <f t="shared" si="149"/>
        <v>4.4782056131641625E-5</v>
      </c>
      <c r="U1210">
        <f t="shared" si="150"/>
        <v>-9.4614556750527434E-3</v>
      </c>
    </row>
    <row r="1211" spans="10:21" x14ac:dyDescent="0.35">
      <c r="J1211">
        <f t="shared" si="151"/>
        <v>1208</v>
      </c>
      <c r="K1211">
        <f>demanda!D1209</f>
        <v>1</v>
      </c>
      <c r="L1211">
        <f>demanda!I1209</f>
        <v>3</v>
      </c>
      <c r="M1211">
        <v>11.786175589530247</v>
      </c>
      <c r="N1211">
        <f t="shared" si="144"/>
        <v>-8.7861755895302469</v>
      </c>
      <c r="O1211">
        <v>5.2058796926701797E-4</v>
      </c>
      <c r="P1211">
        <f t="shared" si="145"/>
        <v>-0.88527270474037267</v>
      </c>
      <c r="Q1211">
        <f t="shared" si="146"/>
        <v>98.513214102399758</v>
      </c>
      <c r="R1211">
        <f t="shared" si="147"/>
        <v>-0.88545339538896362</v>
      </c>
      <c r="S1211">
        <f t="shared" si="148"/>
        <v>0.37602308055069167</v>
      </c>
      <c r="T1211">
        <f t="shared" si="149"/>
        <v>2.0420697614382047E-4</v>
      </c>
      <c r="U1211">
        <f t="shared" si="150"/>
        <v>-2.0208116875988336E-2</v>
      </c>
    </row>
    <row r="1212" spans="10:21" x14ac:dyDescent="0.35">
      <c r="J1212">
        <f t="shared" si="151"/>
        <v>1209</v>
      </c>
      <c r="K1212">
        <f>demanda!D1210</f>
        <v>0</v>
      </c>
      <c r="L1212">
        <f>demanda!I1210</f>
        <v>12</v>
      </c>
      <c r="M1212">
        <v>14.416809279416043</v>
      </c>
      <c r="N1212">
        <f t="shared" si="144"/>
        <v>-2.416809279416043</v>
      </c>
      <c r="O1212">
        <v>7.4087557083441532E-4</v>
      </c>
      <c r="P1212">
        <f t="shared" si="145"/>
        <v>-0.24351155583320885</v>
      </c>
      <c r="Q1212">
        <f t="shared" si="146"/>
        <v>98.55043610055337</v>
      </c>
      <c r="R1212">
        <f t="shared" si="147"/>
        <v>-0.24354209816225414</v>
      </c>
      <c r="S1212">
        <f t="shared" si="148"/>
        <v>0.80761150818210881</v>
      </c>
      <c r="T1212">
        <f t="shared" si="149"/>
        <v>2.199875915262289E-5</v>
      </c>
      <c r="U1212">
        <f t="shared" si="150"/>
        <v>-6.6314365617133417E-3</v>
      </c>
    </row>
    <row r="1213" spans="10:21" x14ac:dyDescent="0.35">
      <c r="J1213">
        <f t="shared" si="151"/>
        <v>1210</v>
      </c>
      <c r="K1213">
        <f>demanda!D1211</f>
        <v>3</v>
      </c>
      <c r="L1213">
        <f>demanda!I1211</f>
        <v>10</v>
      </c>
      <c r="M1213">
        <v>6.5249082097586548</v>
      </c>
      <c r="N1213">
        <f t="shared" si="144"/>
        <v>3.4750917902413452</v>
      </c>
      <c r="O1213">
        <v>1.3734589687128761E-3</v>
      </c>
      <c r="P1213">
        <f t="shared" si="145"/>
        <v>0.35014140987961972</v>
      </c>
      <c r="Q1213">
        <f t="shared" si="146"/>
        <v>98.547178762554012</v>
      </c>
      <c r="R1213">
        <f t="shared" si="147"/>
        <v>0.35030201092410335</v>
      </c>
      <c r="S1213">
        <f t="shared" si="148"/>
        <v>0.72615050111788593</v>
      </c>
      <c r="T1213">
        <f t="shared" si="149"/>
        <v>8.4424099616473345E-5</v>
      </c>
      <c r="U1213">
        <f t="shared" si="150"/>
        <v>1.2991189657825249E-2</v>
      </c>
    </row>
    <row r="1214" spans="10:21" x14ac:dyDescent="0.35">
      <c r="J1214">
        <f t="shared" si="151"/>
        <v>1211</v>
      </c>
      <c r="K1214">
        <f>demanda!D1212</f>
        <v>0</v>
      </c>
      <c r="L1214">
        <f>demanda!I1212</f>
        <v>10</v>
      </c>
      <c r="M1214">
        <v>14.416809279416043</v>
      </c>
      <c r="N1214">
        <f t="shared" si="144"/>
        <v>-4.416809279416043</v>
      </c>
      <c r="O1214">
        <v>7.4087557083441532E-4</v>
      </c>
      <c r="P1214">
        <f t="shared" si="145"/>
        <v>-0.44502646882795449</v>
      </c>
      <c r="Q1214">
        <f t="shared" si="146"/>
        <v>98.543305041978172</v>
      </c>
      <c r="R1214">
        <f t="shared" si="147"/>
        <v>-0.44509838991165818</v>
      </c>
      <c r="S1214">
        <f t="shared" si="148"/>
        <v>0.65629885256814913</v>
      </c>
      <c r="T1214">
        <f t="shared" si="149"/>
        <v>7.3473498325511761E-5</v>
      </c>
      <c r="U1214">
        <f t="shared" si="150"/>
        <v>-1.2119636640616644E-2</v>
      </c>
    </row>
    <row r="1215" spans="10:21" x14ac:dyDescent="0.35">
      <c r="J1215">
        <f t="shared" si="151"/>
        <v>1212</v>
      </c>
      <c r="K1215">
        <f>demanda!D1213</f>
        <v>0</v>
      </c>
      <c r="L1215">
        <f>demanda!I1213</f>
        <v>8</v>
      </c>
      <c r="M1215">
        <v>14.416809279416043</v>
      </c>
      <c r="N1215">
        <f t="shared" si="144"/>
        <v>-6.416809279416043</v>
      </c>
      <c r="O1215">
        <v>7.4087557083441532E-4</v>
      </c>
      <c r="P1215">
        <f t="shared" si="145"/>
        <v>-0.64654138182270005</v>
      </c>
      <c r="Q1215">
        <f t="shared" si="146"/>
        <v>98.531999879441045</v>
      </c>
      <c r="R1215">
        <f t="shared" si="147"/>
        <v>-0.64668296559256133</v>
      </c>
      <c r="S1215">
        <f t="shared" si="148"/>
        <v>0.51791448613837154</v>
      </c>
      <c r="T1215">
        <f t="shared" si="149"/>
        <v>1.5507853448804487E-4</v>
      </c>
      <c r="U1215">
        <f t="shared" si="150"/>
        <v>-1.7608606866032061E-2</v>
      </c>
    </row>
    <row r="1216" spans="10:21" x14ac:dyDescent="0.35">
      <c r="J1216">
        <f t="shared" si="151"/>
        <v>1213</v>
      </c>
      <c r="K1216">
        <f>demanda!D1214</f>
        <v>0</v>
      </c>
      <c r="L1216">
        <f>demanda!I1214</f>
        <v>30</v>
      </c>
      <c r="M1216">
        <v>14.416809279416043</v>
      </c>
      <c r="N1216">
        <f t="shared" si="144"/>
        <v>15.583190720583957</v>
      </c>
      <c r="O1216">
        <v>7.4087557083441532E-4</v>
      </c>
      <c r="P1216">
        <f t="shared" si="145"/>
        <v>1.5701226611195016</v>
      </c>
      <c r="Q1216">
        <f t="shared" si="146"/>
        <v>98.426780949442986</v>
      </c>
      <c r="R1216">
        <f t="shared" si="147"/>
        <v>1.5713056923486881</v>
      </c>
      <c r="S1216">
        <f t="shared" si="148"/>
        <v>0.11627651321307192</v>
      </c>
      <c r="T1216">
        <f t="shared" si="149"/>
        <v>9.1458947113061428E-4</v>
      </c>
      <c r="U1216">
        <f t="shared" si="150"/>
        <v>4.2785268323209155E-2</v>
      </c>
    </row>
    <row r="1217" spans="10:21" x14ac:dyDescent="0.35">
      <c r="J1217">
        <f t="shared" si="151"/>
        <v>1214</v>
      </c>
      <c r="K1217">
        <f>demanda!D1215</f>
        <v>0</v>
      </c>
      <c r="L1217">
        <f>demanda!I1215</f>
        <v>3</v>
      </c>
      <c r="M1217">
        <v>14.416809279416043</v>
      </c>
      <c r="N1217">
        <f t="shared" si="144"/>
        <v>-11.416809279416043</v>
      </c>
      <c r="O1217">
        <v>7.4087557083441532E-4</v>
      </c>
      <c r="P1217">
        <f t="shared" si="145"/>
        <v>-1.150328664309564</v>
      </c>
      <c r="Q1217">
        <f t="shared" si="146"/>
        <v>98.485475268264722</v>
      </c>
      <c r="R1217">
        <f t="shared" si="147"/>
        <v>-1.1508523061099405</v>
      </c>
      <c r="S1217">
        <f t="shared" si="148"/>
        <v>0.24993638008158123</v>
      </c>
      <c r="T1217">
        <f t="shared" si="149"/>
        <v>4.9091117422407117E-4</v>
      </c>
      <c r="U1217">
        <f t="shared" si="150"/>
        <v>-3.1336693399040466E-2</v>
      </c>
    </row>
    <row r="1218" spans="10:21" x14ac:dyDescent="0.35">
      <c r="J1218">
        <f t="shared" si="151"/>
        <v>1215</v>
      </c>
      <c r="K1218">
        <f>demanda!D1216</f>
        <v>1</v>
      </c>
      <c r="L1218">
        <f>demanda!I1216</f>
        <v>4</v>
      </c>
      <c r="M1218">
        <v>11.786175589530247</v>
      </c>
      <c r="N1218">
        <f t="shared" si="144"/>
        <v>-7.7861755895302469</v>
      </c>
      <c r="O1218">
        <v>5.2058796926701797E-4</v>
      </c>
      <c r="P1218">
        <f t="shared" si="145"/>
        <v>-0.7845152482429999</v>
      </c>
      <c r="Q1218">
        <f t="shared" si="146"/>
        <v>98.52185903620547</v>
      </c>
      <c r="R1218">
        <f t="shared" si="147"/>
        <v>-0.784640946599786</v>
      </c>
      <c r="S1218">
        <f t="shared" si="148"/>
        <v>0.43276096337473069</v>
      </c>
      <c r="T1218">
        <f t="shared" si="149"/>
        <v>1.6036855085321727E-4</v>
      </c>
      <c r="U1218">
        <f t="shared" si="150"/>
        <v>-1.7907341071981879E-2</v>
      </c>
    </row>
    <row r="1219" spans="10:21" x14ac:dyDescent="0.35">
      <c r="J1219">
        <f t="shared" si="151"/>
        <v>1216</v>
      </c>
      <c r="K1219">
        <f>demanda!D1217</f>
        <v>2</v>
      </c>
      <c r="L1219">
        <f>demanda!I1217</f>
        <v>3</v>
      </c>
      <c r="M1219">
        <v>9.1555418996444509</v>
      </c>
      <c r="N1219">
        <f t="shared" si="144"/>
        <v>-6.1555418996444509</v>
      </c>
      <c r="O1219">
        <v>7.3144910189317154E-4</v>
      </c>
      <c r="P1219">
        <f t="shared" si="145"/>
        <v>-0.62021674517118131</v>
      </c>
      <c r="Q1219">
        <f t="shared" si="146"/>
        <v>98.533713924458709</v>
      </c>
      <c r="R1219">
        <f t="shared" si="147"/>
        <v>-0.62034424251421916</v>
      </c>
      <c r="S1219">
        <f t="shared" si="148"/>
        <v>0.53510483257501296</v>
      </c>
      <c r="T1219">
        <f t="shared" si="149"/>
        <v>1.4088885884323287E-4</v>
      </c>
      <c r="U1219">
        <f t="shared" si="150"/>
        <v>-1.6783545165498539E-2</v>
      </c>
    </row>
    <row r="1220" spans="10:21" x14ac:dyDescent="0.35">
      <c r="J1220">
        <f t="shared" si="151"/>
        <v>1217</v>
      </c>
      <c r="K1220">
        <f>demanda!D1218</f>
        <v>4</v>
      </c>
      <c r="L1220">
        <f>demanda!I1218</f>
        <v>3</v>
      </c>
      <c r="M1220">
        <v>3.8942745198728588</v>
      </c>
      <c r="N1220">
        <f t="shared" si="144"/>
        <v>-0.89427451987285878</v>
      </c>
      <c r="O1220">
        <v>2.4466175697261316E-3</v>
      </c>
      <c r="P1220">
        <f t="shared" si="145"/>
        <v>-9.0104826032798527E-2</v>
      </c>
      <c r="Q1220">
        <f t="shared" si="146"/>
        <v>98.553065719630368</v>
      </c>
      <c r="R1220">
        <f t="shared" si="147"/>
        <v>-9.0191937130002245E-2</v>
      </c>
      <c r="S1220">
        <f t="shared" si="148"/>
        <v>0.92814410376796586</v>
      </c>
      <c r="T1220">
        <f t="shared" si="149"/>
        <v>9.9806748742546123E-6</v>
      </c>
      <c r="U1220">
        <f t="shared" si="150"/>
        <v>-4.4666578568412878E-3</v>
      </c>
    </row>
    <row r="1221" spans="10:21" x14ac:dyDescent="0.35">
      <c r="J1221">
        <f t="shared" si="151"/>
        <v>1218</v>
      </c>
      <c r="K1221">
        <f>demanda!D1219</f>
        <v>0</v>
      </c>
      <c r="L1221">
        <f>demanda!I1219</f>
        <v>18</v>
      </c>
      <c r="M1221">
        <v>14.416809279416043</v>
      </c>
      <c r="N1221">
        <f t="shared" ref="N1221:N1284" si="152">L1221-M1221</f>
        <v>3.583190720583957</v>
      </c>
      <c r="O1221">
        <v>7.4087557083441532E-4</v>
      </c>
      <c r="P1221">
        <f t="shared" ref="P1221:P1284" si="153">N1221/SQRT($X$6)</f>
        <v>0.36103318315102795</v>
      </c>
      <c r="Q1221">
        <f t="shared" ref="Q1221:Q1284" si="154">($X$6-N1221^2/((1-O1221)*$X$5))*$X$5/($X$5-1)</f>
        <v>98.546784652507341</v>
      </c>
      <c r="R1221">
        <f t="shared" ref="R1221:R1284" si="155">N1221/SQRT(Q1221*(1-O1221))</f>
        <v>0.3610851550254302</v>
      </c>
      <c r="S1221">
        <f t="shared" ref="S1221:S1284" si="156">_xlfn.T.DIST.2T(ABS(R1221),$X$5)</f>
        <v>0.7180755365508017</v>
      </c>
      <c r="T1221">
        <f t="shared" ref="T1221:T1284" si="157">(N1221^2/$X$6)*(O1221/(1-O1221)^2)/($X$7+1)</f>
        <v>4.8356323571821784E-5</v>
      </c>
      <c r="U1221">
        <f t="shared" ref="U1221:U1284" si="158">R1221*SQRT(O1221/(1-O1221))</f>
        <v>9.8320303429934326E-3</v>
      </c>
    </row>
    <row r="1222" spans="10:21" x14ac:dyDescent="0.35">
      <c r="J1222">
        <f t="shared" ref="J1222:J1285" si="159">J1221+1</f>
        <v>1219</v>
      </c>
      <c r="K1222">
        <f>demanda!D1220</f>
        <v>1</v>
      </c>
      <c r="L1222">
        <f>demanda!I1220</f>
        <v>4</v>
      </c>
      <c r="M1222">
        <v>11.786175589530247</v>
      </c>
      <c r="N1222">
        <f t="shared" si="152"/>
        <v>-7.7861755895302469</v>
      </c>
      <c r="O1222">
        <v>5.2058796926701797E-4</v>
      </c>
      <c r="P1222">
        <f t="shared" si="153"/>
        <v>-0.7845152482429999</v>
      </c>
      <c r="Q1222">
        <f t="shared" si="154"/>
        <v>98.52185903620547</v>
      </c>
      <c r="R1222">
        <f t="shared" si="155"/>
        <v>-0.784640946599786</v>
      </c>
      <c r="S1222">
        <f t="shared" si="156"/>
        <v>0.43276096337473069</v>
      </c>
      <c r="T1222">
        <f t="shared" si="157"/>
        <v>1.6036855085321727E-4</v>
      </c>
      <c r="U1222">
        <f t="shared" si="158"/>
        <v>-1.7907341071981879E-2</v>
      </c>
    </row>
    <row r="1223" spans="10:21" x14ac:dyDescent="0.35">
      <c r="J1223">
        <f t="shared" si="159"/>
        <v>1220</v>
      </c>
      <c r="K1223">
        <f>demanda!D1221</f>
        <v>1</v>
      </c>
      <c r="L1223">
        <f>demanda!I1221</f>
        <v>3</v>
      </c>
      <c r="M1223">
        <v>11.786175589530247</v>
      </c>
      <c r="N1223">
        <f t="shared" si="152"/>
        <v>-8.7861755895302469</v>
      </c>
      <c r="O1223">
        <v>5.2058796926701797E-4</v>
      </c>
      <c r="P1223">
        <f t="shared" si="153"/>
        <v>-0.88527270474037267</v>
      </c>
      <c r="Q1223">
        <f t="shared" si="154"/>
        <v>98.513214102399758</v>
      </c>
      <c r="R1223">
        <f t="shared" si="155"/>
        <v>-0.88545339538896362</v>
      </c>
      <c r="S1223">
        <f t="shared" si="156"/>
        <v>0.37602308055069167</v>
      </c>
      <c r="T1223">
        <f t="shared" si="157"/>
        <v>2.0420697614382047E-4</v>
      </c>
      <c r="U1223">
        <f t="shared" si="158"/>
        <v>-2.0208116875988336E-2</v>
      </c>
    </row>
    <row r="1224" spans="10:21" x14ac:dyDescent="0.35">
      <c r="J1224">
        <f t="shared" si="159"/>
        <v>1221</v>
      </c>
      <c r="K1224">
        <f>demanda!D1222</f>
        <v>3</v>
      </c>
      <c r="L1224">
        <f>demanda!I1222</f>
        <v>2</v>
      </c>
      <c r="M1224">
        <v>6.5249082097586548</v>
      </c>
      <c r="N1224">
        <f t="shared" si="152"/>
        <v>-4.5249082097586548</v>
      </c>
      <c r="O1224">
        <v>1.3734589687128761E-3</v>
      </c>
      <c r="P1224">
        <f t="shared" si="153"/>
        <v>-0.45591824209936271</v>
      </c>
      <c r="Q1224">
        <f t="shared" si="154"/>
        <v>98.542793943857959</v>
      </c>
      <c r="R1224">
        <f t="shared" si="155"/>
        <v>-0.45613750825631832</v>
      </c>
      <c r="S1224">
        <f t="shared" si="156"/>
        <v>0.64834271460897308</v>
      </c>
      <c r="T1224">
        <f t="shared" si="157"/>
        <v>1.4313749884792331E-4</v>
      </c>
      <c r="U1224">
        <f t="shared" si="158"/>
        <v>-1.6916171460658679E-2</v>
      </c>
    </row>
    <row r="1225" spans="10:21" x14ac:dyDescent="0.35">
      <c r="J1225">
        <f t="shared" si="159"/>
        <v>1222</v>
      </c>
      <c r="K1225">
        <f>demanda!D1223</f>
        <v>0</v>
      </c>
      <c r="L1225">
        <f>demanda!I1223</f>
        <v>12</v>
      </c>
      <c r="M1225">
        <v>14.416809279416043</v>
      </c>
      <c r="N1225">
        <f t="shared" si="152"/>
        <v>-2.416809279416043</v>
      </c>
      <c r="O1225">
        <v>7.4087557083441532E-4</v>
      </c>
      <c r="P1225">
        <f t="shared" si="153"/>
        <v>-0.24351155583320885</v>
      </c>
      <c r="Q1225">
        <f t="shared" si="154"/>
        <v>98.55043610055337</v>
      </c>
      <c r="R1225">
        <f t="shared" si="155"/>
        <v>-0.24354209816225414</v>
      </c>
      <c r="S1225">
        <f t="shared" si="156"/>
        <v>0.80761150818210881</v>
      </c>
      <c r="T1225">
        <f t="shared" si="157"/>
        <v>2.199875915262289E-5</v>
      </c>
      <c r="U1225">
        <f t="shared" si="158"/>
        <v>-6.6314365617133417E-3</v>
      </c>
    </row>
    <row r="1226" spans="10:21" x14ac:dyDescent="0.35">
      <c r="J1226">
        <f t="shared" si="159"/>
        <v>1223</v>
      </c>
      <c r="K1226">
        <f>demanda!D1224</f>
        <v>0</v>
      </c>
      <c r="L1226">
        <f>demanda!I1224</f>
        <v>23</v>
      </c>
      <c r="M1226">
        <v>14.416809279416043</v>
      </c>
      <c r="N1226">
        <f t="shared" si="152"/>
        <v>8.583190720583957</v>
      </c>
      <c r="O1226">
        <v>7.4087557083441532E-4</v>
      </c>
      <c r="P1226">
        <f t="shared" si="153"/>
        <v>0.86482046563789194</v>
      </c>
      <c r="Q1226">
        <f t="shared" si="154"/>
        <v>98.515044814397314</v>
      </c>
      <c r="R1226">
        <f t="shared" si="155"/>
        <v>0.86508428320119957</v>
      </c>
      <c r="S1226">
        <f t="shared" si="156"/>
        <v>0.38710065879826105</v>
      </c>
      <c r="T1226">
        <f t="shared" si="157"/>
        <v>2.7746675239162511E-4</v>
      </c>
      <c r="U1226">
        <f t="shared" si="158"/>
        <v>2.3555482144044106E-2</v>
      </c>
    </row>
    <row r="1227" spans="10:21" x14ac:dyDescent="0.35">
      <c r="J1227">
        <f t="shared" si="159"/>
        <v>1224</v>
      </c>
      <c r="K1227">
        <f>demanda!D1225</f>
        <v>0</v>
      </c>
      <c r="L1227">
        <f>demanda!I1225</f>
        <v>13</v>
      </c>
      <c r="M1227">
        <v>14.416809279416043</v>
      </c>
      <c r="N1227">
        <f t="shared" si="152"/>
        <v>-1.416809279416043</v>
      </c>
      <c r="O1227">
        <v>7.4087557083441532E-4</v>
      </c>
      <c r="P1227">
        <f t="shared" si="153"/>
        <v>-0.14275409933583605</v>
      </c>
      <c r="Q1227">
        <f t="shared" si="154"/>
        <v>98.552436340855238</v>
      </c>
      <c r="R1227">
        <f t="shared" si="155"/>
        <v>-0.14277055533334676</v>
      </c>
      <c r="S1227">
        <f t="shared" si="156"/>
        <v>0.88648638054980111</v>
      </c>
      <c r="T1227">
        <f t="shared" si="157"/>
        <v>7.5602509372950483E-6</v>
      </c>
      <c r="U1227">
        <f t="shared" si="158"/>
        <v>-3.8875163173756836E-3</v>
      </c>
    </row>
    <row r="1228" spans="10:21" x14ac:dyDescent="0.35">
      <c r="J1228">
        <f t="shared" si="159"/>
        <v>1225</v>
      </c>
      <c r="K1228">
        <f>demanda!D1226</f>
        <v>1</v>
      </c>
      <c r="L1228">
        <f>demanda!I1226</f>
        <v>23</v>
      </c>
      <c r="M1228">
        <v>11.786175589530247</v>
      </c>
      <c r="N1228">
        <f t="shared" si="152"/>
        <v>11.213824410469753</v>
      </c>
      <c r="O1228">
        <v>5.2058796926701797E-4</v>
      </c>
      <c r="P1228">
        <f t="shared" si="153"/>
        <v>1.1298764252070834</v>
      </c>
      <c r="Q1228">
        <f t="shared" si="154"/>
        <v>98.487886539480343</v>
      </c>
      <c r="R1228">
        <f t="shared" si="155"/>
        <v>1.1302523434887231</v>
      </c>
      <c r="S1228">
        <f t="shared" si="156"/>
        <v>0.25851115461957513</v>
      </c>
      <c r="T1228">
        <f t="shared" si="157"/>
        <v>3.3264294798473435E-4</v>
      </c>
      <c r="U1228">
        <f t="shared" si="158"/>
        <v>2.5795001267736418E-2</v>
      </c>
    </row>
    <row r="1229" spans="10:21" x14ac:dyDescent="0.35">
      <c r="J1229">
        <f t="shared" si="159"/>
        <v>1226</v>
      </c>
      <c r="K1229">
        <f>demanda!D1227</f>
        <v>0</v>
      </c>
      <c r="L1229">
        <f>demanda!I1227</f>
        <v>33</v>
      </c>
      <c r="M1229">
        <v>14.416809279416043</v>
      </c>
      <c r="N1229">
        <f t="shared" si="152"/>
        <v>18.583190720583957</v>
      </c>
      <c r="O1229">
        <v>7.4087557083441532E-4</v>
      </c>
      <c r="P1229">
        <f t="shared" si="153"/>
        <v>1.8723950306116202</v>
      </c>
      <c r="Q1229">
        <f t="shared" si="154"/>
        <v>98.373300688890978</v>
      </c>
      <c r="R1229">
        <f t="shared" si="155"/>
        <v>1.874315087650279</v>
      </c>
      <c r="S1229">
        <f t="shared" si="156"/>
        <v>6.1038824663208376E-2</v>
      </c>
      <c r="T1229">
        <f t="shared" si="157"/>
        <v>1.3006306785870612E-3</v>
      </c>
      <c r="U1229">
        <f t="shared" si="158"/>
        <v>5.1035946943900491E-2</v>
      </c>
    </row>
    <row r="1230" spans="10:21" x14ac:dyDescent="0.35">
      <c r="J1230">
        <f t="shared" si="159"/>
        <v>1227</v>
      </c>
      <c r="K1230">
        <f>demanda!D1228</f>
        <v>1</v>
      </c>
      <c r="L1230">
        <f>demanda!I1228</f>
        <v>19</v>
      </c>
      <c r="M1230">
        <v>11.786175589530247</v>
      </c>
      <c r="N1230">
        <f t="shared" si="152"/>
        <v>7.2138244104697531</v>
      </c>
      <c r="O1230">
        <v>5.2058796926701797E-4</v>
      </c>
      <c r="P1230">
        <f t="shared" si="153"/>
        <v>0.7268465992175922</v>
      </c>
      <c r="Q1230">
        <f t="shared" si="154"/>
        <v>98.526337523901447</v>
      </c>
      <c r="R1230">
        <f t="shared" si="155"/>
        <v>0.7269465355179825</v>
      </c>
      <c r="S1230">
        <f t="shared" si="156"/>
        <v>0.46734737556315276</v>
      </c>
      <c r="T1230">
        <f t="shared" si="157"/>
        <v>1.3765815738026057E-4</v>
      </c>
      <c r="U1230">
        <f t="shared" si="158"/>
        <v>1.6590619708323609E-2</v>
      </c>
    </row>
    <row r="1231" spans="10:21" x14ac:dyDescent="0.35">
      <c r="J1231">
        <f t="shared" si="159"/>
        <v>1228</v>
      </c>
      <c r="K1231">
        <f>demanda!D1229</f>
        <v>0</v>
      </c>
      <c r="L1231">
        <f>demanda!I1229</f>
        <v>97</v>
      </c>
      <c r="M1231">
        <v>14.416809279416043</v>
      </c>
      <c r="N1231">
        <f t="shared" si="152"/>
        <v>82.583190720583957</v>
      </c>
      <c r="O1231">
        <v>7.4087557083441532E-4</v>
      </c>
      <c r="P1231">
        <f t="shared" si="153"/>
        <v>8.3208722464434803</v>
      </c>
      <c r="Q1231">
        <f t="shared" si="154"/>
        <v>94.995068740183669</v>
      </c>
      <c r="R1231">
        <f t="shared" si="155"/>
        <v>8.4762169984571667</v>
      </c>
      <c r="S1231">
        <f t="shared" si="156"/>
        <v>4.5663000980308296E-17</v>
      </c>
      <c r="T1231">
        <f t="shared" si="157"/>
        <v>2.5686015624107248E-2</v>
      </c>
      <c r="U1231">
        <f t="shared" si="158"/>
        <v>0.23079991398914834</v>
      </c>
    </row>
    <row r="1232" spans="10:21" x14ac:dyDescent="0.35">
      <c r="J1232">
        <f t="shared" si="159"/>
        <v>1229</v>
      </c>
      <c r="K1232">
        <f>demanda!D1230</f>
        <v>0</v>
      </c>
      <c r="L1232">
        <f>demanda!I1230</f>
        <v>21</v>
      </c>
      <c r="M1232">
        <v>14.416809279416043</v>
      </c>
      <c r="N1232">
        <f t="shared" si="152"/>
        <v>6.583190720583957</v>
      </c>
      <c r="O1232">
        <v>7.4087557083441532E-4</v>
      </c>
      <c r="P1232">
        <f t="shared" si="153"/>
        <v>0.66330555264314639</v>
      </c>
      <c r="Q1232">
        <f t="shared" si="154"/>
        <v>98.530871327612786</v>
      </c>
      <c r="R1232">
        <f t="shared" si="155"/>
        <v>0.66345460704039183</v>
      </c>
      <c r="S1232">
        <f t="shared" si="156"/>
        <v>0.507119133075143</v>
      </c>
      <c r="T1232">
        <f t="shared" si="157"/>
        <v>1.6322485812147056E-4</v>
      </c>
      <c r="U1232">
        <f t="shared" si="158"/>
        <v>1.8065283872333419E-2</v>
      </c>
    </row>
    <row r="1233" spans="10:21" x14ac:dyDescent="0.35">
      <c r="J1233">
        <f t="shared" si="159"/>
        <v>1230</v>
      </c>
      <c r="K1233">
        <f>demanda!D1231</f>
        <v>0</v>
      </c>
      <c r="L1233">
        <f>demanda!I1231</f>
        <v>20</v>
      </c>
      <c r="M1233">
        <v>14.416809279416043</v>
      </c>
      <c r="N1233">
        <f t="shared" si="152"/>
        <v>5.583190720583957</v>
      </c>
      <c r="O1233">
        <v>7.4087557083441532E-4</v>
      </c>
      <c r="P1233">
        <f t="shared" si="153"/>
        <v>0.56254809614577361</v>
      </c>
      <c r="Q1233">
        <f t="shared" si="154"/>
        <v>98.537219295234792</v>
      </c>
      <c r="R1233">
        <f t="shared" si="155"/>
        <v>0.56265638426953379</v>
      </c>
      <c r="S1233">
        <f t="shared" si="156"/>
        <v>0.57373461200688847</v>
      </c>
      <c r="T1233">
        <f t="shared" si="157"/>
        <v>1.1740277235750991E-4</v>
      </c>
      <c r="U1233">
        <f t="shared" si="158"/>
        <v>1.5320637156704552E-2</v>
      </c>
    </row>
    <row r="1234" spans="10:21" x14ac:dyDescent="0.35">
      <c r="J1234">
        <f t="shared" si="159"/>
        <v>1231</v>
      </c>
      <c r="K1234">
        <f>demanda!D1232</f>
        <v>0</v>
      </c>
      <c r="L1234">
        <f>demanda!I1232</f>
        <v>4</v>
      </c>
      <c r="M1234">
        <v>14.416809279416043</v>
      </c>
      <c r="N1234">
        <f t="shared" si="152"/>
        <v>-10.416809279416043</v>
      </c>
      <c r="O1234">
        <v>7.4087557083441532E-4</v>
      </c>
      <c r="P1234">
        <f t="shared" si="153"/>
        <v>-1.0495712078121913</v>
      </c>
      <c r="Q1234">
        <f t="shared" si="154"/>
        <v>98.49686724248096</v>
      </c>
      <c r="R1234">
        <f t="shared" si="155"/>
        <v>-1.049988258586362</v>
      </c>
      <c r="S1234">
        <f t="shared" si="156"/>
        <v>0.29385572056513598</v>
      </c>
      <c r="T1234">
        <f t="shared" si="157"/>
        <v>4.0867949778204384E-4</v>
      </c>
      <c r="U1234">
        <f t="shared" si="158"/>
        <v>-2.8590254333443563E-2</v>
      </c>
    </row>
    <row r="1235" spans="10:21" x14ac:dyDescent="0.35">
      <c r="J1235">
        <f t="shared" si="159"/>
        <v>1232</v>
      </c>
      <c r="K1235">
        <f>demanda!D1233</f>
        <v>0</v>
      </c>
      <c r="L1235">
        <f>demanda!I1233</f>
        <v>40</v>
      </c>
      <c r="M1235">
        <v>14.416809279416043</v>
      </c>
      <c r="N1235">
        <f t="shared" si="152"/>
        <v>25.583190720583957</v>
      </c>
      <c r="O1235">
        <v>7.4087557083441532E-4</v>
      </c>
      <c r="P1235">
        <f t="shared" si="153"/>
        <v>2.5776972260932296</v>
      </c>
      <c r="Q1235">
        <f t="shared" si="154"/>
        <v>98.21199000460274</v>
      </c>
      <c r="R1235">
        <f t="shared" si="155"/>
        <v>2.5824587411548356</v>
      </c>
      <c r="S1235">
        <f t="shared" si="156"/>
        <v>9.8833728120095964E-3</v>
      </c>
      <c r="T1235">
        <f t="shared" si="157"/>
        <v>2.4650335946448249E-3</v>
      </c>
      <c r="U1235">
        <f t="shared" si="158"/>
        <v>7.0318074141748538E-2</v>
      </c>
    </row>
    <row r="1236" spans="10:21" x14ac:dyDescent="0.35">
      <c r="J1236">
        <f t="shared" si="159"/>
        <v>1233</v>
      </c>
      <c r="K1236">
        <f>demanda!D1234</f>
        <v>3</v>
      </c>
      <c r="L1236">
        <f>demanda!I1234</f>
        <v>4</v>
      </c>
      <c r="M1236">
        <v>6.5249082097586548</v>
      </c>
      <c r="N1236">
        <f t="shared" si="152"/>
        <v>-2.5249082097586548</v>
      </c>
      <c r="O1236">
        <v>1.3734589687128761E-3</v>
      </c>
      <c r="P1236">
        <f t="shared" si="153"/>
        <v>-0.2544033291046171</v>
      </c>
      <c r="Q1236">
        <f t="shared" si="154"/>
        <v>98.550155270625524</v>
      </c>
      <c r="R1236">
        <f t="shared" si="155"/>
        <v>-0.25451617384299874</v>
      </c>
      <c r="S1236">
        <f t="shared" si="156"/>
        <v>0.79912408038987892</v>
      </c>
      <c r="T1236">
        <f t="shared" si="157"/>
        <v>4.4568197050885148E-5</v>
      </c>
      <c r="U1236">
        <f t="shared" si="158"/>
        <v>-9.4389063786870474E-3</v>
      </c>
    </row>
    <row r="1237" spans="10:21" x14ac:dyDescent="0.35">
      <c r="J1237">
        <f t="shared" si="159"/>
        <v>1234</v>
      </c>
      <c r="K1237">
        <f>demanda!D1235</f>
        <v>2</v>
      </c>
      <c r="L1237">
        <f>demanda!I1235</f>
        <v>2</v>
      </c>
      <c r="M1237">
        <v>9.1555418996444509</v>
      </c>
      <c r="N1237">
        <f t="shared" si="152"/>
        <v>-7.1555418996444509</v>
      </c>
      <c r="O1237">
        <v>7.3144910189317154E-4</v>
      </c>
      <c r="P1237">
        <f t="shared" si="153"/>
        <v>-0.72097420166855408</v>
      </c>
      <c r="Q1237">
        <f t="shared" si="154"/>
        <v>98.526768759022602</v>
      </c>
      <c r="R1237">
        <f t="shared" si="155"/>
        <v>-0.72114782718324122</v>
      </c>
      <c r="S1237">
        <f t="shared" si="156"/>
        <v>0.47090641241117204</v>
      </c>
      <c r="T1237">
        <f t="shared" si="157"/>
        <v>1.9038342084795563E-4</v>
      </c>
      <c r="U1237">
        <f t="shared" si="158"/>
        <v>-1.9510807546913981E-2</v>
      </c>
    </row>
    <row r="1238" spans="10:21" x14ac:dyDescent="0.35">
      <c r="J1238">
        <f t="shared" si="159"/>
        <v>1235</v>
      </c>
      <c r="K1238">
        <f>demanda!D1236</f>
        <v>1</v>
      </c>
      <c r="L1238">
        <f>demanda!I1236</f>
        <v>3</v>
      </c>
      <c r="M1238">
        <v>11.786175589530247</v>
      </c>
      <c r="N1238">
        <f t="shared" si="152"/>
        <v>-8.7861755895302469</v>
      </c>
      <c r="O1238">
        <v>5.2058796926701797E-4</v>
      </c>
      <c r="P1238">
        <f t="shared" si="153"/>
        <v>-0.88527270474037267</v>
      </c>
      <c r="Q1238">
        <f t="shared" si="154"/>
        <v>98.513214102399758</v>
      </c>
      <c r="R1238">
        <f t="shared" si="155"/>
        <v>-0.88545339538896362</v>
      </c>
      <c r="S1238">
        <f t="shared" si="156"/>
        <v>0.37602308055069167</v>
      </c>
      <c r="T1238">
        <f t="shared" si="157"/>
        <v>2.0420697614382047E-4</v>
      </c>
      <c r="U1238">
        <f t="shared" si="158"/>
        <v>-2.0208116875988336E-2</v>
      </c>
    </row>
    <row r="1239" spans="10:21" x14ac:dyDescent="0.35">
      <c r="J1239">
        <f t="shared" si="159"/>
        <v>1236</v>
      </c>
      <c r="K1239">
        <f>demanda!D1237</f>
        <v>0</v>
      </c>
      <c r="L1239">
        <f>demanda!I1237</f>
        <v>11</v>
      </c>
      <c r="M1239">
        <v>14.416809279416043</v>
      </c>
      <c r="N1239">
        <f t="shared" si="152"/>
        <v>-3.416809279416043</v>
      </c>
      <c r="O1239">
        <v>7.4087557083441532E-4</v>
      </c>
      <c r="P1239">
        <f t="shared" si="153"/>
        <v>-0.34426901233058166</v>
      </c>
      <c r="Q1239">
        <f t="shared" si="154"/>
        <v>98.547392334261005</v>
      </c>
      <c r="R1239">
        <f t="shared" si="155"/>
        <v>-0.34431750934619676</v>
      </c>
      <c r="S1239">
        <f t="shared" si="156"/>
        <v>0.73064524437297085</v>
      </c>
      <c r="T1239">
        <f t="shared" si="157"/>
        <v>4.3969841615361785E-5</v>
      </c>
      <c r="U1239">
        <f t="shared" si="158"/>
        <v>-9.3754621379472432E-3</v>
      </c>
    </row>
    <row r="1240" spans="10:21" x14ac:dyDescent="0.35">
      <c r="J1240">
        <f t="shared" si="159"/>
        <v>1237</v>
      </c>
      <c r="K1240">
        <f>demanda!D1238</f>
        <v>4</v>
      </c>
      <c r="L1240">
        <f>demanda!I1238</f>
        <v>3</v>
      </c>
      <c r="M1240">
        <v>3.8942745198728588</v>
      </c>
      <c r="N1240">
        <f t="shared" si="152"/>
        <v>-0.89427451987285878</v>
      </c>
      <c r="O1240">
        <v>2.4466175697261316E-3</v>
      </c>
      <c r="P1240">
        <f t="shared" si="153"/>
        <v>-9.0104826032798527E-2</v>
      </c>
      <c r="Q1240">
        <f t="shared" si="154"/>
        <v>98.553065719630368</v>
      </c>
      <c r="R1240">
        <f t="shared" si="155"/>
        <v>-9.0191937130002245E-2</v>
      </c>
      <c r="S1240">
        <f t="shared" si="156"/>
        <v>0.92814410376796586</v>
      </c>
      <c r="T1240">
        <f t="shared" si="157"/>
        <v>9.9806748742546123E-6</v>
      </c>
      <c r="U1240">
        <f t="shared" si="158"/>
        <v>-4.4666578568412878E-3</v>
      </c>
    </row>
    <row r="1241" spans="10:21" x14ac:dyDescent="0.35">
      <c r="J1241">
        <f t="shared" si="159"/>
        <v>1238</v>
      </c>
      <c r="K1241">
        <f>demanda!D1239</f>
        <v>4</v>
      </c>
      <c r="L1241">
        <f>demanda!I1239</f>
        <v>3</v>
      </c>
      <c r="M1241">
        <v>3.8942745198728588</v>
      </c>
      <c r="N1241">
        <f t="shared" si="152"/>
        <v>-0.89427451987285878</v>
      </c>
      <c r="O1241">
        <v>2.4466175697261316E-3</v>
      </c>
      <c r="P1241">
        <f t="shared" si="153"/>
        <v>-9.0104826032798527E-2</v>
      </c>
      <c r="Q1241">
        <f t="shared" si="154"/>
        <v>98.553065719630368</v>
      </c>
      <c r="R1241">
        <f t="shared" si="155"/>
        <v>-9.0191937130002245E-2</v>
      </c>
      <c r="S1241">
        <f t="shared" si="156"/>
        <v>0.92814410376796586</v>
      </c>
      <c r="T1241">
        <f t="shared" si="157"/>
        <v>9.9806748742546123E-6</v>
      </c>
      <c r="U1241">
        <f t="shared" si="158"/>
        <v>-4.4666578568412878E-3</v>
      </c>
    </row>
    <row r="1242" spans="10:21" x14ac:dyDescent="0.35">
      <c r="J1242">
        <f t="shared" si="159"/>
        <v>1239</v>
      </c>
      <c r="K1242">
        <f>demanda!D1240</f>
        <v>3</v>
      </c>
      <c r="L1242">
        <f>demanda!I1240</f>
        <v>5</v>
      </c>
      <c r="M1242">
        <v>6.5249082097586548</v>
      </c>
      <c r="N1242">
        <f t="shared" si="152"/>
        <v>-1.5249082097586548</v>
      </c>
      <c r="O1242">
        <v>1.3734589687128761E-3</v>
      </c>
      <c r="P1242">
        <f t="shared" si="153"/>
        <v>-0.1536458726072443</v>
      </c>
      <c r="Q1242">
        <f t="shared" si="154"/>
        <v>98.552269653485908</v>
      </c>
      <c r="R1242">
        <f t="shared" si="155"/>
        <v>-0.15371237580313085</v>
      </c>
      <c r="S1242">
        <f t="shared" si="156"/>
        <v>0.8778526883286133</v>
      </c>
      <c r="T1242">
        <f t="shared" si="157"/>
        <v>1.625628414965998E-5</v>
      </c>
      <c r="U1242">
        <f t="shared" si="158"/>
        <v>-5.7005285854497502E-3</v>
      </c>
    </row>
    <row r="1243" spans="10:21" x14ac:dyDescent="0.35">
      <c r="J1243">
        <f t="shared" si="159"/>
        <v>1240</v>
      </c>
      <c r="K1243">
        <f>demanda!D1241</f>
        <v>0</v>
      </c>
      <c r="L1243">
        <f>demanda!I1241</f>
        <v>12</v>
      </c>
      <c r="M1243">
        <v>14.416809279416043</v>
      </c>
      <c r="N1243">
        <f t="shared" si="152"/>
        <v>-2.416809279416043</v>
      </c>
      <c r="O1243">
        <v>7.4087557083441532E-4</v>
      </c>
      <c r="P1243">
        <f t="shared" si="153"/>
        <v>-0.24351155583320885</v>
      </c>
      <c r="Q1243">
        <f t="shared" si="154"/>
        <v>98.55043610055337</v>
      </c>
      <c r="R1243">
        <f t="shared" si="155"/>
        <v>-0.24354209816225414</v>
      </c>
      <c r="S1243">
        <f t="shared" si="156"/>
        <v>0.80761150818210881</v>
      </c>
      <c r="T1243">
        <f t="shared" si="157"/>
        <v>2.199875915262289E-5</v>
      </c>
      <c r="U1243">
        <f t="shared" si="158"/>
        <v>-6.6314365617133417E-3</v>
      </c>
    </row>
    <row r="1244" spans="10:21" x14ac:dyDescent="0.35">
      <c r="J1244">
        <f t="shared" si="159"/>
        <v>1241</v>
      </c>
      <c r="K1244">
        <f>demanda!D1242</f>
        <v>0</v>
      </c>
      <c r="L1244">
        <f>demanda!I1242</f>
        <v>32</v>
      </c>
      <c r="M1244">
        <v>14.416809279416043</v>
      </c>
      <c r="N1244">
        <f t="shared" si="152"/>
        <v>17.583190720583957</v>
      </c>
      <c r="O1244">
        <v>7.4087557083441532E-4</v>
      </c>
      <c r="P1244">
        <f t="shared" si="153"/>
        <v>1.7716375741142472</v>
      </c>
      <c r="Q1244">
        <f t="shared" si="154"/>
        <v>98.392170968398787</v>
      </c>
      <c r="R1244">
        <f t="shared" si="155"/>
        <v>1.7732842385483347</v>
      </c>
      <c r="S1244">
        <f t="shared" si="156"/>
        <v>7.6340197833702841E-2</v>
      </c>
      <c r="T1244">
        <f t="shared" si="157"/>
        <v>1.1644177018541677E-3</v>
      </c>
      <c r="U1244">
        <f t="shared" si="158"/>
        <v>4.8284966018421152E-2</v>
      </c>
    </row>
    <row r="1245" spans="10:21" x14ac:dyDescent="0.35">
      <c r="J1245">
        <f t="shared" si="159"/>
        <v>1242</v>
      </c>
      <c r="K1245">
        <f>demanda!D1243</f>
        <v>0</v>
      </c>
      <c r="L1245">
        <f>demanda!I1243</f>
        <v>9</v>
      </c>
      <c r="M1245">
        <v>14.416809279416043</v>
      </c>
      <c r="N1245">
        <f t="shared" si="152"/>
        <v>-5.416809279416043</v>
      </c>
      <c r="O1245">
        <v>7.4087557083441532E-4</v>
      </c>
      <c r="P1245">
        <f t="shared" si="153"/>
        <v>-0.54578392532532727</v>
      </c>
      <c r="Q1245">
        <f t="shared" si="154"/>
        <v>98.538174223704843</v>
      </c>
      <c r="R1245">
        <f t="shared" si="155"/>
        <v>-0.54588634131956315</v>
      </c>
      <c r="S1245">
        <f t="shared" si="156"/>
        <v>0.58520751823074413</v>
      </c>
      <c r="T1245">
        <f t="shared" si="157"/>
        <v>1.1050972928307278E-4</v>
      </c>
      <c r="U1245">
        <f t="shared" si="158"/>
        <v>-1.4864003676090257E-2</v>
      </c>
    </row>
    <row r="1246" spans="10:21" x14ac:dyDescent="0.35">
      <c r="J1246">
        <f t="shared" si="159"/>
        <v>1243</v>
      </c>
      <c r="K1246">
        <f>demanda!D1244</f>
        <v>0</v>
      </c>
      <c r="L1246">
        <f>demanda!I1244</f>
        <v>6</v>
      </c>
      <c r="M1246">
        <v>14.416809279416043</v>
      </c>
      <c r="N1246">
        <f t="shared" si="152"/>
        <v>-8.416809279416043</v>
      </c>
      <c r="O1246">
        <v>7.4087557083441532E-4</v>
      </c>
      <c r="P1246">
        <f t="shared" si="153"/>
        <v>-0.84805629481744571</v>
      </c>
      <c r="Q1246">
        <f t="shared" si="154"/>
        <v>98.51652061294196</v>
      </c>
      <c r="R1246">
        <f t="shared" si="155"/>
        <v>-0.8483086443975183</v>
      </c>
      <c r="S1246">
        <f t="shared" si="156"/>
        <v>0.39637190285902191</v>
      </c>
      <c r="T1246">
        <f t="shared" si="157"/>
        <v>2.6681386764022222E-4</v>
      </c>
      <c r="U1246">
        <f t="shared" si="158"/>
        <v>-2.3098696293268058E-2</v>
      </c>
    </row>
    <row r="1247" spans="10:21" x14ac:dyDescent="0.35">
      <c r="J1247">
        <f t="shared" si="159"/>
        <v>1244</v>
      </c>
      <c r="K1247">
        <f>demanda!D1245</f>
        <v>1</v>
      </c>
      <c r="L1247">
        <f>demanda!I1245</f>
        <v>3</v>
      </c>
      <c r="M1247">
        <v>11.786175589530247</v>
      </c>
      <c r="N1247">
        <f t="shared" si="152"/>
        <v>-8.7861755895302469</v>
      </c>
      <c r="O1247">
        <v>5.2058796926701797E-4</v>
      </c>
      <c r="P1247">
        <f t="shared" si="153"/>
        <v>-0.88527270474037267</v>
      </c>
      <c r="Q1247">
        <f t="shared" si="154"/>
        <v>98.513214102399758</v>
      </c>
      <c r="R1247">
        <f t="shared" si="155"/>
        <v>-0.88545339538896362</v>
      </c>
      <c r="S1247">
        <f t="shared" si="156"/>
        <v>0.37602308055069167</v>
      </c>
      <c r="T1247">
        <f t="shared" si="157"/>
        <v>2.0420697614382047E-4</v>
      </c>
      <c r="U1247">
        <f t="shared" si="158"/>
        <v>-2.0208116875988336E-2</v>
      </c>
    </row>
    <row r="1248" spans="10:21" x14ac:dyDescent="0.35">
      <c r="J1248">
        <f t="shared" si="159"/>
        <v>1245</v>
      </c>
      <c r="K1248">
        <f>demanda!D1246</f>
        <v>1</v>
      </c>
      <c r="L1248">
        <f>demanda!I1246</f>
        <v>15</v>
      </c>
      <c r="M1248">
        <v>11.786175589530247</v>
      </c>
      <c r="N1248">
        <f t="shared" si="152"/>
        <v>3.2138244104697531</v>
      </c>
      <c r="O1248">
        <v>5.2058796926701797E-4</v>
      </c>
      <c r="P1248">
        <f t="shared" si="153"/>
        <v>0.32381677322810093</v>
      </c>
      <c r="Q1248">
        <f t="shared" si="154"/>
        <v>98.548095772403954</v>
      </c>
      <c r="R1248">
        <f t="shared" si="155"/>
        <v>0.3238255414227269</v>
      </c>
      <c r="S1248">
        <f t="shared" si="156"/>
        <v>0.74610540567370975</v>
      </c>
      <c r="T1248">
        <f t="shared" si="157"/>
        <v>2.7322164893932259E-5</v>
      </c>
      <c r="U1248">
        <f t="shared" si="158"/>
        <v>7.390456033686617E-3</v>
      </c>
    </row>
    <row r="1249" spans="10:21" x14ac:dyDescent="0.35">
      <c r="J1249">
        <f t="shared" si="159"/>
        <v>1246</v>
      </c>
      <c r="K1249">
        <f>demanda!D1247</f>
        <v>1</v>
      </c>
      <c r="L1249">
        <f>demanda!I1247</f>
        <v>3</v>
      </c>
      <c r="M1249">
        <v>11.786175589530247</v>
      </c>
      <c r="N1249">
        <f t="shared" si="152"/>
        <v>-8.7861755895302469</v>
      </c>
      <c r="O1249">
        <v>5.2058796926701797E-4</v>
      </c>
      <c r="P1249">
        <f t="shared" si="153"/>
        <v>-0.88527270474037267</v>
      </c>
      <c r="Q1249">
        <f t="shared" si="154"/>
        <v>98.513214102399758</v>
      </c>
      <c r="R1249">
        <f t="shared" si="155"/>
        <v>-0.88545339538896362</v>
      </c>
      <c r="S1249">
        <f t="shared" si="156"/>
        <v>0.37602308055069167</v>
      </c>
      <c r="T1249">
        <f t="shared" si="157"/>
        <v>2.0420697614382047E-4</v>
      </c>
      <c r="U1249">
        <f t="shared" si="158"/>
        <v>-2.0208116875988336E-2</v>
      </c>
    </row>
    <row r="1250" spans="10:21" x14ac:dyDescent="0.35">
      <c r="J1250">
        <f t="shared" si="159"/>
        <v>1247</v>
      </c>
      <c r="K1250">
        <f>demanda!D1248</f>
        <v>1</v>
      </c>
      <c r="L1250">
        <f>demanda!I1248</f>
        <v>3</v>
      </c>
      <c r="M1250">
        <v>11.786175589530247</v>
      </c>
      <c r="N1250">
        <f t="shared" si="152"/>
        <v>-8.7861755895302469</v>
      </c>
      <c r="O1250">
        <v>5.2058796926701797E-4</v>
      </c>
      <c r="P1250">
        <f t="shared" si="153"/>
        <v>-0.88527270474037267</v>
      </c>
      <c r="Q1250">
        <f t="shared" si="154"/>
        <v>98.513214102399758</v>
      </c>
      <c r="R1250">
        <f t="shared" si="155"/>
        <v>-0.88545339538896362</v>
      </c>
      <c r="S1250">
        <f t="shared" si="156"/>
        <v>0.37602308055069167</v>
      </c>
      <c r="T1250">
        <f t="shared" si="157"/>
        <v>2.0420697614382047E-4</v>
      </c>
      <c r="U1250">
        <f t="shared" si="158"/>
        <v>-2.0208116875988336E-2</v>
      </c>
    </row>
    <row r="1251" spans="10:21" x14ac:dyDescent="0.35">
      <c r="J1251">
        <f t="shared" si="159"/>
        <v>1248</v>
      </c>
      <c r="K1251">
        <f>demanda!D1249</f>
        <v>0</v>
      </c>
      <c r="L1251">
        <f>demanda!I1249</f>
        <v>4</v>
      </c>
      <c r="M1251">
        <v>14.416809279416043</v>
      </c>
      <c r="N1251">
        <f t="shared" si="152"/>
        <v>-10.416809279416043</v>
      </c>
      <c r="O1251">
        <v>7.4087557083441532E-4</v>
      </c>
      <c r="P1251">
        <f t="shared" si="153"/>
        <v>-1.0495712078121913</v>
      </c>
      <c r="Q1251">
        <f t="shared" si="154"/>
        <v>98.49686724248096</v>
      </c>
      <c r="R1251">
        <f t="shared" si="155"/>
        <v>-1.049988258586362</v>
      </c>
      <c r="S1251">
        <f t="shared" si="156"/>
        <v>0.29385572056513598</v>
      </c>
      <c r="T1251">
        <f t="shared" si="157"/>
        <v>4.0867949778204384E-4</v>
      </c>
      <c r="U1251">
        <f t="shared" si="158"/>
        <v>-2.8590254333443563E-2</v>
      </c>
    </row>
    <row r="1252" spans="10:21" x14ac:dyDescent="0.35">
      <c r="J1252">
        <f t="shared" si="159"/>
        <v>1249</v>
      </c>
      <c r="K1252">
        <f>demanda!D1250</f>
        <v>1</v>
      </c>
      <c r="L1252">
        <f>demanda!I1250</f>
        <v>10</v>
      </c>
      <c r="M1252">
        <v>11.786175589530247</v>
      </c>
      <c r="N1252">
        <f t="shared" si="152"/>
        <v>-1.7861755895302469</v>
      </c>
      <c r="O1252">
        <v>5.2058796926701797E-4</v>
      </c>
      <c r="P1252">
        <f t="shared" si="153"/>
        <v>-0.17997050925876307</v>
      </c>
      <c r="Q1252">
        <f t="shared" si="154"/>
        <v>98.551819423146526</v>
      </c>
      <c r="R1252">
        <f t="shared" si="155"/>
        <v>-0.17997198233721365</v>
      </c>
      <c r="S1252">
        <f t="shared" si="156"/>
        <v>0.85719356553697068</v>
      </c>
      <c r="T1252">
        <f t="shared" si="157"/>
        <v>8.4395466396640202E-6</v>
      </c>
      <c r="U1252">
        <f t="shared" si="158"/>
        <v>-4.1073814527258093E-3</v>
      </c>
    </row>
    <row r="1253" spans="10:21" x14ac:dyDescent="0.35">
      <c r="J1253">
        <f t="shared" si="159"/>
        <v>1250</v>
      </c>
      <c r="K1253">
        <f>demanda!D1251</f>
        <v>1</v>
      </c>
      <c r="L1253">
        <f>demanda!I1251</f>
        <v>5</v>
      </c>
      <c r="M1253">
        <v>11.786175589530247</v>
      </c>
      <c r="N1253">
        <f t="shared" si="152"/>
        <v>-6.7861755895302469</v>
      </c>
      <c r="O1253">
        <v>5.2058796926701797E-4</v>
      </c>
      <c r="P1253">
        <f t="shared" si="153"/>
        <v>-0.68375779174562712</v>
      </c>
      <c r="Q1253">
        <f t="shared" si="154"/>
        <v>98.529460674016264</v>
      </c>
      <c r="R1253">
        <f t="shared" si="155"/>
        <v>-0.68384096531208116</v>
      </c>
      <c r="S1253">
        <f t="shared" si="156"/>
        <v>0.49415815943295716</v>
      </c>
      <c r="T1253">
        <f t="shared" si="157"/>
        <v>1.2182067544499816E-4</v>
      </c>
      <c r="U1253">
        <f t="shared" si="158"/>
        <v>-1.560684980551091E-2</v>
      </c>
    </row>
    <row r="1254" spans="10:21" x14ac:dyDescent="0.35">
      <c r="J1254">
        <f t="shared" si="159"/>
        <v>1251</v>
      </c>
      <c r="K1254">
        <f>demanda!D1252</f>
        <v>3</v>
      </c>
      <c r="L1254">
        <f>demanda!I1252</f>
        <v>3</v>
      </c>
      <c r="M1254">
        <v>6.5249082097586548</v>
      </c>
      <c r="N1254">
        <f t="shared" si="152"/>
        <v>-3.5249082097586548</v>
      </c>
      <c r="O1254">
        <v>1.3734589687128761E-3</v>
      </c>
      <c r="P1254">
        <f t="shared" si="153"/>
        <v>-0.35516078560198994</v>
      </c>
      <c r="Q1254">
        <f t="shared" si="154"/>
        <v>98.546996700749531</v>
      </c>
      <c r="R1254">
        <f t="shared" si="155"/>
        <v>-0.35532401713098288</v>
      </c>
      <c r="S1254">
        <f t="shared" si="156"/>
        <v>0.72238591463660118</v>
      </c>
      <c r="T1254">
        <f t="shared" si="157"/>
        <v>8.6861935283639592E-5</v>
      </c>
      <c r="U1254">
        <f t="shared" si="158"/>
        <v>-1.3177434192717408E-2</v>
      </c>
    </row>
    <row r="1255" spans="10:21" x14ac:dyDescent="0.35">
      <c r="J1255">
        <f t="shared" si="159"/>
        <v>1252</v>
      </c>
      <c r="K1255">
        <f>demanda!D1253</f>
        <v>3</v>
      </c>
      <c r="L1255">
        <f>demanda!I1253</f>
        <v>9</v>
      </c>
      <c r="M1255">
        <v>6.5249082097586548</v>
      </c>
      <c r="N1255">
        <f t="shared" si="152"/>
        <v>2.4750917902413452</v>
      </c>
      <c r="O1255">
        <v>1.3734589687128761E-3</v>
      </c>
      <c r="P1255">
        <f t="shared" si="153"/>
        <v>0.24938395338224692</v>
      </c>
      <c r="Q1255">
        <f t="shared" si="154"/>
        <v>98.550285314771585</v>
      </c>
      <c r="R1255">
        <f t="shared" si="155"/>
        <v>0.24949440708179485</v>
      </c>
      <c r="S1255">
        <f t="shared" si="156"/>
        <v>0.80300506873249644</v>
      </c>
      <c r="T1255">
        <f t="shared" si="157"/>
        <v>4.2826885860052115E-5</v>
      </c>
      <c r="U1255">
        <f t="shared" si="158"/>
        <v>9.2526707238015336E-3</v>
      </c>
    </row>
    <row r="1256" spans="10:21" x14ac:dyDescent="0.35">
      <c r="J1256">
        <f t="shared" si="159"/>
        <v>1253</v>
      </c>
      <c r="K1256">
        <f>demanda!D1254</f>
        <v>0</v>
      </c>
      <c r="L1256">
        <f>demanda!I1254</f>
        <v>13</v>
      </c>
      <c r="M1256">
        <v>14.416809279416043</v>
      </c>
      <c r="N1256">
        <f t="shared" si="152"/>
        <v>-1.416809279416043</v>
      </c>
      <c r="O1256">
        <v>7.4087557083441532E-4</v>
      </c>
      <c r="P1256">
        <f t="shared" si="153"/>
        <v>-0.14275409933583605</v>
      </c>
      <c r="Q1256">
        <f t="shared" si="154"/>
        <v>98.552436340855238</v>
      </c>
      <c r="R1256">
        <f t="shared" si="155"/>
        <v>-0.14277055533334676</v>
      </c>
      <c r="S1256">
        <f t="shared" si="156"/>
        <v>0.88648638054980111</v>
      </c>
      <c r="T1256">
        <f t="shared" si="157"/>
        <v>7.5602509372950483E-6</v>
      </c>
      <c r="U1256">
        <f t="shared" si="158"/>
        <v>-3.8875163173756836E-3</v>
      </c>
    </row>
    <row r="1257" spans="10:21" x14ac:dyDescent="0.35">
      <c r="J1257">
        <f t="shared" si="159"/>
        <v>1254</v>
      </c>
      <c r="K1257">
        <f>demanda!D1255</f>
        <v>0</v>
      </c>
      <c r="L1257">
        <f>demanda!I1255</f>
        <v>15</v>
      </c>
      <c r="M1257">
        <v>14.416809279416043</v>
      </c>
      <c r="N1257">
        <f t="shared" si="152"/>
        <v>0.58319072058395705</v>
      </c>
      <c r="O1257">
        <v>7.4087557083441532E-4</v>
      </c>
      <c r="P1257">
        <f t="shared" si="153"/>
        <v>5.8760813658909554E-2</v>
      </c>
      <c r="Q1257">
        <f t="shared" si="154"/>
        <v>98.553306243487526</v>
      </c>
      <c r="R1257">
        <f t="shared" si="155"/>
        <v>5.8767327956256402E-2</v>
      </c>
      <c r="S1257">
        <f t="shared" si="156"/>
        <v>0.95314355069247325</v>
      </c>
      <c r="T1257">
        <f t="shared" si="157"/>
        <v>1.2809572488725558E-6</v>
      </c>
      <c r="U1257">
        <f t="shared" si="158"/>
        <v>1.6001825154010173E-3</v>
      </c>
    </row>
    <row r="1258" spans="10:21" x14ac:dyDescent="0.35">
      <c r="J1258">
        <f t="shared" si="159"/>
        <v>1255</v>
      </c>
      <c r="K1258">
        <f>demanda!D1256</f>
        <v>0</v>
      </c>
      <c r="L1258">
        <f>demanda!I1256</f>
        <v>12</v>
      </c>
      <c r="M1258">
        <v>14.416809279416043</v>
      </c>
      <c r="N1258">
        <f t="shared" si="152"/>
        <v>-2.416809279416043</v>
      </c>
      <c r="O1258">
        <v>7.4087557083441532E-4</v>
      </c>
      <c r="P1258">
        <f t="shared" si="153"/>
        <v>-0.24351155583320885</v>
      </c>
      <c r="Q1258">
        <f t="shared" si="154"/>
        <v>98.55043610055337</v>
      </c>
      <c r="R1258">
        <f t="shared" si="155"/>
        <v>-0.24354209816225414</v>
      </c>
      <c r="S1258">
        <f t="shared" si="156"/>
        <v>0.80761150818210881</v>
      </c>
      <c r="T1258">
        <f t="shared" si="157"/>
        <v>2.199875915262289E-5</v>
      </c>
      <c r="U1258">
        <f t="shared" si="158"/>
        <v>-6.6314365617133417E-3</v>
      </c>
    </row>
    <row r="1259" spans="10:21" x14ac:dyDescent="0.35">
      <c r="J1259">
        <f t="shared" si="159"/>
        <v>1256</v>
      </c>
      <c r="K1259">
        <f>demanda!D1257</f>
        <v>0</v>
      </c>
      <c r="L1259">
        <f>demanda!I1257</f>
        <v>15</v>
      </c>
      <c r="M1259">
        <v>14.416809279416043</v>
      </c>
      <c r="N1259">
        <f t="shared" si="152"/>
        <v>0.58319072058395705</v>
      </c>
      <c r="O1259">
        <v>7.4087557083441532E-4</v>
      </c>
      <c r="P1259">
        <f t="shared" si="153"/>
        <v>5.8760813658909554E-2</v>
      </c>
      <c r="Q1259">
        <f t="shared" si="154"/>
        <v>98.553306243487526</v>
      </c>
      <c r="R1259">
        <f t="shared" si="155"/>
        <v>5.8767327956256402E-2</v>
      </c>
      <c r="S1259">
        <f t="shared" si="156"/>
        <v>0.95314355069247325</v>
      </c>
      <c r="T1259">
        <f t="shared" si="157"/>
        <v>1.2809572488725558E-6</v>
      </c>
      <c r="U1259">
        <f t="shared" si="158"/>
        <v>1.6001825154010173E-3</v>
      </c>
    </row>
    <row r="1260" spans="10:21" x14ac:dyDescent="0.35">
      <c r="J1260">
        <f t="shared" si="159"/>
        <v>1257</v>
      </c>
      <c r="K1260">
        <f>demanda!D1258</f>
        <v>1</v>
      </c>
      <c r="L1260">
        <f>demanda!I1258</f>
        <v>15</v>
      </c>
      <c r="M1260">
        <v>11.786175589530247</v>
      </c>
      <c r="N1260">
        <f t="shared" si="152"/>
        <v>3.2138244104697531</v>
      </c>
      <c r="O1260">
        <v>5.2058796926701797E-4</v>
      </c>
      <c r="P1260">
        <f t="shared" si="153"/>
        <v>0.32381677322810093</v>
      </c>
      <c r="Q1260">
        <f t="shared" si="154"/>
        <v>98.548095772403954</v>
      </c>
      <c r="R1260">
        <f t="shared" si="155"/>
        <v>0.3238255414227269</v>
      </c>
      <c r="S1260">
        <f t="shared" si="156"/>
        <v>0.74610540567370975</v>
      </c>
      <c r="T1260">
        <f t="shared" si="157"/>
        <v>2.7322164893932259E-5</v>
      </c>
      <c r="U1260">
        <f t="shared" si="158"/>
        <v>7.390456033686617E-3</v>
      </c>
    </row>
    <row r="1261" spans="10:21" x14ac:dyDescent="0.35">
      <c r="J1261">
        <f t="shared" si="159"/>
        <v>1258</v>
      </c>
      <c r="K1261">
        <f>demanda!D1259</f>
        <v>0</v>
      </c>
      <c r="L1261">
        <f>demanda!I1259</f>
        <v>15</v>
      </c>
      <c r="M1261">
        <v>14.416809279416043</v>
      </c>
      <c r="N1261">
        <f t="shared" si="152"/>
        <v>0.58319072058395705</v>
      </c>
      <c r="O1261">
        <v>7.4087557083441532E-4</v>
      </c>
      <c r="P1261">
        <f t="shared" si="153"/>
        <v>5.8760813658909554E-2</v>
      </c>
      <c r="Q1261">
        <f t="shared" si="154"/>
        <v>98.553306243487526</v>
      </c>
      <c r="R1261">
        <f t="shared" si="155"/>
        <v>5.8767327956256402E-2</v>
      </c>
      <c r="S1261">
        <f t="shared" si="156"/>
        <v>0.95314355069247325</v>
      </c>
      <c r="T1261">
        <f t="shared" si="157"/>
        <v>1.2809572488725558E-6</v>
      </c>
      <c r="U1261">
        <f t="shared" si="158"/>
        <v>1.6001825154010173E-3</v>
      </c>
    </row>
    <row r="1262" spans="10:21" x14ac:dyDescent="0.35">
      <c r="J1262">
        <f t="shared" si="159"/>
        <v>1259</v>
      </c>
      <c r="K1262">
        <f>demanda!D1260</f>
        <v>0</v>
      </c>
      <c r="L1262">
        <f>demanda!I1260</f>
        <v>15</v>
      </c>
      <c r="M1262">
        <v>14.416809279416043</v>
      </c>
      <c r="N1262">
        <f t="shared" si="152"/>
        <v>0.58319072058395705</v>
      </c>
      <c r="O1262">
        <v>7.4087557083441532E-4</v>
      </c>
      <c r="P1262">
        <f t="shared" si="153"/>
        <v>5.8760813658909554E-2</v>
      </c>
      <c r="Q1262">
        <f t="shared" si="154"/>
        <v>98.553306243487526</v>
      </c>
      <c r="R1262">
        <f t="shared" si="155"/>
        <v>5.8767327956256402E-2</v>
      </c>
      <c r="S1262">
        <f t="shared" si="156"/>
        <v>0.95314355069247325</v>
      </c>
      <c r="T1262">
        <f t="shared" si="157"/>
        <v>1.2809572488725558E-6</v>
      </c>
      <c r="U1262">
        <f t="shared" si="158"/>
        <v>1.6001825154010173E-3</v>
      </c>
    </row>
    <row r="1263" spans="10:21" x14ac:dyDescent="0.35">
      <c r="J1263">
        <f t="shared" si="159"/>
        <v>1260</v>
      </c>
      <c r="K1263">
        <f>demanda!D1261</f>
        <v>0</v>
      </c>
      <c r="L1263">
        <f>demanda!I1261</f>
        <v>15</v>
      </c>
      <c r="M1263">
        <v>14.416809279416043</v>
      </c>
      <c r="N1263">
        <f t="shared" si="152"/>
        <v>0.58319072058395705</v>
      </c>
      <c r="O1263">
        <v>7.4087557083441532E-4</v>
      </c>
      <c r="P1263">
        <f t="shared" si="153"/>
        <v>5.8760813658909554E-2</v>
      </c>
      <c r="Q1263">
        <f t="shared" si="154"/>
        <v>98.553306243487526</v>
      </c>
      <c r="R1263">
        <f t="shared" si="155"/>
        <v>5.8767327956256402E-2</v>
      </c>
      <c r="S1263">
        <f t="shared" si="156"/>
        <v>0.95314355069247325</v>
      </c>
      <c r="T1263">
        <f t="shared" si="157"/>
        <v>1.2809572488725558E-6</v>
      </c>
      <c r="U1263">
        <f t="shared" si="158"/>
        <v>1.6001825154010173E-3</v>
      </c>
    </row>
    <row r="1264" spans="10:21" x14ac:dyDescent="0.35">
      <c r="J1264">
        <f t="shared" si="159"/>
        <v>1261</v>
      </c>
      <c r="K1264">
        <f>demanda!D1262</f>
        <v>0</v>
      </c>
      <c r="L1264">
        <f>demanda!I1262</f>
        <v>15</v>
      </c>
      <c r="M1264">
        <v>14.416809279416043</v>
      </c>
      <c r="N1264">
        <f t="shared" si="152"/>
        <v>0.58319072058395705</v>
      </c>
      <c r="O1264">
        <v>7.4087557083441532E-4</v>
      </c>
      <c r="P1264">
        <f t="shared" si="153"/>
        <v>5.8760813658909554E-2</v>
      </c>
      <c r="Q1264">
        <f t="shared" si="154"/>
        <v>98.553306243487526</v>
      </c>
      <c r="R1264">
        <f t="shared" si="155"/>
        <v>5.8767327956256402E-2</v>
      </c>
      <c r="S1264">
        <f t="shared" si="156"/>
        <v>0.95314355069247325</v>
      </c>
      <c r="T1264">
        <f t="shared" si="157"/>
        <v>1.2809572488725558E-6</v>
      </c>
      <c r="U1264">
        <f t="shared" si="158"/>
        <v>1.6001825154010173E-3</v>
      </c>
    </row>
    <row r="1265" spans="10:21" x14ac:dyDescent="0.35">
      <c r="J1265">
        <f t="shared" si="159"/>
        <v>1262</v>
      </c>
      <c r="K1265">
        <f>demanda!D1263</f>
        <v>0</v>
      </c>
      <c r="L1265">
        <f>demanda!I1263</f>
        <v>15</v>
      </c>
      <c r="M1265">
        <v>14.416809279416043</v>
      </c>
      <c r="N1265">
        <f t="shared" si="152"/>
        <v>0.58319072058395705</v>
      </c>
      <c r="O1265">
        <v>7.4087557083441532E-4</v>
      </c>
      <c r="P1265">
        <f t="shared" si="153"/>
        <v>5.8760813658909554E-2</v>
      </c>
      <c r="Q1265">
        <f t="shared" si="154"/>
        <v>98.553306243487526</v>
      </c>
      <c r="R1265">
        <f t="shared" si="155"/>
        <v>5.8767327956256402E-2</v>
      </c>
      <c r="S1265">
        <f t="shared" si="156"/>
        <v>0.95314355069247325</v>
      </c>
      <c r="T1265">
        <f t="shared" si="157"/>
        <v>1.2809572488725558E-6</v>
      </c>
      <c r="U1265">
        <f t="shared" si="158"/>
        <v>1.6001825154010173E-3</v>
      </c>
    </row>
    <row r="1266" spans="10:21" x14ac:dyDescent="0.35">
      <c r="J1266">
        <f t="shared" si="159"/>
        <v>1263</v>
      </c>
      <c r="K1266">
        <f>demanda!D1264</f>
        <v>0</v>
      </c>
      <c r="L1266">
        <f>demanda!I1264</f>
        <v>15</v>
      </c>
      <c r="M1266">
        <v>14.416809279416043</v>
      </c>
      <c r="N1266">
        <f t="shared" si="152"/>
        <v>0.58319072058395705</v>
      </c>
      <c r="O1266">
        <v>7.4087557083441532E-4</v>
      </c>
      <c r="P1266">
        <f t="shared" si="153"/>
        <v>5.8760813658909554E-2</v>
      </c>
      <c r="Q1266">
        <f t="shared" si="154"/>
        <v>98.553306243487526</v>
      </c>
      <c r="R1266">
        <f t="shared" si="155"/>
        <v>5.8767327956256402E-2</v>
      </c>
      <c r="S1266">
        <f t="shared" si="156"/>
        <v>0.95314355069247325</v>
      </c>
      <c r="T1266">
        <f t="shared" si="157"/>
        <v>1.2809572488725558E-6</v>
      </c>
      <c r="U1266">
        <f t="shared" si="158"/>
        <v>1.6001825154010173E-3</v>
      </c>
    </row>
    <row r="1267" spans="10:21" x14ac:dyDescent="0.35">
      <c r="J1267">
        <f t="shared" si="159"/>
        <v>1264</v>
      </c>
      <c r="K1267">
        <f>demanda!D1265</f>
        <v>0</v>
      </c>
      <c r="L1267">
        <f>demanda!I1265</f>
        <v>15</v>
      </c>
      <c r="M1267">
        <v>14.416809279416043</v>
      </c>
      <c r="N1267">
        <f t="shared" si="152"/>
        <v>0.58319072058395705</v>
      </c>
      <c r="O1267">
        <v>7.4087557083441532E-4</v>
      </c>
      <c r="P1267">
        <f t="shared" si="153"/>
        <v>5.8760813658909554E-2</v>
      </c>
      <c r="Q1267">
        <f t="shared" si="154"/>
        <v>98.553306243487526</v>
      </c>
      <c r="R1267">
        <f t="shared" si="155"/>
        <v>5.8767327956256402E-2</v>
      </c>
      <c r="S1267">
        <f t="shared" si="156"/>
        <v>0.95314355069247325</v>
      </c>
      <c r="T1267">
        <f t="shared" si="157"/>
        <v>1.2809572488725558E-6</v>
      </c>
      <c r="U1267">
        <f t="shared" si="158"/>
        <v>1.6001825154010173E-3</v>
      </c>
    </row>
    <row r="1268" spans="10:21" x14ac:dyDescent="0.35">
      <c r="J1268">
        <f t="shared" si="159"/>
        <v>1265</v>
      </c>
      <c r="K1268">
        <f>demanda!D1266</f>
        <v>0</v>
      </c>
      <c r="L1268">
        <f>demanda!I1266</f>
        <v>15</v>
      </c>
      <c r="M1268">
        <v>14.416809279416043</v>
      </c>
      <c r="N1268">
        <f t="shared" si="152"/>
        <v>0.58319072058395705</v>
      </c>
      <c r="O1268">
        <v>7.4087557083441532E-4</v>
      </c>
      <c r="P1268">
        <f t="shared" si="153"/>
        <v>5.8760813658909554E-2</v>
      </c>
      <c r="Q1268">
        <f t="shared" si="154"/>
        <v>98.553306243487526</v>
      </c>
      <c r="R1268">
        <f t="shared" si="155"/>
        <v>5.8767327956256402E-2</v>
      </c>
      <c r="S1268">
        <f t="shared" si="156"/>
        <v>0.95314355069247325</v>
      </c>
      <c r="T1268">
        <f t="shared" si="157"/>
        <v>1.2809572488725558E-6</v>
      </c>
      <c r="U1268">
        <f t="shared" si="158"/>
        <v>1.6001825154010173E-3</v>
      </c>
    </row>
    <row r="1269" spans="10:21" x14ac:dyDescent="0.35">
      <c r="J1269">
        <f t="shared" si="159"/>
        <v>1266</v>
      </c>
      <c r="K1269">
        <f>demanda!D1267</f>
        <v>0</v>
      </c>
      <c r="L1269">
        <f>demanda!I1267</f>
        <v>15</v>
      </c>
      <c r="M1269">
        <v>14.416809279416043</v>
      </c>
      <c r="N1269">
        <f t="shared" si="152"/>
        <v>0.58319072058395705</v>
      </c>
      <c r="O1269">
        <v>7.4087557083441532E-4</v>
      </c>
      <c r="P1269">
        <f t="shared" si="153"/>
        <v>5.8760813658909554E-2</v>
      </c>
      <c r="Q1269">
        <f t="shared" si="154"/>
        <v>98.553306243487526</v>
      </c>
      <c r="R1269">
        <f t="shared" si="155"/>
        <v>5.8767327956256402E-2</v>
      </c>
      <c r="S1269">
        <f t="shared" si="156"/>
        <v>0.95314355069247325</v>
      </c>
      <c r="T1269">
        <f t="shared" si="157"/>
        <v>1.2809572488725558E-6</v>
      </c>
      <c r="U1269">
        <f t="shared" si="158"/>
        <v>1.6001825154010173E-3</v>
      </c>
    </row>
    <row r="1270" spans="10:21" x14ac:dyDescent="0.35">
      <c r="J1270">
        <f t="shared" si="159"/>
        <v>1267</v>
      </c>
      <c r="K1270">
        <f>demanda!D1268</f>
        <v>0</v>
      </c>
      <c r="L1270">
        <f>demanda!I1268</f>
        <v>15</v>
      </c>
      <c r="M1270">
        <v>14.416809279416043</v>
      </c>
      <c r="N1270">
        <f t="shared" si="152"/>
        <v>0.58319072058395705</v>
      </c>
      <c r="O1270">
        <v>7.4087557083441532E-4</v>
      </c>
      <c r="P1270">
        <f t="shared" si="153"/>
        <v>5.8760813658909554E-2</v>
      </c>
      <c r="Q1270">
        <f t="shared" si="154"/>
        <v>98.553306243487526</v>
      </c>
      <c r="R1270">
        <f t="shared" si="155"/>
        <v>5.8767327956256402E-2</v>
      </c>
      <c r="S1270">
        <f t="shared" si="156"/>
        <v>0.95314355069247325</v>
      </c>
      <c r="T1270">
        <f t="shared" si="157"/>
        <v>1.2809572488725558E-6</v>
      </c>
      <c r="U1270">
        <f t="shared" si="158"/>
        <v>1.6001825154010173E-3</v>
      </c>
    </row>
    <row r="1271" spans="10:21" x14ac:dyDescent="0.35">
      <c r="J1271">
        <f t="shared" si="159"/>
        <v>1268</v>
      </c>
      <c r="K1271">
        <f>demanda!D1269</f>
        <v>0</v>
      </c>
      <c r="L1271">
        <f>demanda!I1269</f>
        <v>15</v>
      </c>
      <c r="M1271">
        <v>14.416809279416043</v>
      </c>
      <c r="N1271">
        <f t="shared" si="152"/>
        <v>0.58319072058395705</v>
      </c>
      <c r="O1271">
        <v>7.4087557083441532E-4</v>
      </c>
      <c r="P1271">
        <f t="shared" si="153"/>
        <v>5.8760813658909554E-2</v>
      </c>
      <c r="Q1271">
        <f t="shared" si="154"/>
        <v>98.553306243487526</v>
      </c>
      <c r="R1271">
        <f t="shared" si="155"/>
        <v>5.8767327956256402E-2</v>
      </c>
      <c r="S1271">
        <f t="shared" si="156"/>
        <v>0.95314355069247325</v>
      </c>
      <c r="T1271">
        <f t="shared" si="157"/>
        <v>1.2809572488725558E-6</v>
      </c>
      <c r="U1271">
        <f t="shared" si="158"/>
        <v>1.6001825154010173E-3</v>
      </c>
    </row>
    <row r="1272" spans="10:21" x14ac:dyDescent="0.35">
      <c r="J1272">
        <f t="shared" si="159"/>
        <v>1269</v>
      </c>
      <c r="K1272">
        <f>demanda!D1270</f>
        <v>0</v>
      </c>
      <c r="L1272">
        <f>demanda!I1270</f>
        <v>15</v>
      </c>
      <c r="M1272">
        <v>14.416809279416043</v>
      </c>
      <c r="N1272">
        <f t="shared" si="152"/>
        <v>0.58319072058395705</v>
      </c>
      <c r="O1272">
        <v>7.4087557083441532E-4</v>
      </c>
      <c r="P1272">
        <f t="shared" si="153"/>
        <v>5.8760813658909554E-2</v>
      </c>
      <c r="Q1272">
        <f t="shared" si="154"/>
        <v>98.553306243487526</v>
      </c>
      <c r="R1272">
        <f t="shared" si="155"/>
        <v>5.8767327956256402E-2</v>
      </c>
      <c r="S1272">
        <f t="shared" si="156"/>
        <v>0.95314355069247325</v>
      </c>
      <c r="T1272">
        <f t="shared" si="157"/>
        <v>1.2809572488725558E-6</v>
      </c>
      <c r="U1272">
        <f t="shared" si="158"/>
        <v>1.6001825154010173E-3</v>
      </c>
    </row>
    <row r="1273" spans="10:21" x14ac:dyDescent="0.35">
      <c r="J1273">
        <f t="shared" si="159"/>
        <v>1270</v>
      </c>
      <c r="K1273">
        <f>demanda!D1271</f>
        <v>0</v>
      </c>
      <c r="L1273">
        <f>demanda!I1271</f>
        <v>15</v>
      </c>
      <c r="M1273">
        <v>14.416809279416043</v>
      </c>
      <c r="N1273">
        <f t="shared" si="152"/>
        <v>0.58319072058395705</v>
      </c>
      <c r="O1273">
        <v>7.4087557083441532E-4</v>
      </c>
      <c r="P1273">
        <f t="shared" si="153"/>
        <v>5.8760813658909554E-2</v>
      </c>
      <c r="Q1273">
        <f t="shared" si="154"/>
        <v>98.553306243487526</v>
      </c>
      <c r="R1273">
        <f t="shared" si="155"/>
        <v>5.8767327956256402E-2</v>
      </c>
      <c r="S1273">
        <f t="shared" si="156"/>
        <v>0.95314355069247325</v>
      </c>
      <c r="T1273">
        <f t="shared" si="157"/>
        <v>1.2809572488725558E-6</v>
      </c>
      <c r="U1273">
        <f t="shared" si="158"/>
        <v>1.6001825154010173E-3</v>
      </c>
    </row>
    <row r="1274" spans="10:21" x14ac:dyDescent="0.35">
      <c r="J1274">
        <f t="shared" si="159"/>
        <v>1271</v>
      </c>
      <c r="K1274">
        <f>demanda!D1272</f>
        <v>0</v>
      </c>
      <c r="L1274">
        <f>demanda!I1272</f>
        <v>15</v>
      </c>
      <c r="M1274">
        <v>14.416809279416043</v>
      </c>
      <c r="N1274">
        <f t="shared" si="152"/>
        <v>0.58319072058395705</v>
      </c>
      <c r="O1274">
        <v>7.4087557083441532E-4</v>
      </c>
      <c r="P1274">
        <f t="shared" si="153"/>
        <v>5.8760813658909554E-2</v>
      </c>
      <c r="Q1274">
        <f t="shared" si="154"/>
        <v>98.553306243487526</v>
      </c>
      <c r="R1274">
        <f t="shared" si="155"/>
        <v>5.8767327956256402E-2</v>
      </c>
      <c r="S1274">
        <f t="shared" si="156"/>
        <v>0.95314355069247325</v>
      </c>
      <c r="T1274">
        <f t="shared" si="157"/>
        <v>1.2809572488725558E-6</v>
      </c>
      <c r="U1274">
        <f t="shared" si="158"/>
        <v>1.6001825154010173E-3</v>
      </c>
    </row>
    <row r="1275" spans="10:21" x14ac:dyDescent="0.35">
      <c r="J1275">
        <f t="shared" si="159"/>
        <v>1272</v>
      </c>
      <c r="K1275">
        <f>demanda!D1273</f>
        <v>0</v>
      </c>
      <c r="L1275">
        <f>demanda!I1273</f>
        <v>15</v>
      </c>
      <c r="M1275">
        <v>14.416809279416043</v>
      </c>
      <c r="N1275">
        <f t="shared" si="152"/>
        <v>0.58319072058395705</v>
      </c>
      <c r="O1275">
        <v>7.4087557083441532E-4</v>
      </c>
      <c r="P1275">
        <f t="shared" si="153"/>
        <v>5.8760813658909554E-2</v>
      </c>
      <c r="Q1275">
        <f t="shared" si="154"/>
        <v>98.553306243487526</v>
      </c>
      <c r="R1275">
        <f t="shared" si="155"/>
        <v>5.8767327956256402E-2</v>
      </c>
      <c r="S1275">
        <f t="shared" si="156"/>
        <v>0.95314355069247325</v>
      </c>
      <c r="T1275">
        <f t="shared" si="157"/>
        <v>1.2809572488725558E-6</v>
      </c>
      <c r="U1275">
        <f t="shared" si="158"/>
        <v>1.6001825154010173E-3</v>
      </c>
    </row>
    <row r="1276" spans="10:21" x14ac:dyDescent="0.35">
      <c r="J1276">
        <f t="shared" si="159"/>
        <v>1273</v>
      </c>
      <c r="K1276">
        <f>demanda!D1274</f>
        <v>0</v>
      </c>
      <c r="L1276">
        <f>demanda!I1274</f>
        <v>15</v>
      </c>
      <c r="M1276">
        <v>14.416809279416043</v>
      </c>
      <c r="N1276">
        <f t="shared" si="152"/>
        <v>0.58319072058395705</v>
      </c>
      <c r="O1276">
        <v>7.4087557083441532E-4</v>
      </c>
      <c r="P1276">
        <f t="shared" si="153"/>
        <v>5.8760813658909554E-2</v>
      </c>
      <c r="Q1276">
        <f t="shared" si="154"/>
        <v>98.553306243487526</v>
      </c>
      <c r="R1276">
        <f t="shared" si="155"/>
        <v>5.8767327956256402E-2</v>
      </c>
      <c r="S1276">
        <f t="shared" si="156"/>
        <v>0.95314355069247325</v>
      </c>
      <c r="T1276">
        <f t="shared" si="157"/>
        <v>1.2809572488725558E-6</v>
      </c>
      <c r="U1276">
        <f t="shared" si="158"/>
        <v>1.6001825154010173E-3</v>
      </c>
    </row>
    <row r="1277" spans="10:21" x14ac:dyDescent="0.35">
      <c r="J1277">
        <f t="shared" si="159"/>
        <v>1274</v>
      </c>
      <c r="K1277">
        <f>demanda!D1275</f>
        <v>0</v>
      </c>
      <c r="L1277">
        <f>demanda!I1275</f>
        <v>15</v>
      </c>
      <c r="M1277">
        <v>14.416809279416043</v>
      </c>
      <c r="N1277">
        <f t="shared" si="152"/>
        <v>0.58319072058395705</v>
      </c>
      <c r="O1277">
        <v>7.4087557083441532E-4</v>
      </c>
      <c r="P1277">
        <f t="shared" si="153"/>
        <v>5.8760813658909554E-2</v>
      </c>
      <c r="Q1277">
        <f t="shared" si="154"/>
        <v>98.553306243487526</v>
      </c>
      <c r="R1277">
        <f t="shared" si="155"/>
        <v>5.8767327956256402E-2</v>
      </c>
      <c r="S1277">
        <f t="shared" si="156"/>
        <v>0.95314355069247325</v>
      </c>
      <c r="T1277">
        <f t="shared" si="157"/>
        <v>1.2809572488725558E-6</v>
      </c>
      <c r="U1277">
        <f t="shared" si="158"/>
        <v>1.6001825154010173E-3</v>
      </c>
    </row>
    <row r="1278" spans="10:21" x14ac:dyDescent="0.35">
      <c r="J1278">
        <f t="shared" si="159"/>
        <v>1275</v>
      </c>
      <c r="K1278">
        <f>demanda!D1276</f>
        <v>0</v>
      </c>
      <c r="L1278">
        <f>demanda!I1276</f>
        <v>15</v>
      </c>
      <c r="M1278">
        <v>14.416809279416043</v>
      </c>
      <c r="N1278">
        <f t="shared" si="152"/>
        <v>0.58319072058395705</v>
      </c>
      <c r="O1278">
        <v>7.4087557083441532E-4</v>
      </c>
      <c r="P1278">
        <f t="shared" si="153"/>
        <v>5.8760813658909554E-2</v>
      </c>
      <c r="Q1278">
        <f t="shared" si="154"/>
        <v>98.553306243487526</v>
      </c>
      <c r="R1278">
        <f t="shared" si="155"/>
        <v>5.8767327956256402E-2</v>
      </c>
      <c r="S1278">
        <f t="shared" si="156"/>
        <v>0.95314355069247325</v>
      </c>
      <c r="T1278">
        <f t="shared" si="157"/>
        <v>1.2809572488725558E-6</v>
      </c>
      <c r="U1278">
        <f t="shared" si="158"/>
        <v>1.6001825154010173E-3</v>
      </c>
    </row>
    <row r="1279" spans="10:21" x14ac:dyDescent="0.35">
      <c r="J1279">
        <f t="shared" si="159"/>
        <v>1276</v>
      </c>
      <c r="K1279">
        <f>demanda!D1277</f>
        <v>0</v>
      </c>
      <c r="L1279">
        <f>demanda!I1277</f>
        <v>15</v>
      </c>
      <c r="M1279">
        <v>14.416809279416043</v>
      </c>
      <c r="N1279">
        <f t="shared" si="152"/>
        <v>0.58319072058395705</v>
      </c>
      <c r="O1279">
        <v>7.4087557083441532E-4</v>
      </c>
      <c r="P1279">
        <f t="shared" si="153"/>
        <v>5.8760813658909554E-2</v>
      </c>
      <c r="Q1279">
        <f t="shared" si="154"/>
        <v>98.553306243487526</v>
      </c>
      <c r="R1279">
        <f t="shared" si="155"/>
        <v>5.8767327956256402E-2</v>
      </c>
      <c r="S1279">
        <f t="shared" si="156"/>
        <v>0.95314355069247325</v>
      </c>
      <c r="T1279">
        <f t="shared" si="157"/>
        <v>1.2809572488725558E-6</v>
      </c>
      <c r="U1279">
        <f t="shared" si="158"/>
        <v>1.6001825154010173E-3</v>
      </c>
    </row>
    <row r="1280" spans="10:21" x14ac:dyDescent="0.35">
      <c r="J1280">
        <f t="shared" si="159"/>
        <v>1277</v>
      </c>
      <c r="K1280">
        <f>demanda!D1278</f>
        <v>0</v>
      </c>
      <c r="L1280">
        <f>demanda!I1278</f>
        <v>15</v>
      </c>
      <c r="M1280">
        <v>14.416809279416043</v>
      </c>
      <c r="N1280">
        <f t="shared" si="152"/>
        <v>0.58319072058395705</v>
      </c>
      <c r="O1280">
        <v>7.4087557083441532E-4</v>
      </c>
      <c r="P1280">
        <f t="shared" si="153"/>
        <v>5.8760813658909554E-2</v>
      </c>
      <c r="Q1280">
        <f t="shared" si="154"/>
        <v>98.553306243487526</v>
      </c>
      <c r="R1280">
        <f t="shared" si="155"/>
        <v>5.8767327956256402E-2</v>
      </c>
      <c r="S1280">
        <f t="shared" si="156"/>
        <v>0.95314355069247325</v>
      </c>
      <c r="T1280">
        <f t="shared" si="157"/>
        <v>1.2809572488725558E-6</v>
      </c>
      <c r="U1280">
        <f t="shared" si="158"/>
        <v>1.6001825154010173E-3</v>
      </c>
    </row>
    <row r="1281" spans="10:21" x14ac:dyDescent="0.35">
      <c r="J1281">
        <f t="shared" si="159"/>
        <v>1278</v>
      </c>
      <c r="K1281">
        <f>demanda!D1279</f>
        <v>0</v>
      </c>
      <c r="L1281">
        <f>demanda!I1279</f>
        <v>15</v>
      </c>
      <c r="M1281">
        <v>14.416809279416043</v>
      </c>
      <c r="N1281">
        <f t="shared" si="152"/>
        <v>0.58319072058395705</v>
      </c>
      <c r="O1281">
        <v>7.4087557083441532E-4</v>
      </c>
      <c r="P1281">
        <f t="shared" si="153"/>
        <v>5.8760813658909554E-2</v>
      </c>
      <c r="Q1281">
        <f t="shared" si="154"/>
        <v>98.553306243487526</v>
      </c>
      <c r="R1281">
        <f t="shared" si="155"/>
        <v>5.8767327956256402E-2</v>
      </c>
      <c r="S1281">
        <f t="shared" si="156"/>
        <v>0.95314355069247325</v>
      </c>
      <c r="T1281">
        <f t="shared" si="157"/>
        <v>1.2809572488725558E-6</v>
      </c>
      <c r="U1281">
        <f t="shared" si="158"/>
        <v>1.6001825154010173E-3</v>
      </c>
    </row>
    <row r="1282" spans="10:21" x14ac:dyDescent="0.35">
      <c r="J1282">
        <f t="shared" si="159"/>
        <v>1279</v>
      </c>
      <c r="K1282">
        <f>demanda!D1280</f>
        <v>0</v>
      </c>
      <c r="L1282">
        <f>demanda!I1280</f>
        <v>2</v>
      </c>
      <c r="M1282">
        <v>14.416809279416043</v>
      </c>
      <c r="N1282">
        <f t="shared" si="152"/>
        <v>-12.416809279416043</v>
      </c>
      <c r="O1282">
        <v>7.4087557083441532E-4</v>
      </c>
      <c r="P1282">
        <f t="shared" si="153"/>
        <v>-1.2510861208069368</v>
      </c>
      <c r="Q1282">
        <f t="shared" si="154"/>
        <v>98.473039768058015</v>
      </c>
      <c r="R1282">
        <f t="shared" si="155"/>
        <v>-1.2517346575747474</v>
      </c>
      <c r="S1282">
        <f t="shared" si="156"/>
        <v>0.21081911987933932</v>
      </c>
      <c r="T1282">
        <f t="shared" si="157"/>
        <v>5.8067542491350977E-4</v>
      </c>
      <c r="U1282">
        <f t="shared" si="158"/>
        <v>-3.4083630864815417E-2</v>
      </c>
    </row>
    <row r="1283" spans="10:21" x14ac:dyDescent="0.35">
      <c r="J1283">
        <f t="shared" si="159"/>
        <v>1280</v>
      </c>
      <c r="K1283">
        <f>demanda!D1281</f>
        <v>0</v>
      </c>
      <c r="L1283">
        <f>demanda!I1281</f>
        <v>3</v>
      </c>
      <c r="M1283">
        <v>14.416809279416043</v>
      </c>
      <c r="N1283">
        <f t="shared" si="152"/>
        <v>-11.416809279416043</v>
      </c>
      <c r="O1283">
        <v>7.4087557083441532E-4</v>
      </c>
      <c r="P1283">
        <f t="shared" si="153"/>
        <v>-1.150328664309564</v>
      </c>
      <c r="Q1283">
        <f t="shared" si="154"/>
        <v>98.485475268264722</v>
      </c>
      <c r="R1283">
        <f t="shared" si="155"/>
        <v>-1.1508523061099405</v>
      </c>
      <c r="S1283">
        <f t="shared" si="156"/>
        <v>0.24993638008158123</v>
      </c>
      <c r="T1283">
        <f t="shared" si="157"/>
        <v>4.9091117422407117E-4</v>
      </c>
      <c r="U1283">
        <f t="shared" si="158"/>
        <v>-3.1336693399040466E-2</v>
      </c>
    </row>
    <row r="1284" spans="10:21" x14ac:dyDescent="0.35">
      <c r="J1284">
        <f t="shared" si="159"/>
        <v>1281</v>
      </c>
      <c r="K1284">
        <f>demanda!D1282</f>
        <v>3</v>
      </c>
      <c r="L1284">
        <f>demanda!I1282</f>
        <v>3</v>
      </c>
      <c r="M1284">
        <v>6.5249082097586548</v>
      </c>
      <c r="N1284">
        <f t="shared" si="152"/>
        <v>-3.5249082097586548</v>
      </c>
      <c r="O1284">
        <v>1.3734589687128761E-3</v>
      </c>
      <c r="P1284">
        <f t="shared" si="153"/>
        <v>-0.35516078560198994</v>
      </c>
      <c r="Q1284">
        <f t="shared" si="154"/>
        <v>98.546996700749531</v>
      </c>
      <c r="R1284">
        <f t="shared" si="155"/>
        <v>-0.35532401713098288</v>
      </c>
      <c r="S1284">
        <f t="shared" si="156"/>
        <v>0.72238591463660118</v>
      </c>
      <c r="T1284">
        <f t="shared" si="157"/>
        <v>8.6861935283639592E-5</v>
      </c>
      <c r="U1284">
        <f t="shared" si="158"/>
        <v>-1.3177434192717408E-2</v>
      </c>
    </row>
    <row r="1285" spans="10:21" x14ac:dyDescent="0.35">
      <c r="J1285">
        <f t="shared" si="159"/>
        <v>1282</v>
      </c>
      <c r="K1285">
        <f>demanda!D1283</f>
        <v>0</v>
      </c>
      <c r="L1285">
        <f>demanda!I1283</f>
        <v>12</v>
      </c>
      <c r="M1285">
        <v>14.416809279416043</v>
      </c>
      <c r="N1285">
        <f t="shared" ref="N1285:N1348" si="160">L1285-M1285</f>
        <v>-2.416809279416043</v>
      </c>
      <c r="O1285">
        <v>7.4087557083441532E-4</v>
      </c>
      <c r="P1285">
        <f t="shared" ref="P1285:P1348" si="161">N1285/SQRT($X$6)</f>
        <v>-0.24351155583320885</v>
      </c>
      <c r="Q1285">
        <f t="shared" ref="Q1285:Q1348" si="162">($X$6-N1285^2/((1-O1285)*$X$5))*$X$5/($X$5-1)</f>
        <v>98.55043610055337</v>
      </c>
      <c r="R1285">
        <f t="shared" ref="R1285:R1348" si="163">N1285/SQRT(Q1285*(1-O1285))</f>
        <v>-0.24354209816225414</v>
      </c>
      <c r="S1285">
        <f t="shared" ref="S1285:S1348" si="164">_xlfn.T.DIST.2T(ABS(R1285),$X$5)</f>
        <v>0.80761150818210881</v>
      </c>
      <c r="T1285">
        <f t="shared" ref="T1285:T1348" si="165">(N1285^2/$X$6)*(O1285/(1-O1285)^2)/($X$7+1)</f>
        <v>2.199875915262289E-5</v>
      </c>
      <c r="U1285">
        <f t="shared" ref="U1285:U1348" si="166">R1285*SQRT(O1285/(1-O1285))</f>
        <v>-6.6314365617133417E-3</v>
      </c>
    </row>
    <row r="1286" spans="10:21" x14ac:dyDescent="0.35">
      <c r="J1286">
        <f t="shared" ref="J1286:J1349" si="167">J1285+1</f>
        <v>1283</v>
      </c>
      <c r="K1286">
        <f>demanda!D1284</f>
        <v>5</v>
      </c>
      <c r="L1286">
        <f>demanda!I1284</f>
        <v>3</v>
      </c>
      <c r="M1286">
        <v>1.2636408299870627</v>
      </c>
      <c r="N1286">
        <f t="shared" si="160"/>
        <v>1.7363591700129373</v>
      </c>
      <c r="O1286">
        <v>3.9509249049329382E-3</v>
      </c>
      <c r="P1286">
        <f t="shared" si="161"/>
        <v>0.17495113353639288</v>
      </c>
      <c r="Q1286">
        <f t="shared" si="162"/>
        <v>98.551905545548507</v>
      </c>
      <c r="R1286">
        <f t="shared" si="163"/>
        <v>0.17525349341046803</v>
      </c>
      <c r="S1286">
        <f t="shared" si="164"/>
        <v>0.86089894193681449</v>
      </c>
      <c r="T1286">
        <f t="shared" si="165"/>
        <v>6.0945385407997739E-5</v>
      </c>
      <c r="U1286">
        <f t="shared" si="166"/>
        <v>1.1037626730021724E-2</v>
      </c>
    </row>
    <row r="1287" spans="10:21" x14ac:dyDescent="0.35">
      <c r="J1287">
        <f t="shared" si="167"/>
        <v>1284</v>
      </c>
      <c r="K1287">
        <f>demanda!D1285</f>
        <v>2</v>
      </c>
      <c r="L1287">
        <f>demanda!I1285</f>
        <v>3</v>
      </c>
      <c r="M1287">
        <v>9.1555418996444509</v>
      </c>
      <c r="N1287">
        <f t="shared" si="160"/>
        <v>-6.1555418996444509</v>
      </c>
      <c r="O1287">
        <v>7.3144910189317154E-4</v>
      </c>
      <c r="P1287">
        <f t="shared" si="161"/>
        <v>-0.62021674517118131</v>
      </c>
      <c r="Q1287">
        <f t="shared" si="162"/>
        <v>98.533713924458709</v>
      </c>
      <c r="R1287">
        <f t="shared" si="163"/>
        <v>-0.62034424251421916</v>
      </c>
      <c r="S1287">
        <f t="shared" si="164"/>
        <v>0.53510483257501296</v>
      </c>
      <c r="T1287">
        <f t="shared" si="165"/>
        <v>1.4088885884323287E-4</v>
      </c>
      <c r="U1287">
        <f t="shared" si="166"/>
        <v>-1.6783545165498539E-2</v>
      </c>
    </row>
    <row r="1288" spans="10:21" x14ac:dyDescent="0.35">
      <c r="J1288">
        <f t="shared" si="167"/>
        <v>1285</v>
      </c>
      <c r="K1288">
        <f>demanda!D1286</f>
        <v>2</v>
      </c>
      <c r="L1288">
        <f>demanda!I1286</f>
        <v>4</v>
      </c>
      <c r="M1288">
        <v>9.1555418996444509</v>
      </c>
      <c r="N1288">
        <f t="shared" si="160"/>
        <v>-5.1555418996444509</v>
      </c>
      <c r="O1288">
        <v>7.3144910189317154E-4</v>
      </c>
      <c r="P1288">
        <f t="shared" si="161"/>
        <v>-0.51945928867380853</v>
      </c>
      <c r="Q1288">
        <f t="shared" si="162"/>
        <v>98.539615573748293</v>
      </c>
      <c r="R1288">
        <f t="shared" si="163"/>
        <v>-0.51955051447259837</v>
      </c>
      <c r="S1288">
        <f t="shared" si="164"/>
        <v>0.60343681513546954</v>
      </c>
      <c r="T1288">
        <f t="shared" si="165"/>
        <v>9.8830890695332879E-5</v>
      </c>
      <c r="U1288">
        <f t="shared" si="166"/>
        <v>-1.4056549457229766E-2</v>
      </c>
    </row>
    <row r="1289" spans="10:21" x14ac:dyDescent="0.35">
      <c r="J1289">
        <f t="shared" si="167"/>
        <v>1286</v>
      </c>
      <c r="K1289">
        <f>demanda!D1287</f>
        <v>1</v>
      </c>
      <c r="L1289">
        <f>demanda!I1287</f>
        <v>12</v>
      </c>
      <c r="M1289">
        <v>11.786175589530247</v>
      </c>
      <c r="N1289">
        <f t="shared" si="160"/>
        <v>0.21382441046975309</v>
      </c>
      <c r="O1289">
        <v>5.2058796926701797E-4</v>
      </c>
      <c r="P1289">
        <f t="shared" si="161"/>
        <v>2.1544403735982532E-2</v>
      </c>
      <c r="Q1289">
        <f t="shared" si="162"/>
        <v>98.55345985083423</v>
      </c>
      <c r="R1289">
        <f t="shared" si="163"/>
        <v>2.1544400773202785E-2</v>
      </c>
      <c r="S1289">
        <f t="shared" si="164"/>
        <v>0.98281362479024093</v>
      </c>
      <c r="T1289">
        <f t="shared" si="165"/>
        <v>1.2094429421903031E-7</v>
      </c>
      <c r="U1289">
        <f t="shared" si="166"/>
        <v>4.9169360139701592E-4</v>
      </c>
    </row>
    <row r="1290" spans="10:21" x14ac:dyDescent="0.35">
      <c r="J1290">
        <f t="shared" si="167"/>
        <v>1287</v>
      </c>
      <c r="K1290">
        <f>demanda!D1288</f>
        <v>5</v>
      </c>
      <c r="L1290">
        <f>demanda!I1288</f>
        <v>2</v>
      </c>
      <c r="M1290">
        <v>1.2636408299870627</v>
      </c>
      <c r="N1290">
        <f t="shared" si="160"/>
        <v>0.73635917001293727</v>
      </c>
      <c r="O1290">
        <v>3.9509249049329382E-3</v>
      </c>
      <c r="P1290">
        <f t="shared" si="161"/>
        <v>7.4193677039020078E-2</v>
      </c>
      <c r="Q1290">
        <f t="shared" si="162"/>
        <v>98.553199876422468</v>
      </c>
      <c r="R1290">
        <f t="shared" si="163"/>
        <v>7.4321414457959423E-2</v>
      </c>
      <c r="S1290">
        <f t="shared" si="164"/>
        <v>0.94076238398569867</v>
      </c>
      <c r="T1290">
        <f t="shared" si="165"/>
        <v>1.0960770814463366E-5</v>
      </c>
      <c r="U1290">
        <f t="shared" si="166"/>
        <v>4.680831262592092E-3</v>
      </c>
    </row>
    <row r="1291" spans="10:21" x14ac:dyDescent="0.35">
      <c r="J1291">
        <f t="shared" si="167"/>
        <v>1288</v>
      </c>
      <c r="K1291">
        <f>demanda!D1289</f>
        <v>0</v>
      </c>
      <c r="L1291">
        <f>demanda!I1289</f>
        <v>2</v>
      </c>
      <c r="M1291">
        <v>14.416809279416043</v>
      </c>
      <c r="N1291">
        <f t="shared" si="160"/>
        <v>-12.416809279416043</v>
      </c>
      <c r="O1291">
        <v>7.4087557083441532E-4</v>
      </c>
      <c r="P1291">
        <f t="shared" si="161"/>
        <v>-1.2510861208069368</v>
      </c>
      <c r="Q1291">
        <f t="shared" si="162"/>
        <v>98.473039768058015</v>
      </c>
      <c r="R1291">
        <f t="shared" si="163"/>
        <v>-1.2517346575747474</v>
      </c>
      <c r="S1291">
        <f t="shared" si="164"/>
        <v>0.21081911987933932</v>
      </c>
      <c r="T1291">
        <f t="shared" si="165"/>
        <v>5.8067542491350977E-4</v>
      </c>
      <c r="U1291">
        <f t="shared" si="166"/>
        <v>-3.4083630864815417E-2</v>
      </c>
    </row>
    <row r="1292" spans="10:21" x14ac:dyDescent="0.35">
      <c r="J1292">
        <f t="shared" si="167"/>
        <v>1289</v>
      </c>
      <c r="K1292">
        <f>demanda!D1290</f>
        <v>0</v>
      </c>
      <c r="L1292">
        <f>demanda!I1290</f>
        <v>18</v>
      </c>
      <c r="M1292">
        <v>14.416809279416043</v>
      </c>
      <c r="N1292">
        <f t="shared" si="160"/>
        <v>3.583190720583957</v>
      </c>
      <c r="O1292">
        <v>7.4087557083441532E-4</v>
      </c>
      <c r="P1292">
        <f t="shared" si="161"/>
        <v>0.36103318315102795</v>
      </c>
      <c r="Q1292">
        <f t="shared" si="162"/>
        <v>98.546784652507341</v>
      </c>
      <c r="R1292">
        <f t="shared" si="163"/>
        <v>0.3610851550254302</v>
      </c>
      <c r="S1292">
        <f t="shared" si="164"/>
        <v>0.7180755365508017</v>
      </c>
      <c r="T1292">
        <f t="shared" si="165"/>
        <v>4.8356323571821784E-5</v>
      </c>
      <c r="U1292">
        <f t="shared" si="166"/>
        <v>9.8320303429934326E-3</v>
      </c>
    </row>
    <row r="1293" spans="10:21" x14ac:dyDescent="0.35">
      <c r="J1293">
        <f t="shared" si="167"/>
        <v>1290</v>
      </c>
      <c r="K1293">
        <f>demanda!D1291</f>
        <v>0</v>
      </c>
      <c r="L1293">
        <f>demanda!I1291</f>
        <v>6</v>
      </c>
      <c r="M1293">
        <v>14.416809279416043</v>
      </c>
      <c r="N1293">
        <f t="shared" si="160"/>
        <v>-8.416809279416043</v>
      </c>
      <c r="O1293">
        <v>7.4087557083441532E-4</v>
      </c>
      <c r="P1293">
        <f t="shared" si="161"/>
        <v>-0.84805629481744571</v>
      </c>
      <c r="Q1293">
        <f t="shared" si="162"/>
        <v>98.51652061294196</v>
      </c>
      <c r="R1293">
        <f t="shared" si="163"/>
        <v>-0.8483086443975183</v>
      </c>
      <c r="S1293">
        <f t="shared" si="164"/>
        <v>0.39637190285902191</v>
      </c>
      <c r="T1293">
        <f t="shared" si="165"/>
        <v>2.6681386764022222E-4</v>
      </c>
      <c r="U1293">
        <f t="shared" si="166"/>
        <v>-2.3098696293268058E-2</v>
      </c>
    </row>
    <row r="1294" spans="10:21" x14ac:dyDescent="0.35">
      <c r="J1294">
        <f t="shared" si="167"/>
        <v>1291</v>
      </c>
      <c r="K1294">
        <f>demanda!D1292</f>
        <v>3</v>
      </c>
      <c r="L1294">
        <f>demanda!I1292</f>
        <v>36</v>
      </c>
      <c r="M1294">
        <v>6.5249082097586548</v>
      </c>
      <c r="N1294">
        <f t="shared" si="160"/>
        <v>29.475091790241343</v>
      </c>
      <c r="O1294">
        <v>1.3734589687128761E-3</v>
      </c>
      <c r="P1294">
        <f t="shared" si="161"/>
        <v>2.9698352788113125</v>
      </c>
      <c r="Q1294">
        <f t="shared" si="162"/>
        <v>98.099898762424559</v>
      </c>
      <c r="R1294">
        <f t="shared" si="163"/>
        <v>2.9779632533441096</v>
      </c>
      <c r="S1294">
        <f t="shared" si="164"/>
        <v>2.9380716857509153E-3</v>
      </c>
      <c r="T1294">
        <f t="shared" si="165"/>
        <v>6.0735723486502018E-3</v>
      </c>
      <c r="U1294">
        <f t="shared" si="166"/>
        <v>0.11043980397420454</v>
      </c>
    </row>
    <row r="1295" spans="10:21" x14ac:dyDescent="0.35">
      <c r="J1295">
        <f t="shared" si="167"/>
        <v>1292</v>
      </c>
      <c r="K1295">
        <f>demanda!D1293</f>
        <v>1</v>
      </c>
      <c r="L1295">
        <f>demanda!I1293</f>
        <v>9</v>
      </c>
      <c r="M1295">
        <v>11.786175589530247</v>
      </c>
      <c r="N1295">
        <f t="shared" si="160"/>
        <v>-2.7861755895302469</v>
      </c>
      <c r="O1295">
        <v>5.2058796926701797E-4</v>
      </c>
      <c r="P1295">
        <f t="shared" si="161"/>
        <v>-0.2807279657561359</v>
      </c>
      <c r="Q1295">
        <f t="shared" si="162"/>
        <v>98.549434265310296</v>
      </c>
      <c r="R1295">
        <f t="shared" si="163"/>
        <v>-0.2807336607336009</v>
      </c>
      <c r="S1295">
        <f t="shared" si="164"/>
        <v>0.77894495126310248</v>
      </c>
      <c r="T1295">
        <f t="shared" si="165"/>
        <v>2.0534672635962656E-5</v>
      </c>
      <c r="U1295">
        <f t="shared" si="166"/>
        <v>-6.4069985576559628E-3</v>
      </c>
    </row>
    <row r="1296" spans="10:21" x14ac:dyDescent="0.35">
      <c r="J1296">
        <f t="shared" si="167"/>
        <v>1293</v>
      </c>
      <c r="K1296">
        <f>demanda!D1294</f>
        <v>4</v>
      </c>
      <c r="L1296">
        <f>demanda!I1294</f>
        <v>2</v>
      </c>
      <c r="M1296">
        <v>3.8942745198728588</v>
      </c>
      <c r="N1296">
        <f t="shared" si="160"/>
        <v>-1.8942745198728588</v>
      </c>
      <c r="O1296">
        <v>2.4466175697261316E-3</v>
      </c>
      <c r="P1296">
        <f t="shared" si="161"/>
        <v>-0.19086228253017132</v>
      </c>
      <c r="Q1296">
        <f t="shared" si="162"/>
        <v>98.551608270054842</v>
      </c>
      <c r="R1296">
        <f t="shared" si="163"/>
        <v>-0.19104821608300357</v>
      </c>
      <c r="S1296">
        <f t="shared" si="164"/>
        <v>0.84850802764464628</v>
      </c>
      <c r="T1296">
        <f t="shared" si="165"/>
        <v>4.4782056131641625E-5</v>
      </c>
      <c r="U1296">
        <f t="shared" si="166"/>
        <v>-9.4614556750527434E-3</v>
      </c>
    </row>
    <row r="1297" spans="10:21" x14ac:dyDescent="0.35">
      <c r="J1297">
        <f t="shared" si="167"/>
        <v>1294</v>
      </c>
      <c r="K1297">
        <f>demanda!D1295</f>
        <v>1</v>
      </c>
      <c r="L1297">
        <f>demanda!I1295</f>
        <v>3</v>
      </c>
      <c r="M1297">
        <v>11.786175589530247</v>
      </c>
      <c r="N1297">
        <f t="shared" si="160"/>
        <v>-8.7861755895302469</v>
      </c>
      <c r="O1297">
        <v>5.2058796926701797E-4</v>
      </c>
      <c r="P1297">
        <f t="shared" si="161"/>
        <v>-0.88527270474037267</v>
      </c>
      <c r="Q1297">
        <f t="shared" si="162"/>
        <v>98.513214102399758</v>
      </c>
      <c r="R1297">
        <f t="shared" si="163"/>
        <v>-0.88545339538896362</v>
      </c>
      <c r="S1297">
        <f t="shared" si="164"/>
        <v>0.37602308055069167</v>
      </c>
      <c r="T1297">
        <f t="shared" si="165"/>
        <v>2.0420697614382047E-4</v>
      </c>
      <c r="U1297">
        <f t="shared" si="166"/>
        <v>-2.0208116875988336E-2</v>
      </c>
    </row>
    <row r="1298" spans="10:21" x14ac:dyDescent="0.35">
      <c r="J1298">
        <f t="shared" si="167"/>
        <v>1295</v>
      </c>
      <c r="K1298">
        <f>demanda!D1296</f>
        <v>2</v>
      </c>
      <c r="L1298">
        <f>demanda!I1296</f>
        <v>11</v>
      </c>
      <c r="M1298">
        <v>9.1555418996444509</v>
      </c>
      <c r="N1298">
        <f t="shared" si="160"/>
        <v>1.8444581003555491</v>
      </c>
      <c r="O1298">
        <v>7.3144910189317154E-4</v>
      </c>
      <c r="P1298">
        <f t="shared" si="161"/>
        <v>0.18584290680780113</v>
      </c>
      <c r="Q1298">
        <f t="shared" si="162"/>
        <v>98.551708666672923</v>
      </c>
      <c r="R1298">
        <f t="shared" si="163"/>
        <v>0.18586413938454407</v>
      </c>
      <c r="S1298">
        <f t="shared" si="164"/>
        <v>0.85257094830757985</v>
      </c>
      <c r="T1298">
        <f t="shared" si="165"/>
        <v>1.2649741651071969E-5</v>
      </c>
      <c r="U1298">
        <f t="shared" si="166"/>
        <v>5.0285937455694357E-3</v>
      </c>
    </row>
    <row r="1299" spans="10:21" x14ac:dyDescent="0.35">
      <c r="J1299">
        <f t="shared" si="167"/>
        <v>1296</v>
      </c>
      <c r="K1299">
        <f>demanda!D1297</f>
        <v>0</v>
      </c>
      <c r="L1299">
        <f>demanda!I1297</f>
        <v>4</v>
      </c>
      <c r="M1299">
        <v>14.416809279416043</v>
      </c>
      <c r="N1299">
        <f t="shared" si="160"/>
        <v>-10.416809279416043</v>
      </c>
      <c r="O1299">
        <v>7.4087557083441532E-4</v>
      </c>
      <c r="P1299">
        <f t="shared" si="161"/>
        <v>-1.0495712078121913</v>
      </c>
      <c r="Q1299">
        <f t="shared" si="162"/>
        <v>98.49686724248096</v>
      </c>
      <c r="R1299">
        <f t="shared" si="163"/>
        <v>-1.049988258586362</v>
      </c>
      <c r="S1299">
        <f t="shared" si="164"/>
        <v>0.29385572056513598</v>
      </c>
      <c r="T1299">
        <f t="shared" si="165"/>
        <v>4.0867949778204384E-4</v>
      </c>
      <c r="U1299">
        <f t="shared" si="166"/>
        <v>-2.8590254333443563E-2</v>
      </c>
    </row>
    <row r="1300" spans="10:21" x14ac:dyDescent="0.35">
      <c r="J1300">
        <f t="shared" si="167"/>
        <v>1297</v>
      </c>
      <c r="K1300">
        <f>demanda!D1298</f>
        <v>0</v>
      </c>
      <c r="L1300">
        <f>demanda!I1298</f>
        <v>3</v>
      </c>
      <c r="M1300">
        <v>14.416809279416043</v>
      </c>
      <c r="N1300">
        <f t="shared" si="160"/>
        <v>-11.416809279416043</v>
      </c>
      <c r="O1300">
        <v>7.4087557083441532E-4</v>
      </c>
      <c r="P1300">
        <f t="shared" si="161"/>
        <v>-1.150328664309564</v>
      </c>
      <c r="Q1300">
        <f t="shared" si="162"/>
        <v>98.485475268264722</v>
      </c>
      <c r="R1300">
        <f t="shared" si="163"/>
        <v>-1.1508523061099405</v>
      </c>
      <c r="S1300">
        <f t="shared" si="164"/>
        <v>0.24993638008158123</v>
      </c>
      <c r="T1300">
        <f t="shared" si="165"/>
        <v>4.9091117422407117E-4</v>
      </c>
      <c r="U1300">
        <f t="shared" si="166"/>
        <v>-3.1336693399040466E-2</v>
      </c>
    </row>
    <row r="1301" spans="10:21" x14ac:dyDescent="0.35">
      <c r="J1301">
        <f t="shared" si="167"/>
        <v>1298</v>
      </c>
      <c r="K1301">
        <f>demanda!D1299</f>
        <v>2</v>
      </c>
      <c r="L1301">
        <f>demanda!I1299</f>
        <v>3</v>
      </c>
      <c r="M1301">
        <v>9.1555418996444509</v>
      </c>
      <c r="N1301">
        <f t="shared" si="160"/>
        <v>-6.1555418996444509</v>
      </c>
      <c r="O1301">
        <v>7.3144910189317154E-4</v>
      </c>
      <c r="P1301">
        <f t="shared" si="161"/>
        <v>-0.62021674517118131</v>
      </c>
      <c r="Q1301">
        <f t="shared" si="162"/>
        <v>98.533713924458709</v>
      </c>
      <c r="R1301">
        <f t="shared" si="163"/>
        <v>-0.62034424251421916</v>
      </c>
      <c r="S1301">
        <f t="shared" si="164"/>
        <v>0.53510483257501296</v>
      </c>
      <c r="T1301">
        <f t="shared" si="165"/>
        <v>1.4088885884323287E-4</v>
      </c>
      <c r="U1301">
        <f t="shared" si="166"/>
        <v>-1.6783545165498539E-2</v>
      </c>
    </row>
    <row r="1302" spans="10:21" x14ac:dyDescent="0.35">
      <c r="J1302">
        <f t="shared" si="167"/>
        <v>1299</v>
      </c>
      <c r="K1302">
        <f>demanda!D1300</f>
        <v>3</v>
      </c>
      <c r="L1302">
        <f>demanda!I1300</f>
        <v>2</v>
      </c>
      <c r="M1302">
        <v>6.5249082097586548</v>
      </c>
      <c r="N1302">
        <f t="shared" si="160"/>
        <v>-4.5249082097586548</v>
      </c>
      <c r="O1302">
        <v>1.3734589687128761E-3</v>
      </c>
      <c r="P1302">
        <f t="shared" si="161"/>
        <v>-0.45591824209936271</v>
      </c>
      <c r="Q1302">
        <f t="shared" si="162"/>
        <v>98.542793943857959</v>
      </c>
      <c r="R1302">
        <f t="shared" si="163"/>
        <v>-0.45613750825631832</v>
      </c>
      <c r="S1302">
        <f t="shared" si="164"/>
        <v>0.64834271460897308</v>
      </c>
      <c r="T1302">
        <f t="shared" si="165"/>
        <v>1.4313749884792331E-4</v>
      </c>
      <c r="U1302">
        <f t="shared" si="166"/>
        <v>-1.6916171460658679E-2</v>
      </c>
    </row>
    <row r="1303" spans="10:21" x14ac:dyDescent="0.35">
      <c r="J1303">
        <f t="shared" si="167"/>
        <v>1300</v>
      </c>
      <c r="K1303">
        <f>demanda!D1301</f>
        <v>0</v>
      </c>
      <c r="L1303">
        <f>demanda!I1301</f>
        <v>7</v>
      </c>
      <c r="M1303">
        <v>14.416809279416043</v>
      </c>
      <c r="N1303">
        <f t="shared" si="160"/>
        <v>-7.416809279416043</v>
      </c>
      <c r="O1303">
        <v>7.4087557083441532E-4</v>
      </c>
      <c r="P1303">
        <f t="shared" si="161"/>
        <v>-0.74729883832007293</v>
      </c>
      <c r="Q1303">
        <f t="shared" si="162"/>
        <v>98.524782009186751</v>
      </c>
      <c r="R1303">
        <f t="shared" si="163"/>
        <v>-0.74748986544241569</v>
      </c>
      <c r="S1303">
        <f t="shared" si="164"/>
        <v>0.45485950007005715</v>
      </c>
      <c r="T1303">
        <f t="shared" si="165"/>
        <v>2.0717991394042799E-4</v>
      </c>
      <c r="U1303">
        <f t="shared" si="166"/>
        <v>-2.0353489850869988E-2</v>
      </c>
    </row>
    <row r="1304" spans="10:21" x14ac:dyDescent="0.35">
      <c r="J1304">
        <f t="shared" si="167"/>
        <v>1301</v>
      </c>
      <c r="K1304">
        <f>demanda!D1302</f>
        <v>0</v>
      </c>
      <c r="L1304">
        <f>demanda!I1302</f>
        <v>12</v>
      </c>
      <c r="M1304">
        <v>14.416809279416043</v>
      </c>
      <c r="N1304">
        <f t="shared" si="160"/>
        <v>-2.416809279416043</v>
      </c>
      <c r="O1304">
        <v>7.4087557083441532E-4</v>
      </c>
      <c r="P1304">
        <f t="shared" si="161"/>
        <v>-0.24351155583320885</v>
      </c>
      <c r="Q1304">
        <f t="shared" si="162"/>
        <v>98.55043610055337</v>
      </c>
      <c r="R1304">
        <f t="shared" si="163"/>
        <v>-0.24354209816225414</v>
      </c>
      <c r="S1304">
        <f t="shared" si="164"/>
        <v>0.80761150818210881</v>
      </c>
      <c r="T1304">
        <f t="shared" si="165"/>
        <v>2.199875915262289E-5</v>
      </c>
      <c r="U1304">
        <f t="shared" si="166"/>
        <v>-6.6314365617133417E-3</v>
      </c>
    </row>
    <row r="1305" spans="10:21" x14ac:dyDescent="0.35">
      <c r="J1305">
        <f t="shared" si="167"/>
        <v>1302</v>
      </c>
      <c r="K1305">
        <f>demanda!D1303</f>
        <v>0</v>
      </c>
      <c r="L1305">
        <f>demanda!I1303</f>
        <v>34</v>
      </c>
      <c r="M1305">
        <v>14.416809279416043</v>
      </c>
      <c r="N1305">
        <f t="shared" si="160"/>
        <v>19.583190720583957</v>
      </c>
      <c r="O1305">
        <v>7.4087557083441532E-4</v>
      </c>
      <c r="P1305">
        <f t="shared" si="161"/>
        <v>1.9731524871089929</v>
      </c>
      <c r="Q1305">
        <f t="shared" si="162"/>
        <v>98.353386883392687</v>
      </c>
      <c r="R1305">
        <f t="shared" si="163"/>
        <v>1.9753758151645147</v>
      </c>
      <c r="S1305">
        <f t="shared" si="164"/>
        <v>4.8368602165151535E-2</v>
      </c>
      <c r="T1305">
        <f t="shared" si="165"/>
        <v>1.4443762295673656E-3</v>
      </c>
      <c r="U1305">
        <f t="shared" si="166"/>
        <v>5.3787741432197791E-2</v>
      </c>
    </row>
    <row r="1306" spans="10:21" x14ac:dyDescent="0.35">
      <c r="J1306">
        <f t="shared" si="167"/>
        <v>1303</v>
      </c>
      <c r="K1306">
        <f>demanda!D1304</f>
        <v>0</v>
      </c>
      <c r="L1306">
        <f>demanda!I1304</f>
        <v>10</v>
      </c>
      <c r="M1306">
        <v>14.416809279416043</v>
      </c>
      <c r="N1306">
        <f t="shared" si="160"/>
        <v>-4.416809279416043</v>
      </c>
      <c r="O1306">
        <v>7.4087557083441532E-4</v>
      </c>
      <c r="P1306">
        <f t="shared" si="161"/>
        <v>-0.44502646882795449</v>
      </c>
      <c r="Q1306">
        <f t="shared" si="162"/>
        <v>98.543305041978172</v>
      </c>
      <c r="R1306">
        <f t="shared" si="163"/>
        <v>-0.44509838991165818</v>
      </c>
      <c r="S1306">
        <f t="shared" si="164"/>
        <v>0.65629885256814913</v>
      </c>
      <c r="T1306">
        <f t="shared" si="165"/>
        <v>7.3473498325511761E-5</v>
      </c>
      <c r="U1306">
        <f t="shared" si="166"/>
        <v>-1.2119636640616644E-2</v>
      </c>
    </row>
    <row r="1307" spans="10:21" x14ac:dyDescent="0.35">
      <c r="J1307">
        <f t="shared" si="167"/>
        <v>1304</v>
      </c>
      <c r="K1307">
        <f>demanda!D1305</f>
        <v>1</v>
      </c>
      <c r="L1307">
        <f>demanda!I1305</f>
        <v>5</v>
      </c>
      <c r="M1307">
        <v>11.786175589530247</v>
      </c>
      <c r="N1307">
        <f t="shared" si="160"/>
        <v>-6.7861755895302469</v>
      </c>
      <c r="O1307">
        <v>5.2058796926701797E-4</v>
      </c>
      <c r="P1307">
        <f t="shared" si="161"/>
        <v>-0.68375779174562712</v>
      </c>
      <c r="Q1307">
        <f t="shared" si="162"/>
        <v>98.529460674016264</v>
      </c>
      <c r="R1307">
        <f t="shared" si="163"/>
        <v>-0.68384096531208116</v>
      </c>
      <c r="S1307">
        <f t="shared" si="164"/>
        <v>0.49415815943295716</v>
      </c>
      <c r="T1307">
        <f t="shared" si="165"/>
        <v>1.2182067544499816E-4</v>
      </c>
      <c r="U1307">
        <f t="shared" si="166"/>
        <v>-1.560684980551091E-2</v>
      </c>
    </row>
    <row r="1308" spans="10:21" x14ac:dyDescent="0.35">
      <c r="J1308">
        <f t="shared" si="167"/>
        <v>1305</v>
      </c>
      <c r="K1308">
        <f>demanda!D1306</f>
        <v>0</v>
      </c>
      <c r="L1308">
        <f>demanda!I1306</f>
        <v>14</v>
      </c>
      <c r="M1308">
        <v>14.416809279416043</v>
      </c>
      <c r="N1308">
        <f t="shared" si="160"/>
        <v>-0.41680927941604295</v>
      </c>
      <c r="O1308">
        <v>7.4087557083441532E-4</v>
      </c>
      <c r="P1308">
        <f t="shared" si="161"/>
        <v>-4.1996642838463258E-2</v>
      </c>
      <c r="Q1308">
        <f t="shared" si="162"/>
        <v>98.553393055166637</v>
      </c>
      <c r="R1308">
        <f t="shared" si="163"/>
        <v>-4.2001280140228352E-2</v>
      </c>
      <c r="S1308">
        <f t="shared" si="164"/>
        <v>0.96650204701357412</v>
      </c>
      <c r="T1308">
        <f t="shared" si="165"/>
        <v>6.5431696937827154E-7</v>
      </c>
      <c r="U1308">
        <f t="shared" si="166"/>
        <v>-1.1436578187608104E-3</v>
      </c>
    </row>
    <row r="1309" spans="10:21" x14ac:dyDescent="0.35">
      <c r="J1309">
        <f t="shared" si="167"/>
        <v>1306</v>
      </c>
      <c r="K1309">
        <f>demanda!D1307</f>
        <v>2</v>
      </c>
      <c r="L1309">
        <f>demanda!I1307</f>
        <v>5</v>
      </c>
      <c r="M1309">
        <v>9.1555418996444509</v>
      </c>
      <c r="N1309">
        <f t="shared" si="160"/>
        <v>-4.1555418996444509</v>
      </c>
      <c r="O1309">
        <v>7.3144910189317154E-4</v>
      </c>
      <c r="P1309">
        <f t="shared" si="161"/>
        <v>-0.4187018321764357</v>
      </c>
      <c r="Q1309">
        <f t="shared" si="162"/>
        <v>98.544473706891381</v>
      </c>
      <c r="R1309">
        <f t="shared" si="163"/>
        <v>-0.41876504056165376</v>
      </c>
      <c r="S1309">
        <f t="shared" si="164"/>
        <v>0.67543472022045181</v>
      </c>
      <c r="T1309">
        <f t="shared" si="165"/>
        <v>6.420951640425571E-5</v>
      </c>
      <c r="U1309">
        <f t="shared" si="166"/>
        <v>-1.1329777066218591E-2</v>
      </c>
    </row>
    <row r="1310" spans="10:21" x14ac:dyDescent="0.35">
      <c r="J1310">
        <f t="shared" si="167"/>
        <v>1307</v>
      </c>
      <c r="K1310">
        <f>demanda!D1308</f>
        <v>7</v>
      </c>
      <c r="L1310">
        <f>demanda!I1308</f>
        <v>2</v>
      </c>
      <c r="M1310">
        <v>-3.9976265497845276</v>
      </c>
      <c r="N1310">
        <f t="shared" si="160"/>
        <v>5.9976265497845276</v>
      </c>
      <c r="O1310">
        <v>8.2529857779272044E-3</v>
      </c>
      <c r="P1310">
        <f t="shared" si="161"/>
        <v>0.60430559617740265</v>
      </c>
      <c r="Q1310">
        <f t="shared" si="162"/>
        <v>98.534572925657486</v>
      </c>
      <c r="R1310">
        <f t="shared" si="163"/>
        <v>0.60671488537774965</v>
      </c>
      <c r="S1310">
        <f t="shared" si="164"/>
        <v>0.54411191093668032</v>
      </c>
      <c r="T1310">
        <f t="shared" si="165"/>
        <v>1.5321191111339831E-3</v>
      </c>
      <c r="U1310">
        <f t="shared" si="166"/>
        <v>5.5346447184707208E-2</v>
      </c>
    </row>
    <row r="1311" spans="10:21" x14ac:dyDescent="0.35">
      <c r="J1311">
        <f t="shared" si="167"/>
        <v>1308</v>
      </c>
      <c r="K1311">
        <f>demanda!D1309</f>
        <v>0</v>
      </c>
      <c r="L1311">
        <f>demanda!I1309</f>
        <v>11</v>
      </c>
      <c r="M1311">
        <v>14.416809279416043</v>
      </c>
      <c r="N1311">
        <f t="shared" si="160"/>
        <v>-3.416809279416043</v>
      </c>
      <c r="O1311">
        <v>7.4087557083441532E-4</v>
      </c>
      <c r="P1311">
        <f t="shared" si="161"/>
        <v>-0.34426901233058166</v>
      </c>
      <c r="Q1311">
        <f t="shared" si="162"/>
        <v>98.547392334261005</v>
      </c>
      <c r="R1311">
        <f t="shared" si="163"/>
        <v>-0.34431750934619676</v>
      </c>
      <c r="S1311">
        <f t="shared" si="164"/>
        <v>0.73064524437297085</v>
      </c>
      <c r="T1311">
        <f t="shared" si="165"/>
        <v>4.3969841615361785E-5</v>
      </c>
      <c r="U1311">
        <f t="shared" si="166"/>
        <v>-9.3754621379472432E-3</v>
      </c>
    </row>
    <row r="1312" spans="10:21" x14ac:dyDescent="0.35">
      <c r="J1312">
        <f t="shared" si="167"/>
        <v>1309</v>
      </c>
      <c r="K1312">
        <f>demanda!D1310</f>
        <v>0</v>
      </c>
      <c r="L1312">
        <f>demanda!I1310</f>
        <v>4</v>
      </c>
      <c r="M1312">
        <v>14.416809279416043</v>
      </c>
      <c r="N1312">
        <f t="shared" si="160"/>
        <v>-10.416809279416043</v>
      </c>
      <c r="O1312">
        <v>7.4087557083441532E-4</v>
      </c>
      <c r="P1312">
        <f t="shared" si="161"/>
        <v>-1.0495712078121913</v>
      </c>
      <c r="Q1312">
        <f t="shared" si="162"/>
        <v>98.49686724248096</v>
      </c>
      <c r="R1312">
        <f t="shared" si="163"/>
        <v>-1.049988258586362</v>
      </c>
      <c r="S1312">
        <f t="shared" si="164"/>
        <v>0.29385572056513598</v>
      </c>
      <c r="T1312">
        <f t="shared" si="165"/>
        <v>4.0867949778204384E-4</v>
      </c>
      <c r="U1312">
        <f t="shared" si="166"/>
        <v>-2.8590254333443563E-2</v>
      </c>
    </row>
    <row r="1313" spans="10:21" x14ac:dyDescent="0.35">
      <c r="J1313">
        <f t="shared" si="167"/>
        <v>1310</v>
      </c>
      <c r="K1313">
        <f>demanda!D1311</f>
        <v>3</v>
      </c>
      <c r="L1313">
        <f>demanda!I1311</f>
        <v>2</v>
      </c>
      <c r="M1313">
        <v>6.5249082097586548</v>
      </c>
      <c r="N1313">
        <f t="shared" si="160"/>
        <v>-4.5249082097586548</v>
      </c>
      <c r="O1313">
        <v>1.3734589687128761E-3</v>
      </c>
      <c r="P1313">
        <f t="shared" si="161"/>
        <v>-0.45591824209936271</v>
      </c>
      <c r="Q1313">
        <f t="shared" si="162"/>
        <v>98.542793943857959</v>
      </c>
      <c r="R1313">
        <f t="shared" si="163"/>
        <v>-0.45613750825631832</v>
      </c>
      <c r="S1313">
        <f t="shared" si="164"/>
        <v>0.64834271460897308</v>
      </c>
      <c r="T1313">
        <f t="shared" si="165"/>
        <v>1.4313749884792331E-4</v>
      </c>
      <c r="U1313">
        <f t="shared" si="166"/>
        <v>-1.6916171460658679E-2</v>
      </c>
    </row>
    <row r="1314" spans="10:21" x14ac:dyDescent="0.35">
      <c r="J1314">
        <f t="shared" si="167"/>
        <v>1311</v>
      </c>
      <c r="K1314">
        <f>demanda!D1312</f>
        <v>3</v>
      </c>
      <c r="L1314">
        <f>demanda!I1312</f>
        <v>6</v>
      </c>
      <c r="M1314">
        <v>6.5249082097586548</v>
      </c>
      <c r="N1314">
        <f t="shared" si="160"/>
        <v>-0.52490820975865482</v>
      </c>
      <c r="O1314">
        <v>1.3734589687128761E-3</v>
      </c>
      <c r="P1314">
        <f t="shared" si="161"/>
        <v>-5.2888416109871501E-2</v>
      </c>
      <c r="Q1314">
        <f t="shared" si="162"/>
        <v>98.553339849330712</v>
      </c>
      <c r="R1314">
        <f t="shared" si="163"/>
        <v>-5.2911020743637571E-2</v>
      </c>
      <c r="S1314">
        <f t="shared" si="164"/>
        <v>0.95780831059206073</v>
      </c>
      <c r="T1314">
        <f t="shared" si="165"/>
        <v>1.9261965799640987E-6</v>
      </c>
      <c r="U1314">
        <f t="shared" si="166"/>
        <v>-1.9622413918104777E-3</v>
      </c>
    </row>
    <row r="1315" spans="10:21" x14ac:dyDescent="0.35">
      <c r="J1315">
        <f t="shared" si="167"/>
        <v>1312</v>
      </c>
      <c r="K1315">
        <f>demanda!D1313</f>
        <v>1</v>
      </c>
      <c r="L1315">
        <f>demanda!I1313</f>
        <v>9</v>
      </c>
      <c r="M1315">
        <v>11.786175589530247</v>
      </c>
      <c r="N1315">
        <f t="shared" si="160"/>
        <v>-2.7861755895302469</v>
      </c>
      <c r="O1315">
        <v>5.2058796926701797E-4</v>
      </c>
      <c r="P1315">
        <f t="shared" si="161"/>
        <v>-0.2807279657561359</v>
      </c>
      <c r="Q1315">
        <f t="shared" si="162"/>
        <v>98.549434265310296</v>
      </c>
      <c r="R1315">
        <f t="shared" si="163"/>
        <v>-0.2807336607336009</v>
      </c>
      <c r="S1315">
        <f t="shared" si="164"/>
        <v>0.77894495126310248</v>
      </c>
      <c r="T1315">
        <f t="shared" si="165"/>
        <v>2.0534672635962656E-5</v>
      </c>
      <c r="U1315">
        <f t="shared" si="166"/>
        <v>-6.4069985576559628E-3</v>
      </c>
    </row>
    <row r="1316" spans="10:21" x14ac:dyDescent="0.35">
      <c r="J1316">
        <f t="shared" si="167"/>
        <v>1313</v>
      </c>
      <c r="K1316">
        <f>demanda!D1314</f>
        <v>0</v>
      </c>
      <c r="L1316">
        <f>demanda!I1314</f>
        <v>21</v>
      </c>
      <c r="M1316">
        <v>14.416809279416043</v>
      </c>
      <c r="N1316">
        <f t="shared" si="160"/>
        <v>6.583190720583957</v>
      </c>
      <c r="O1316">
        <v>7.4087557083441532E-4</v>
      </c>
      <c r="P1316">
        <f t="shared" si="161"/>
        <v>0.66330555264314639</v>
      </c>
      <c r="Q1316">
        <f t="shared" si="162"/>
        <v>98.530871327612786</v>
      </c>
      <c r="R1316">
        <f t="shared" si="163"/>
        <v>0.66345460704039183</v>
      </c>
      <c r="S1316">
        <f t="shared" si="164"/>
        <v>0.507119133075143</v>
      </c>
      <c r="T1316">
        <f t="shared" si="165"/>
        <v>1.6322485812147056E-4</v>
      </c>
      <c r="U1316">
        <f t="shared" si="166"/>
        <v>1.8065283872333419E-2</v>
      </c>
    </row>
    <row r="1317" spans="10:21" x14ac:dyDescent="0.35">
      <c r="J1317">
        <f t="shared" si="167"/>
        <v>1314</v>
      </c>
      <c r="K1317">
        <f>demanda!D1315</f>
        <v>5</v>
      </c>
      <c r="L1317">
        <f>demanda!I1315</f>
        <v>5</v>
      </c>
      <c r="M1317">
        <v>1.2636408299870627</v>
      </c>
      <c r="N1317">
        <f t="shared" si="160"/>
        <v>3.7363591700129373</v>
      </c>
      <c r="O1317">
        <v>3.9509249049329382E-3</v>
      </c>
      <c r="P1317">
        <f t="shared" si="161"/>
        <v>0.37646604653113847</v>
      </c>
      <c r="Q1317">
        <f t="shared" si="162"/>
        <v>98.546176216657841</v>
      </c>
      <c r="R1317">
        <f t="shared" si="163"/>
        <v>0.37712763756228268</v>
      </c>
      <c r="S1317">
        <f t="shared" si="164"/>
        <v>0.70612045258139888</v>
      </c>
      <c r="T1317">
        <f t="shared" si="165"/>
        <v>2.8220124991725523E-4</v>
      </c>
      <c r="U1317">
        <f t="shared" si="166"/>
        <v>2.375184660791909E-2</v>
      </c>
    </row>
    <row r="1318" spans="10:21" x14ac:dyDescent="0.35">
      <c r="J1318">
        <f t="shared" si="167"/>
        <v>1315</v>
      </c>
      <c r="K1318">
        <f>demanda!D1316</f>
        <v>1</v>
      </c>
      <c r="L1318">
        <f>demanda!I1316</f>
        <v>22</v>
      </c>
      <c r="M1318">
        <v>11.786175589530247</v>
      </c>
      <c r="N1318">
        <f t="shared" si="160"/>
        <v>10.213824410469753</v>
      </c>
      <c r="O1318">
        <v>5.2058796926701797E-4</v>
      </c>
      <c r="P1318">
        <f t="shared" si="161"/>
        <v>1.0291189687097106</v>
      </c>
      <c r="Q1318">
        <f t="shared" si="162"/>
        <v>98.499064229577968</v>
      </c>
      <c r="R1318">
        <f t="shared" si="163"/>
        <v>1.0294029508567815</v>
      </c>
      <c r="S1318">
        <f t="shared" si="164"/>
        <v>0.30342008877727494</v>
      </c>
      <c r="T1318">
        <f t="shared" si="165"/>
        <v>2.7596092551003982E-4</v>
      </c>
      <c r="U1318">
        <f t="shared" si="166"/>
        <v>2.3493382318854904E-2</v>
      </c>
    </row>
    <row r="1319" spans="10:21" x14ac:dyDescent="0.35">
      <c r="J1319">
        <f t="shared" si="167"/>
        <v>1316</v>
      </c>
      <c r="K1319">
        <f>demanda!D1317</f>
        <v>1</v>
      </c>
      <c r="L1319">
        <f>demanda!I1317</f>
        <v>20</v>
      </c>
      <c r="M1319">
        <v>11.786175589530247</v>
      </c>
      <c r="N1319">
        <f t="shared" si="160"/>
        <v>8.2138244104697531</v>
      </c>
      <c r="O1319">
        <v>5.2058796926701797E-4</v>
      </c>
      <c r="P1319">
        <f t="shared" si="161"/>
        <v>0.82760405571496498</v>
      </c>
      <c r="Q1319">
        <f t="shared" si="162"/>
        <v>98.518289721788548</v>
      </c>
      <c r="R1319">
        <f t="shared" si="163"/>
        <v>0.82775165224325964</v>
      </c>
      <c r="S1319">
        <f t="shared" si="164"/>
        <v>0.40791408457502731</v>
      </c>
      <c r="T1319">
        <f t="shared" si="165"/>
        <v>1.7846853020780289E-4</v>
      </c>
      <c r="U1319">
        <f t="shared" si="166"/>
        <v>1.8891228177487809E-2</v>
      </c>
    </row>
    <row r="1320" spans="10:21" x14ac:dyDescent="0.35">
      <c r="J1320">
        <f t="shared" si="167"/>
        <v>1317</v>
      </c>
      <c r="K1320">
        <f>demanda!D1318</f>
        <v>0</v>
      </c>
      <c r="L1320">
        <f>demanda!I1318</f>
        <v>60</v>
      </c>
      <c r="M1320">
        <v>14.416809279416043</v>
      </c>
      <c r="N1320">
        <f t="shared" si="160"/>
        <v>45.583190720583957</v>
      </c>
      <c r="O1320">
        <v>7.4087557083441532E-4</v>
      </c>
      <c r="P1320">
        <f t="shared" si="161"/>
        <v>4.5928463560406856</v>
      </c>
      <c r="Q1320">
        <f t="shared" si="162"/>
        <v>97.469350317776971</v>
      </c>
      <c r="R1320">
        <f t="shared" si="163"/>
        <v>4.6188262420663921</v>
      </c>
      <c r="S1320">
        <f t="shared" si="164"/>
        <v>4.1154202409262976E-6</v>
      </c>
      <c r="T1320">
        <f t="shared" si="165"/>
        <v>7.8256941158965643E-3</v>
      </c>
      <c r="U1320">
        <f t="shared" si="166"/>
        <v>0.12576656539040723</v>
      </c>
    </row>
    <row r="1321" spans="10:21" x14ac:dyDescent="0.35">
      <c r="J1321">
        <f t="shared" si="167"/>
        <v>1318</v>
      </c>
      <c r="K1321">
        <f>demanda!D1319</f>
        <v>1</v>
      </c>
      <c r="L1321">
        <f>demanda!I1319</f>
        <v>20</v>
      </c>
      <c r="M1321">
        <v>11.786175589530247</v>
      </c>
      <c r="N1321">
        <f t="shared" si="160"/>
        <v>8.2138244104697531</v>
      </c>
      <c r="O1321">
        <v>5.2058796926701797E-4</v>
      </c>
      <c r="P1321">
        <f t="shared" si="161"/>
        <v>0.82760405571496498</v>
      </c>
      <c r="Q1321">
        <f t="shared" si="162"/>
        <v>98.518289721788548</v>
      </c>
      <c r="R1321">
        <f t="shared" si="163"/>
        <v>0.82775165224325964</v>
      </c>
      <c r="S1321">
        <f t="shared" si="164"/>
        <v>0.40791408457502731</v>
      </c>
      <c r="T1321">
        <f t="shared" si="165"/>
        <v>1.7846853020780289E-4</v>
      </c>
      <c r="U1321">
        <f t="shared" si="166"/>
        <v>1.8891228177487809E-2</v>
      </c>
    </row>
    <row r="1322" spans="10:21" x14ac:dyDescent="0.35">
      <c r="J1322">
        <f t="shared" si="167"/>
        <v>1319</v>
      </c>
      <c r="K1322">
        <f>demanda!D1320</f>
        <v>0</v>
      </c>
      <c r="L1322">
        <f>demanda!I1320</f>
        <v>26</v>
      </c>
      <c r="M1322">
        <v>14.416809279416043</v>
      </c>
      <c r="N1322">
        <f t="shared" si="160"/>
        <v>11.583190720583957</v>
      </c>
      <c r="O1322">
        <v>7.4087557083441532E-4</v>
      </c>
      <c r="P1322">
        <f t="shared" si="161"/>
        <v>1.1670928351300105</v>
      </c>
      <c r="Q1322">
        <f t="shared" si="162"/>
        <v>98.483478599645508</v>
      </c>
      <c r="R1322">
        <f t="shared" si="163"/>
        <v>1.1676359443906161</v>
      </c>
      <c r="S1322">
        <f t="shared" si="164"/>
        <v>0.24309869943124471</v>
      </c>
      <c r="T1322">
        <f t="shared" si="165"/>
        <v>5.0532390065243979E-4</v>
      </c>
      <c r="U1322">
        <f t="shared" si="166"/>
        <v>3.1793697068520609E-2</v>
      </c>
    </row>
    <row r="1323" spans="10:21" x14ac:dyDescent="0.35">
      <c r="J1323">
        <f t="shared" si="167"/>
        <v>1320</v>
      </c>
      <c r="K1323">
        <f>demanda!D1321</f>
        <v>1</v>
      </c>
      <c r="L1323">
        <f>demanda!I1321</f>
        <v>25</v>
      </c>
      <c r="M1323">
        <v>11.786175589530247</v>
      </c>
      <c r="N1323">
        <f t="shared" si="160"/>
        <v>13.213824410469753</v>
      </c>
      <c r="O1323">
        <v>5.2058796926701797E-4</v>
      </c>
      <c r="P1323">
        <f t="shared" si="161"/>
        <v>1.331391338201829</v>
      </c>
      <c r="Q1323">
        <f t="shared" si="162"/>
        <v>98.46240127130028</v>
      </c>
      <c r="R1323">
        <f t="shared" si="163"/>
        <v>1.3320066518327769</v>
      </c>
      <c r="S1323">
        <f t="shared" si="164"/>
        <v>0.18301617331882647</v>
      </c>
      <c r="T1323">
        <f t="shared" si="165"/>
        <v>4.6187864258127588E-4</v>
      </c>
      <c r="U1323">
        <f t="shared" si="166"/>
        <v>3.0399506332014638E-2</v>
      </c>
    </row>
    <row r="1324" spans="10:21" x14ac:dyDescent="0.35">
      <c r="J1324">
        <f t="shared" si="167"/>
        <v>1321</v>
      </c>
      <c r="K1324">
        <f>demanda!D1322</f>
        <v>0</v>
      </c>
      <c r="L1324">
        <f>demanda!I1322</f>
        <v>69</v>
      </c>
      <c r="M1324">
        <v>14.416809279416043</v>
      </c>
      <c r="N1324">
        <f t="shared" si="160"/>
        <v>54.583190720583957</v>
      </c>
      <c r="O1324">
        <v>7.4087557083441532E-4</v>
      </c>
      <c r="P1324">
        <f t="shared" si="161"/>
        <v>5.4996634645170408</v>
      </c>
      <c r="Q1324">
        <f t="shared" si="162"/>
        <v>96.998982316947192</v>
      </c>
      <c r="R1324">
        <f t="shared" si="163"/>
        <v>5.5441665600386285</v>
      </c>
      <c r="S1324">
        <f t="shared" si="164"/>
        <v>3.3623711611237941E-8</v>
      </c>
      <c r="T1324">
        <f t="shared" si="165"/>
        <v>1.1220992289746991E-2</v>
      </c>
      <c r="U1324">
        <f t="shared" si="166"/>
        <v>0.15096276622358043</v>
      </c>
    </row>
    <row r="1325" spans="10:21" x14ac:dyDescent="0.35">
      <c r="J1325">
        <f t="shared" si="167"/>
        <v>1322</v>
      </c>
      <c r="K1325">
        <f>demanda!D1323</f>
        <v>0</v>
      </c>
      <c r="L1325">
        <f>demanda!I1323</f>
        <v>16</v>
      </c>
      <c r="M1325">
        <v>14.416809279416043</v>
      </c>
      <c r="N1325">
        <f t="shared" si="160"/>
        <v>1.583190720583957</v>
      </c>
      <c r="O1325">
        <v>7.4087557083441532E-4</v>
      </c>
      <c r="P1325">
        <f t="shared" si="161"/>
        <v>0.15951827015628237</v>
      </c>
      <c r="Q1325">
        <f t="shared" si="162"/>
        <v>98.552175905817947</v>
      </c>
      <c r="R1325">
        <f t="shared" si="163"/>
        <v>0.1595368694422851</v>
      </c>
      <c r="S1325">
        <f t="shared" si="164"/>
        <v>0.87326270170878273</v>
      </c>
      <c r="T1325">
        <f t="shared" si="165"/>
        <v>9.440171775777902E-6</v>
      </c>
      <c r="U1325">
        <f t="shared" si="166"/>
        <v>4.3440482649370034E-3</v>
      </c>
    </row>
    <row r="1326" spans="10:21" x14ac:dyDescent="0.35">
      <c r="J1326">
        <f t="shared" si="167"/>
        <v>1323</v>
      </c>
      <c r="K1326">
        <f>demanda!D1324</f>
        <v>3</v>
      </c>
      <c r="L1326">
        <f>demanda!I1324</f>
        <v>4</v>
      </c>
      <c r="M1326">
        <v>6.5249082097586548</v>
      </c>
      <c r="N1326">
        <f t="shared" si="160"/>
        <v>-2.5249082097586548</v>
      </c>
      <c r="O1326">
        <v>1.3734589687128761E-3</v>
      </c>
      <c r="P1326">
        <f t="shared" si="161"/>
        <v>-0.2544033291046171</v>
      </c>
      <c r="Q1326">
        <f t="shared" si="162"/>
        <v>98.550155270625524</v>
      </c>
      <c r="R1326">
        <f t="shared" si="163"/>
        <v>-0.25451617384299874</v>
      </c>
      <c r="S1326">
        <f t="shared" si="164"/>
        <v>0.79912408038987892</v>
      </c>
      <c r="T1326">
        <f t="shared" si="165"/>
        <v>4.4568197050885148E-5</v>
      </c>
      <c r="U1326">
        <f t="shared" si="166"/>
        <v>-9.4389063786870474E-3</v>
      </c>
    </row>
    <row r="1327" spans="10:21" x14ac:dyDescent="0.35">
      <c r="J1327">
        <f t="shared" si="167"/>
        <v>1324</v>
      </c>
      <c r="K1327">
        <f>demanda!D1325</f>
        <v>3</v>
      </c>
      <c r="L1327">
        <f>demanda!I1325</f>
        <v>2</v>
      </c>
      <c r="M1327">
        <v>6.5249082097586548</v>
      </c>
      <c r="N1327">
        <f t="shared" si="160"/>
        <v>-4.5249082097586548</v>
      </c>
      <c r="O1327">
        <v>1.3734589687128761E-3</v>
      </c>
      <c r="P1327">
        <f t="shared" si="161"/>
        <v>-0.45591824209936271</v>
      </c>
      <c r="Q1327">
        <f t="shared" si="162"/>
        <v>98.542793943857959</v>
      </c>
      <c r="R1327">
        <f t="shared" si="163"/>
        <v>-0.45613750825631832</v>
      </c>
      <c r="S1327">
        <f t="shared" si="164"/>
        <v>0.64834271460897308</v>
      </c>
      <c r="T1327">
        <f t="shared" si="165"/>
        <v>1.4313749884792331E-4</v>
      </c>
      <c r="U1327">
        <f t="shared" si="166"/>
        <v>-1.6916171460658679E-2</v>
      </c>
    </row>
    <row r="1328" spans="10:21" x14ac:dyDescent="0.35">
      <c r="J1328">
        <f t="shared" si="167"/>
        <v>1325</v>
      </c>
      <c r="K1328">
        <f>demanda!D1326</f>
        <v>1</v>
      </c>
      <c r="L1328">
        <f>demanda!I1326</f>
        <v>3</v>
      </c>
      <c r="M1328">
        <v>11.786175589530247</v>
      </c>
      <c r="N1328">
        <f t="shared" si="160"/>
        <v>-8.7861755895302469</v>
      </c>
      <c r="O1328">
        <v>5.2058796926701797E-4</v>
      </c>
      <c r="P1328">
        <f t="shared" si="161"/>
        <v>-0.88527270474037267</v>
      </c>
      <c r="Q1328">
        <f t="shared" si="162"/>
        <v>98.513214102399758</v>
      </c>
      <c r="R1328">
        <f t="shared" si="163"/>
        <v>-0.88545339538896362</v>
      </c>
      <c r="S1328">
        <f t="shared" si="164"/>
        <v>0.37602308055069167</v>
      </c>
      <c r="T1328">
        <f t="shared" si="165"/>
        <v>2.0420697614382047E-4</v>
      </c>
      <c r="U1328">
        <f t="shared" si="166"/>
        <v>-2.0208116875988336E-2</v>
      </c>
    </row>
    <row r="1329" spans="10:21" x14ac:dyDescent="0.35">
      <c r="J1329">
        <f t="shared" si="167"/>
        <v>1326</v>
      </c>
      <c r="K1329">
        <f>demanda!D1327</f>
        <v>0</v>
      </c>
      <c r="L1329">
        <f>demanda!I1327</f>
        <v>19</v>
      </c>
      <c r="M1329">
        <v>14.416809279416043</v>
      </c>
      <c r="N1329">
        <f t="shared" si="160"/>
        <v>4.583190720583957</v>
      </c>
      <c r="O1329">
        <v>7.4087557083441532E-4</v>
      </c>
      <c r="P1329">
        <f t="shared" si="161"/>
        <v>0.46179063964840078</v>
      </c>
      <c r="Q1329">
        <f t="shared" si="162"/>
        <v>98.542523736866301</v>
      </c>
      <c r="R1329">
        <f t="shared" si="163"/>
        <v>0.46186710097403588</v>
      </c>
      <c r="S1329">
        <f t="shared" si="164"/>
        <v>0.64422898084639124</v>
      </c>
      <c r="T1329">
        <f t="shared" si="165"/>
        <v>7.9113260840960322E-5</v>
      </c>
      <c r="U1329">
        <f t="shared" si="166"/>
        <v>1.2576233855106329E-2</v>
      </c>
    </row>
    <row r="1330" spans="10:21" x14ac:dyDescent="0.35">
      <c r="J1330">
        <f t="shared" si="167"/>
        <v>1327</v>
      </c>
      <c r="K1330">
        <f>demanda!D1328</f>
        <v>0</v>
      </c>
      <c r="L1330">
        <f>demanda!I1328</f>
        <v>3</v>
      </c>
      <c r="M1330">
        <v>14.416809279416043</v>
      </c>
      <c r="N1330">
        <f t="shared" si="160"/>
        <v>-11.416809279416043</v>
      </c>
      <c r="O1330">
        <v>7.4087557083441532E-4</v>
      </c>
      <c r="P1330">
        <f t="shared" si="161"/>
        <v>-1.150328664309564</v>
      </c>
      <c r="Q1330">
        <f t="shared" si="162"/>
        <v>98.485475268264722</v>
      </c>
      <c r="R1330">
        <f t="shared" si="163"/>
        <v>-1.1508523061099405</v>
      </c>
      <c r="S1330">
        <f t="shared" si="164"/>
        <v>0.24993638008158123</v>
      </c>
      <c r="T1330">
        <f t="shared" si="165"/>
        <v>4.9091117422407117E-4</v>
      </c>
      <c r="U1330">
        <f t="shared" si="166"/>
        <v>-3.1336693399040466E-2</v>
      </c>
    </row>
    <row r="1331" spans="10:21" x14ac:dyDescent="0.35">
      <c r="J1331">
        <f t="shared" si="167"/>
        <v>1328</v>
      </c>
      <c r="K1331">
        <f>demanda!D1329</f>
        <v>3</v>
      </c>
      <c r="L1331">
        <f>demanda!I1329</f>
        <v>2</v>
      </c>
      <c r="M1331">
        <v>6.5249082097586548</v>
      </c>
      <c r="N1331">
        <f t="shared" si="160"/>
        <v>-4.5249082097586548</v>
      </c>
      <c r="O1331">
        <v>1.3734589687128761E-3</v>
      </c>
      <c r="P1331">
        <f t="shared" si="161"/>
        <v>-0.45591824209936271</v>
      </c>
      <c r="Q1331">
        <f t="shared" si="162"/>
        <v>98.542793943857959</v>
      </c>
      <c r="R1331">
        <f t="shared" si="163"/>
        <v>-0.45613750825631832</v>
      </c>
      <c r="S1331">
        <f t="shared" si="164"/>
        <v>0.64834271460897308</v>
      </c>
      <c r="T1331">
        <f t="shared" si="165"/>
        <v>1.4313749884792331E-4</v>
      </c>
      <c r="U1331">
        <f t="shared" si="166"/>
        <v>-1.6916171460658679E-2</v>
      </c>
    </row>
    <row r="1332" spans="10:21" x14ac:dyDescent="0.35">
      <c r="J1332">
        <f t="shared" si="167"/>
        <v>1329</v>
      </c>
      <c r="K1332">
        <f>demanda!D1330</f>
        <v>1</v>
      </c>
      <c r="L1332">
        <f>demanda!I1330</f>
        <v>2</v>
      </c>
      <c r="M1332">
        <v>11.786175589530247</v>
      </c>
      <c r="N1332">
        <f t="shared" si="160"/>
        <v>-9.7861755895302469</v>
      </c>
      <c r="O1332">
        <v>5.2058796926701797E-4</v>
      </c>
      <c r="P1332">
        <f t="shared" si="161"/>
        <v>-0.98603016123774556</v>
      </c>
      <c r="Q1332">
        <f t="shared" si="162"/>
        <v>98.503525872599127</v>
      </c>
      <c r="R1332">
        <f t="shared" si="163"/>
        <v>-0.98627991600190701</v>
      </c>
      <c r="S1332">
        <f t="shared" si="164"/>
        <v>0.32412010689798754</v>
      </c>
      <c r="T1332">
        <f t="shared" si="165"/>
        <v>2.5333595131680776E-4</v>
      </c>
      <c r="U1332">
        <f t="shared" si="166"/>
        <v>-2.2509213831916283E-2</v>
      </c>
    </row>
    <row r="1333" spans="10:21" x14ac:dyDescent="0.35">
      <c r="J1333">
        <f t="shared" si="167"/>
        <v>1330</v>
      </c>
      <c r="K1333">
        <f>demanda!D1331</f>
        <v>1</v>
      </c>
      <c r="L1333">
        <f>demanda!I1331</f>
        <v>3</v>
      </c>
      <c r="M1333">
        <v>11.786175589530247</v>
      </c>
      <c r="N1333">
        <f t="shared" si="160"/>
        <v>-8.7861755895302469</v>
      </c>
      <c r="O1333">
        <v>5.2058796926701797E-4</v>
      </c>
      <c r="P1333">
        <f t="shared" si="161"/>
        <v>-0.88527270474037267</v>
      </c>
      <c r="Q1333">
        <f t="shared" si="162"/>
        <v>98.513214102399758</v>
      </c>
      <c r="R1333">
        <f t="shared" si="163"/>
        <v>-0.88545339538896362</v>
      </c>
      <c r="S1333">
        <f t="shared" si="164"/>
        <v>0.37602308055069167</v>
      </c>
      <c r="T1333">
        <f t="shared" si="165"/>
        <v>2.0420697614382047E-4</v>
      </c>
      <c r="U1333">
        <f t="shared" si="166"/>
        <v>-2.0208116875988336E-2</v>
      </c>
    </row>
    <row r="1334" spans="10:21" x14ac:dyDescent="0.35">
      <c r="J1334">
        <f t="shared" si="167"/>
        <v>1331</v>
      </c>
      <c r="K1334">
        <f>demanda!D1332</f>
        <v>3</v>
      </c>
      <c r="L1334">
        <f>demanda!I1332</f>
        <v>7</v>
      </c>
      <c r="M1334">
        <v>6.5249082097586548</v>
      </c>
      <c r="N1334">
        <f t="shared" si="160"/>
        <v>0.47509179024134518</v>
      </c>
      <c r="O1334">
        <v>1.3734589687128761E-3</v>
      </c>
      <c r="P1334">
        <f t="shared" si="161"/>
        <v>4.7869040387501303E-2</v>
      </c>
      <c r="Q1334">
        <f t="shared" si="162"/>
        <v>98.553365858159935</v>
      </c>
      <c r="R1334">
        <f t="shared" si="163"/>
        <v>4.7889493409082308E-2</v>
      </c>
      <c r="S1334">
        <f t="shared" si="164"/>
        <v>0.96180929609305088</v>
      </c>
      <c r="T1334">
        <f t="shared" si="165"/>
        <v>1.5779343417974939E-6</v>
      </c>
      <c r="U1334">
        <f t="shared" si="166"/>
        <v>1.7760146162259802E-3</v>
      </c>
    </row>
    <row r="1335" spans="10:21" x14ac:dyDescent="0.35">
      <c r="J1335">
        <f t="shared" si="167"/>
        <v>1332</v>
      </c>
      <c r="K1335">
        <f>demanda!D1333</f>
        <v>0</v>
      </c>
      <c r="L1335">
        <f>demanda!I1333</f>
        <v>19</v>
      </c>
      <c r="M1335">
        <v>14.416809279416043</v>
      </c>
      <c r="N1335">
        <f t="shared" si="160"/>
        <v>4.583190720583957</v>
      </c>
      <c r="O1335">
        <v>7.4087557083441532E-4</v>
      </c>
      <c r="P1335">
        <f t="shared" si="161"/>
        <v>0.46179063964840078</v>
      </c>
      <c r="Q1335">
        <f t="shared" si="162"/>
        <v>98.542523736866301</v>
      </c>
      <c r="R1335">
        <f t="shared" si="163"/>
        <v>0.46186710097403588</v>
      </c>
      <c r="S1335">
        <f t="shared" si="164"/>
        <v>0.64422898084639124</v>
      </c>
      <c r="T1335">
        <f t="shared" si="165"/>
        <v>7.9113260840960322E-5</v>
      </c>
      <c r="U1335">
        <f t="shared" si="166"/>
        <v>1.2576233855106329E-2</v>
      </c>
    </row>
    <row r="1336" spans="10:21" x14ac:dyDescent="0.35">
      <c r="J1336">
        <f t="shared" si="167"/>
        <v>1333</v>
      </c>
      <c r="K1336">
        <f>demanda!D1334</f>
        <v>1</v>
      </c>
      <c r="L1336">
        <f>demanda!I1334</f>
        <v>11</v>
      </c>
      <c r="M1336">
        <v>11.786175589530247</v>
      </c>
      <c r="N1336">
        <f t="shared" si="160"/>
        <v>-0.78617558953024691</v>
      </c>
      <c r="O1336">
        <v>5.2058796926701797E-4</v>
      </c>
      <c r="P1336">
        <f t="shared" si="161"/>
        <v>-7.9213052761390276E-2</v>
      </c>
      <c r="Q1336">
        <f t="shared" si="162"/>
        <v>98.553161284987851</v>
      </c>
      <c r="R1336">
        <f t="shared" si="163"/>
        <v>-7.9213161855515926E-2</v>
      </c>
      <c r="S1336">
        <f t="shared" si="164"/>
        <v>0.93687133485398588</v>
      </c>
      <c r="T1336">
        <f t="shared" si="165"/>
        <v>1.6349705257494771E-6</v>
      </c>
      <c r="U1336">
        <f t="shared" si="166"/>
        <v>-1.8078295720913319E-3</v>
      </c>
    </row>
    <row r="1337" spans="10:21" x14ac:dyDescent="0.35">
      <c r="J1337">
        <f t="shared" si="167"/>
        <v>1334</v>
      </c>
      <c r="K1337">
        <f>demanda!D1335</f>
        <v>1</v>
      </c>
      <c r="L1337">
        <f>demanda!I1335</f>
        <v>8</v>
      </c>
      <c r="M1337">
        <v>11.786175589530247</v>
      </c>
      <c r="N1337">
        <f t="shared" si="160"/>
        <v>-3.7861755895302469</v>
      </c>
      <c r="O1337">
        <v>5.2058796926701797E-4</v>
      </c>
      <c r="P1337">
        <f t="shared" si="161"/>
        <v>-0.38148542225350868</v>
      </c>
      <c r="Q1337">
        <f t="shared" si="162"/>
        <v>98.546005811479162</v>
      </c>
      <c r="R1337">
        <f t="shared" si="163"/>
        <v>-0.38149979733331263</v>
      </c>
      <c r="S1337">
        <f t="shared" si="164"/>
        <v>0.70287465676174632</v>
      </c>
      <c r="T1337">
        <f t="shared" si="165"/>
        <v>3.7920348514645389E-5</v>
      </c>
      <c r="U1337">
        <f t="shared" si="166"/>
        <v>-8.7067174092102829E-3</v>
      </c>
    </row>
    <row r="1338" spans="10:21" x14ac:dyDescent="0.35">
      <c r="J1338">
        <f t="shared" si="167"/>
        <v>1335</v>
      </c>
      <c r="K1338">
        <f>demanda!D1336</f>
        <v>0</v>
      </c>
      <c r="L1338">
        <f>demanda!I1336</f>
        <v>20</v>
      </c>
      <c r="M1338">
        <v>14.416809279416043</v>
      </c>
      <c r="N1338">
        <f t="shared" si="160"/>
        <v>5.583190720583957</v>
      </c>
      <c r="O1338">
        <v>7.4087557083441532E-4</v>
      </c>
      <c r="P1338">
        <f t="shared" si="161"/>
        <v>0.56254809614577361</v>
      </c>
      <c r="Q1338">
        <f t="shared" si="162"/>
        <v>98.537219295234792</v>
      </c>
      <c r="R1338">
        <f t="shared" si="163"/>
        <v>0.56265638426953379</v>
      </c>
      <c r="S1338">
        <f t="shared" si="164"/>
        <v>0.57373461200688847</v>
      </c>
      <c r="T1338">
        <f t="shared" si="165"/>
        <v>1.1740277235750991E-4</v>
      </c>
      <c r="U1338">
        <f t="shared" si="166"/>
        <v>1.5320637156704552E-2</v>
      </c>
    </row>
    <row r="1339" spans="10:21" x14ac:dyDescent="0.35">
      <c r="J1339">
        <f t="shared" si="167"/>
        <v>1336</v>
      </c>
      <c r="K1339">
        <f>demanda!D1337</f>
        <v>0</v>
      </c>
      <c r="L1339">
        <f>demanda!I1337</f>
        <v>6</v>
      </c>
      <c r="M1339">
        <v>14.416809279416043</v>
      </c>
      <c r="N1339">
        <f t="shared" si="160"/>
        <v>-8.416809279416043</v>
      </c>
      <c r="O1339">
        <v>7.4087557083441532E-4</v>
      </c>
      <c r="P1339">
        <f t="shared" si="161"/>
        <v>-0.84805629481744571</v>
      </c>
      <c r="Q1339">
        <f t="shared" si="162"/>
        <v>98.51652061294196</v>
      </c>
      <c r="R1339">
        <f t="shared" si="163"/>
        <v>-0.8483086443975183</v>
      </c>
      <c r="S1339">
        <f t="shared" si="164"/>
        <v>0.39637190285902191</v>
      </c>
      <c r="T1339">
        <f t="shared" si="165"/>
        <v>2.6681386764022222E-4</v>
      </c>
      <c r="U1339">
        <f t="shared" si="166"/>
        <v>-2.3098696293268058E-2</v>
      </c>
    </row>
    <row r="1340" spans="10:21" x14ac:dyDescent="0.35">
      <c r="J1340">
        <f t="shared" si="167"/>
        <v>1337</v>
      </c>
      <c r="K1340">
        <f>demanda!D1338</f>
        <v>2</v>
      </c>
      <c r="L1340">
        <f>demanda!I1338</f>
        <v>4</v>
      </c>
      <c r="M1340">
        <v>9.1555418996444509</v>
      </c>
      <c r="N1340">
        <f t="shared" si="160"/>
        <v>-5.1555418996444509</v>
      </c>
      <c r="O1340">
        <v>7.3144910189317154E-4</v>
      </c>
      <c r="P1340">
        <f t="shared" si="161"/>
        <v>-0.51945928867380853</v>
      </c>
      <c r="Q1340">
        <f t="shared" si="162"/>
        <v>98.539615573748293</v>
      </c>
      <c r="R1340">
        <f t="shared" si="163"/>
        <v>-0.51955051447259837</v>
      </c>
      <c r="S1340">
        <f t="shared" si="164"/>
        <v>0.60343681513546954</v>
      </c>
      <c r="T1340">
        <f t="shared" si="165"/>
        <v>9.8830890695332879E-5</v>
      </c>
      <c r="U1340">
        <f t="shared" si="166"/>
        <v>-1.4056549457229766E-2</v>
      </c>
    </row>
    <row r="1341" spans="10:21" x14ac:dyDescent="0.35">
      <c r="J1341">
        <f t="shared" si="167"/>
        <v>1338</v>
      </c>
      <c r="K1341">
        <f>demanda!D1339</f>
        <v>2</v>
      </c>
      <c r="L1341">
        <f>demanda!I1339</f>
        <v>4</v>
      </c>
      <c r="M1341">
        <v>9.1555418996444509</v>
      </c>
      <c r="N1341">
        <f t="shared" si="160"/>
        <v>-5.1555418996444509</v>
      </c>
      <c r="O1341">
        <v>7.3144910189317154E-4</v>
      </c>
      <c r="P1341">
        <f t="shared" si="161"/>
        <v>-0.51945928867380853</v>
      </c>
      <c r="Q1341">
        <f t="shared" si="162"/>
        <v>98.539615573748293</v>
      </c>
      <c r="R1341">
        <f t="shared" si="163"/>
        <v>-0.51955051447259837</v>
      </c>
      <c r="S1341">
        <f t="shared" si="164"/>
        <v>0.60343681513546954</v>
      </c>
      <c r="T1341">
        <f t="shared" si="165"/>
        <v>9.8830890695332879E-5</v>
      </c>
      <c r="U1341">
        <f t="shared" si="166"/>
        <v>-1.4056549457229766E-2</v>
      </c>
    </row>
    <row r="1342" spans="10:21" x14ac:dyDescent="0.35">
      <c r="J1342">
        <f t="shared" si="167"/>
        <v>1339</v>
      </c>
      <c r="K1342">
        <f>demanda!D1340</f>
        <v>0</v>
      </c>
      <c r="L1342">
        <f>demanda!I1340</f>
        <v>15</v>
      </c>
      <c r="M1342">
        <v>14.416809279416043</v>
      </c>
      <c r="N1342">
        <f t="shared" si="160"/>
        <v>0.58319072058395705</v>
      </c>
      <c r="O1342">
        <v>7.4087557083441532E-4</v>
      </c>
      <c r="P1342">
        <f t="shared" si="161"/>
        <v>5.8760813658909554E-2</v>
      </c>
      <c r="Q1342">
        <f t="shared" si="162"/>
        <v>98.553306243487526</v>
      </c>
      <c r="R1342">
        <f t="shared" si="163"/>
        <v>5.8767327956256402E-2</v>
      </c>
      <c r="S1342">
        <f t="shared" si="164"/>
        <v>0.95314355069247325</v>
      </c>
      <c r="T1342">
        <f t="shared" si="165"/>
        <v>1.2809572488725558E-6</v>
      </c>
      <c r="U1342">
        <f t="shared" si="166"/>
        <v>1.6001825154010173E-3</v>
      </c>
    </row>
    <row r="1343" spans="10:21" x14ac:dyDescent="0.35">
      <c r="J1343">
        <f t="shared" si="167"/>
        <v>1340</v>
      </c>
      <c r="K1343">
        <f>demanda!D1341</f>
        <v>1</v>
      </c>
      <c r="L1343">
        <f>demanda!I1341</f>
        <v>5</v>
      </c>
      <c r="M1343">
        <v>11.786175589530247</v>
      </c>
      <c r="N1343">
        <f t="shared" si="160"/>
        <v>-6.7861755895302469</v>
      </c>
      <c r="O1343">
        <v>5.2058796926701797E-4</v>
      </c>
      <c r="P1343">
        <f t="shared" si="161"/>
        <v>-0.68375779174562712</v>
      </c>
      <c r="Q1343">
        <f t="shared" si="162"/>
        <v>98.529460674016264</v>
      </c>
      <c r="R1343">
        <f t="shared" si="163"/>
        <v>-0.68384096531208116</v>
      </c>
      <c r="S1343">
        <f t="shared" si="164"/>
        <v>0.49415815943295716</v>
      </c>
      <c r="T1343">
        <f t="shared" si="165"/>
        <v>1.2182067544499816E-4</v>
      </c>
      <c r="U1343">
        <f t="shared" si="166"/>
        <v>-1.560684980551091E-2</v>
      </c>
    </row>
    <row r="1344" spans="10:21" x14ac:dyDescent="0.35">
      <c r="J1344">
        <f t="shared" si="167"/>
        <v>1341</v>
      </c>
      <c r="K1344">
        <f>demanda!D1342</f>
        <v>3</v>
      </c>
      <c r="L1344">
        <f>demanda!I1342</f>
        <v>3</v>
      </c>
      <c r="M1344">
        <v>6.5249082097586548</v>
      </c>
      <c r="N1344">
        <f t="shared" si="160"/>
        <v>-3.5249082097586548</v>
      </c>
      <c r="O1344">
        <v>1.3734589687128761E-3</v>
      </c>
      <c r="P1344">
        <f t="shared" si="161"/>
        <v>-0.35516078560198994</v>
      </c>
      <c r="Q1344">
        <f t="shared" si="162"/>
        <v>98.546996700749531</v>
      </c>
      <c r="R1344">
        <f t="shared" si="163"/>
        <v>-0.35532401713098288</v>
      </c>
      <c r="S1344">
        <f t="shared" si="164"/>
        <v>0.72238591463660118</v>
      </c>
      <c r="T1344">
        <f t="shared" si="165"/>
        <v>8.6861935283639592E-5</v>
      </c>
      <c r="U1344">
        <f t="shared" si="166"/>
        <v>-1.3177434192717408E-2</v>
      </c>
    </row>
    <row r="1345" spans="10:21" x14ac:dyDescent="0.35">
      <c r="J1345">
        <f t="shared" si="167"/>
        <v>1342</v>
      </c>
      <c r="K1345">
        <f>demanda!D1343</f>
        <v>4</v>
      </c>
      <c r="L1345">
        <f>demanda!I1343</f>
        <v>1</v>
      </c>
      <c r="M1345">
        <v>3.8942745198728588</v>
      </c>
      <c r="N1345">
        <f t="shared" si="160"/>
        <v>-2.8942745198728588</v>
      </c>
      <c r="O1345">
        <v>2.4466175697261316E-3</v>
      </c>
      <c r="P1345">
        <f t="shared" si="161"/>
        <v>-0.29161973902754412</v>
      </c>
      <c r="Q1345">
        <f t="shared" si="162"/>
        <v>98.549105510137124</v>
      </c>
      <c r="R1345">
        <f t="shared" si="163"/>
        <v>-0.2919075347093899</v>
      </c>
      <c r="S1345">
        <f t="shared" si="164"/>
        <v>0.77038887469672734</v>
      </c>
      <c r="T1345">
        <f t="shared" si="165"/>
        <v>1.0454364483839124E-4</v>
      </c>
      <c r="U1345">
        <f t="shared" si="166"/>
        <v>-1.4456404029791516E-2</v>
      </c>
    </row>
    <row r="1346" spans="10:21" x14ac:dyDescent="0.35">
      <c r="J1346">
        <f t="shared" si="167"/>
        <v>1343</v>
      </c>
      <c r="K1346">
        <f>demanda!D1344</f>
        <v>3</v>
      </c>
      <c r="L1346">
        <f>demanda!I1344</f>
        <v>2</v>
      </c>
      <c r="M1346">
        <v>6.5249082097586548</v>
      </c>
      <c r="N1346">
        <f t="shared" si="160"/>
        <v>-4.5249082097586548</v>
      </c>
      <c r="O1346">
        <v>1.3734589687128761E-3</v>
      </c>
      <c r="P1346">
        <f t="shared" si="161"/>
        <v>-0.45591824209936271</v>
      </c>
      <c r="Q1346">
        <f t="shared" si="162"/>
        <v>98.542793943857959</v>
      </c>
      <c r="R1346">
        <f t="shared" si="163"/>
        <v>-0.45613750825631832</v>
      </c>
      <c r="S1346">
        <f t="shared" si="164"/>
        <v>0.64834271460897308</v>
      </c>
      <c r="T1346">
        <f t="shared" si="165"/>
        <v>1.4313749884792331E-4</v>
      </c>
      <c r="U1346">
        <f t="shared" si="166"/>
        <v>-1.6916171460658679E-2</v>
      </c>
    </row>
    <row r="1347" spans="10:21" x14ac:dyDescent="0.35">
      <c r="J1347">
        <f t="shared" si="167"/>
        <v>1344</v>
      </c>
      <c r="K1347">
        <f>demanda!D1345</f>
        <v>0</v>
      </c>
      <c r="L1347">
        <f>demanda!I1345</f>
        <v>13</v>
      </c>
      <c r="M1347">
        <v>14.416809279416043</v>
      </c>
      <c r="N1347">
        <f t="shared" si="160"/>
        <v>-1.416809279416043</v>
      </c>
      <c r="O1347">
        <v>7.4087557083441532E-4</v>
      </c>
      <c r="P1347">
        <f t="shared" si="161"/>
        <v>-0.14275409933583605</v>
      </c>
      <c r="Q1347">
        <f t="shared" si="162"/>
        <v>98.552436340855238</v>
      </c>
      <c r="R1347">
        <f t="shared" si="163"/>
        <v>-0.14277055533334676</v>
      </c>
      <c r="S1347">
        <f t="shared" si="164"/>
        <v>0.88648638054980111</v>
      </c>
      <c r="T1347">
        <f t="shared" si="165"/>
        <v>7.5602509372950483E-6</v>
      </c>
      <c r="U1347">
        <f t="shared" si="166"/>
        <v>-3.8875163173756836E-3</v>
      </c>
    </row>
    <row r="1348" spans="10:21" x14ac:dyDescent="0.35">
      <c r="J1348">
        <f t="shared" si="167"/>
        <v>1345</v>
      </c>
      <c r="K1348">
        <f>demanda!D1346</f>
        <v>1</v>
      </c>
      <c r="L1348">
        <f>demanda!I1346</f>
        <v>9</v>
      </c>
      <c r="M1348">
        <v>11.786175589530247</v>
      </c>
      <c r="N1348">
        <f t="shared" si="160"/>
        <v>-2.7861755895302469</v>
      </c>
      <c r="O1348">
        <v>5.2058796926701797E-4</v>
      </c>
      <c r="P1348">
        <f t="shared" si="161"/>
        <v>-0.2807279657561359</v>
      </c>
      <c r="Q1348">
        <f t="shared" si="162"/>
        <v>98.549434265310296</v>
      </c>
      <c r="R1348">
        <f t="shared" si="163"/>
        <v>-0.2807336607336009</v>
      </c>
      <c r="S1348">
        <f t="shared" si="164"/>
        <v>0.77894495126310248</v>
      </c>
      <c r="T1348">
        <f t="shared" si="165"/>
        <v>2.0534672635962656E-5</v>
      </c>
      <c r="U1348">
        <f t="shared" si="166"/>
        <v>-6.4069985576559628E-3</v>
      </c>
    </row>
    <row r="1349" spans="10:21" x14ac:dyDescent="0.35">
      <c r="J1349">
        <f t="shared" si="167"/>
        <v>1346</v>
      </c>
      <c r="K1349">
        <f>demanda!D1347</f>
        <v>0</v>
      </c>
      <c r="L1349">
        <f>demanda!I1347</f>
        <v>15</v>
      </c>
      <c r="M1349">
        <v>14.416809279416043</v>
      </c>
      <c r="N1349">
        <f t="shared" ref="N1349:N1412" si="168">L1349-M1349</f>
        <v>0.58319072058395705</v>
      </c>
      <c r="O1349">
        <v>7.4087557083441532E-4</v>
      </c>
      <c r="P1349">
        <f t="shared" ref="P1349:P1412" si="169">N1349/SQRT($X$6)</f>
        <v>5.8760813658909554E-2</v>
      </c>
      <c r="Q1349">
        <f t="shared" ref="Q1349:Q1412" si="170">($X$6-N1349^2/((1-O1349)*$X$5))*$X$5/($X$5-1)</f>
        <v>98.553306243487526</v>
      </c>
      <c r="R1349">
        <f t="shared" ref="R1349:R1412" si="171">N1349/SQRT(Q1349*(1-O1349))</f>
        <v>5.8767327956256402E-2</v>
      </c>
      <c r="S1349">
        <f t="shared" ref="S1349:S1412" si="172">_xlfn.T.DIST.2T(ABS(R1349),$X$5)</f>
        <v>0.95314355069247325</v>
      </c>
      <c r="T1349">
        <f t="shared" ref="T1349:T1412" si="173">(N1349^2/$X$6)*(O1349/(1-O1349)^2)/($X$7+1)</f>
        <v>1.2809572488725558E-6</v>
      </c>
      <c r="U1349">
        <f t="shared" ref="U1349:U1412" si="174">R1349*SQRT(O1349/(1-O1349))</f>
        <v>1.6001825154010173E-3</v>
      </c>
    </row>
    <row r="1350" spans="10:21" x14ac:dyDescent="0.35">
      <c r="J1350">
        <f t="shared" ref="J1350:J1413" si="175">J1349+1</f>
        <v>1347</v>
      </c>
      <c r="K1350">
        <f>demanda!D1348</f>
        <v>0</v>
      </c>
      <c r="L1350">
        <f>demanda!I1348</f>
        <v>11</v>
      </c>
      <c r="M1350">
        <v>14.416809279416043</v>
      </c>
      <c r="N1350">
        <f t="shared" si="168"/>
        <v>-3.416809279416043</v>
      </c>
      <c r="O1350">
        <v>7.4087557083441532E-4</v>
      </c>
      <c r="P1350">
        <f t="shared" si="169"/>
        <v>-0.34426901233058166</v>
      </c>
      <c r="Q1350">
        <f t="shared" si="170"/>
        <v>98.547392334261005</v>
      </c>
      <c r="R1350">
        <f t="shared" si="171"/>
        <v>-0.34431750934619676</v>
      </c>
      <c r="S1350">
        <f t="shared" si="172"/>
        <v>0.73064524437297085</v>
      </c>
      <c r="T1350">
        <f t="shared" si="173"/>
        <v>4.3969841615361785E-5</v>
      </c>
      <c r="U1350">
        <f t="shared" si="174"/>
        <v>-9.3754621379472432E-3</v>
      </c>
    </row>
    <row r="1351" spans="10:21" x14ac:dyDescent="0.35">
      <c r="J1351">
        <f t="shared" si="175"/>
        <v>1348</v>
      </c>
      <c r="K1351">
        <f>demanda!D1349</f>
        <v>1</v>
      </c>
      <c r="L1351">
        <f>demanda!I1349</f>
        <v>8</v>
      </c>
      <c r="M1351">
        <v>11.786175589530247</v>
      </c>
      <c r="N1351">
        <f t="shared" si="168"/>
        <v>-3.7861755895302469</v>
      </c>
      <c r="O1351">
        <v>5.2058796926701797E-4</v>
      </c>
      <c r="P1351">
        <f t="shared" si="169"/>
        <v>-0.38148542225350868</v>
      </c>
      <c r="Q1351">
        <f t="shared" si="170"/>
        <v>98.546005811479162</v>
      </c>
      <c r="R1351">
        <f t="shared" si="171"/>
        <v>-0.38149979733331263</v>
      </c>
      <c r="S1351">
        <f t="shared" si="172"/>
        <v>0.70287465676174632</v>
      </c>
      <c r="T1351">
        <f t="shared" si="173"/>
        <v>3.7920348514645389E-5</v>
      </c>
      <c r="U1351">
        <f t="shared" si="174"/>
        <v>-8.7067174092102829E-3</v>
      </c>
    </row>
    <row r="1352" spans="10:21" x14ac:dyDescent="0.35">
      <c r="J1352">
        <f t="shared" si="175"/>
        <v>1349</v>
      </c>
      <c r="K1352">
        <f>demanda!D1350</f>
        <v>0</v>
      </c>
      <c r="L1352">
        <f>demanda!I1350</f>
        <v>15</v>
      </c>
      <c r="M1352">
        <v>14.416809279416043</v>
      </c>
      <c r="N1352">
        <f t="shared" si="168"/>
        <v>0.58319072058395705</v>
      </c>
      <c r="O1352">
        <v>7.4087557083441532E-4</v>
      </c>
      <c r="P1352">
        <f t="shared" si="169"/>
        <v>5.8760813658909554E-2</v>
      </c>
      <c r="Q1352">
        <f t="shared" si="170"/>
        <v>98.553306243487526</v>
      </c>
      <c r="R1352">
        <f t="shared" si="171"/>
        <v>5.8767327956256402E-2</v>
      </c>
      <c r="S1352">
        <f t="shared" si="172"/>
        <v>0.95314355069247325</v>
      </c>
      <c r="T1352">
        <f t="shared" si="173"/>
        <v>1.2809572488725558E-6</v>
      </c>
      <c r="U1352">
        <f t="shared" si="174"/>
        <v>1.6001825154010173E-3</v>
      </c>
    </row>
    <row r="1353" spans="10:21" x14ac:dyDescent="0.35">
      <c r="J1353">
        <f t="shared" si="175"/>
        <v>1350</v>
      </c>
      <c r="K1353">
        <f>demanda!D1351</f>
        <v>0</v>
      </c>
      <c r="L1353">
        <f>demanda!I1351</f>
        <v>15</v>
      </c>
      <c r="M1353">
        <v>14.416809279416043</v>
      </c>
      <c r="N1353">
        <f t="shared" si="168"/>
        <v>0.58319072058395705</v>
      </c>
      <c r="O1353">
        <v>7.4087557083441532E-4</v>
      </c>
      <c r="P1353">
        <f t="shared" si="169"/>
        <v>5.8760813658909554E-2</v>
      </c>
      <c r="Q1353">
        <f t="shared" si="170"/>
        <v>98.553306243487526</v>
      </c>
      <c r="R1353">
        <f t="shared" si="171"/>
        <v>5.8767327956256402E-2</v>
      </c>
      <c r="S1353">
        <f t="shared" si="172"/>
        <v>0.95314355069247325</v>
      </c>
      <c r="T1353">
        <f t="shared" si="173"/>
        <v>1.2809572488725558E-6</v>
      </c>
      <c r="U1353">
        <f t="shared" si="174"/>
        <v>1.6001825154010173E-3</v>
      </c>
    </row>
    <row r="1354" spans="10:21" x14ac:dyDescent="0.35">
      <c r="J1354">
        <f t="shared" si="175"/>
        <v>1351</v>
      </c>
      <c r="K1354">
        <f>demanda!D1352</f>
        <v>0</v>
      </c>
      <c r="L1354">
        <f>demanda!I1352</f>
        <v>15</v>
      </c>
      <c r="M1354">
        <v>14.416809279416043</v>
      </c>
      <c r="N1354">
        <f t="shared" si="168"/>
        <v>0.58319072058395705</v>
      </c>
      <c r="O1354">
        <v>7.4087557083441532E-4</v>
      </c>
      <c r="P1354">
        <f t="shared" si="169"/>
        <v>5.8760813658909554E-2</v>
      </c>
      <c r="Q1354">
        <f t="shared" si="170"/>
        <v>98.553306243487526</v>
      </c>
      <c r="R1354">
        <f t="shared" si="171"/>
        <v>5.8767327956256402E-2</v>
      </c>
      <c r="S1354">
        <f t="shared" si="172"/>
        <v>0.95314355069247325</v>
      </c>
      <c r="T1354">
        <f t="shared" si="173"/>
        <v>1.2809572488725558E-6</v>
      </c>
      <c r="U1354">
        <f t="shared" si="174"/>
        <v>1.6001825154010173E-3</v>
      </c>
    </row>
    <row r="1355" spans="10:21" x14ac:dyDescent="0.35">
      <c r="J1355">
        <f t="shared" si="175"/>
        <v>1352</v>
      </c>
      <c r="K1355">
        <f>demanda!D1353</f>
        <v>0</v>
      </c>
      <c r="L1355">
        <f>demanda!I1353</f>
        <v>15</v>
      </c>
      <c r="M1355">
        <v>14.416809279416043</v>
      </c>
      <c r="N1355">
        <f t="shared" si="168"/>
        <v>0.58319072058395705</v>
      </c>
      <c r="O1355">
        <v>7.4087557083441532E-4</v>
      </c>
      <c r="P1355">
        <f t="shared" si="169"/>
        <v>5.8760813658909554E-2</v>
      </c>
      <c r="Q1355">
        <f t="shared" si="170"/>
        <v>98.553306243487526</v>
      </c>
      <c r="R1355">
        <f t="shared" si="171"/>
        <v>5.8767327956256402E-2</v>
      </c>
      <c r="S1355">
        <f t="shared" si="172"/>
        <v>0.95314355069247325</v>
      </c>
      <c r="T1355">
        <f t="shared" si="173"/>
        <v>1.2809572488725558E-6</v>
      </c>
      <c r="U1355">
        <f t="shared" si="174"/>
        <v>1.6001825154010173E-3</v>
      </c>
    </row>
    <row r="1356" spans="10:21" x14ac:dyDescent="0.35">
      <c r="J1356">
        <f t="shared" si="175"/>
        <v>1353</v>
      </c>
      <c r="K1356">
        <f>demanda!D1354</f>
        <v>0</v>
      </c>
      <c r="L1356">
        <f>demanda!I1354</f>
        <v>15</v>
      </c>
      <c r="M1356">
        <v>14.416809279416043</v>
      </c>
      <c r="N1356">
        <f t="shared" si="168"/>
        <v>0.58319072058395705</v>
      </c>
      <c r="O1356">
        <v>7.4087557083441532E-4</v>
      </c>
      <c r="P1356">
        <f t="shared" si="169"/>
        <v>5.8760813658909554E-2</v>
      </c>
      <c r="Q1356">
        <f t="shared" si="170"/>
        <v>98.553306243487526</v>
      </c>
      <c r="R1356">
        <f t="shared" si="171"/>
        <v>5.8767327956256402E-2</v>
      </c>
      <c r="S1356">
        <f t="shared" si="172"/>
        <v>0.95314355069247325</v>
      </c>
      <c r="T1356">
        <f t="shared" si="173"/>
        <v>1.2809572488725558E-6</v>
      </c>
      <c r="U1356">
        <f t="shared" si="174"/>
        <v>1.6001825154010173E-3</v>
      </c>
    </row>
    <row r="1357" spans="10:21" x14ac:dyDescent="0.35">
      <c r="J1357">
        <f t="shared" si="175"/>
        <v>1354</v>
      </c>
      <c r="K1357">
        <f>demanda!D1355</f>
        <v>0</v>
      </c>
      <c r="L1357">
        <f>demanda!I1355</f>
        <v>15</v>
      </c>
      <c r="M1357">
        <v>14.416809279416043</v>
      </c>
      <c r="N1357">
        <f t="shared" si="168"/>
        <v>0.58319072058395705</v>
      </c>
      <c r="O1357">
        <v>7.4087557083441532E-4</v>
      </c>
      <c r="P1357">
        <f t="shared" si="169"/>
        <v>5.8760813658909554E-2</v>
      </c>
      <c r="Q1357">
        <f t="shared" si="170"/>
        <v>98.553306243487526</v>
      </c>
      <c r="R1357">
        <f t="shared" si="171"/>
        <v>5.8767327956256402E-2</v>
      </c>
      <c r="S1357">
        <f t="shared" si="172"/>
        <v>0.95314355069247325</v>
      </c>
      <c r="T1357">
        <f t="shared" si="173"/>
        <v>1.2809572488725558E-6</v>
      </c>
      <c r="U1357">
        <f t="shared" si="174"/>
        <v>1.6001825154010173E-3</v>
      </c>
    </row>
    <row r="1358" spans="10:21" x14ac:dyDescent="0.35">
      <c r="J1358">
        <f t="shared" si="175"/>
        <v>1355</v>
      </c>
      <c r="K1358">
        <f>demanda!D1356</f>
        <v>0</v>
      </c>
      <c r="L1358">
        <f>demanda!I1356</f>
        <v>15</v>
      </c>
      <c r="M1358">
        <v>14.416809279416043</v>
      </c>
      <c r="N1358">
        <f t="shared" si="168"/>
        <v>0.58319072058395705</v>
      </c>
      <c r="O1358">
        <v>7.4087557083441532E-4</v>
      </c>
      <c r="P1358">
        <f t="shared" si="169"/>
        <v>5.8760813658909554E-2</v>
      </c>
      <c r="Q1358">
        <f t="shared" si="170"/>
        <v>98.553306243487526</v>
      </c>
      <c r="R1358">
        <f t="shared" si="171"/>
        <v>5.8767327956256402E-2</v>
      </c>
      <c r="S1358">
        <f t="shared" si="172"/>
        <v>0.95314355069247325</v>
      </c>
      <c r="T1358">
        <f t="shared" si="173"/>
        <v>1.2809572488725558E-6</v>
      </c>
      <c r="U1358">
        <f t="shared" si="174"/>
        <v>1.6001825154010173E-3</v>
      </c>
    </row>
    <row r="1359" spans="10:21" x14ac:dyDescent="0.35">
      <c r="J1359">
        <f t="shared" si="175"/>
        <v>1356</v>
      </c>
      <c r="K1359">
        <f>demanda!D1357</f>
        <v>0</v>
      </c>
      <c r="L1359">
        <f>demanda!I1357</f>
        <v>15</v>
      </c>
      <c r="M1359">
        <v>14.416809279416043</v>
      </c>
      <c r="N1359">
        <f t="shared" si="168"/>
        <v>0.58319072058395705</v>
      </c>
      <c r="O1359">
        <v>7.4087557083441532E-4</v>
      </c>
      <c r="P1359">
        <f t="shared" si="169"/>
        <v>5.8760813658909554E-2</v>
      </c>
      <c r="Q1359">
        <f t="shared" si="170"/>
        <v>98.553306243487526</v>
      </c>
      <c r="R1359">
        <f t="shared" si="171"/>
        <v>5.8767327956256402E-2</v>
      </c>
      <c r="S1359">
        <f t="shared" si="172"/>
        <v>0.95314355069247325</v>
      </c>
      <c r="T1359">
        <f t="shared" si="173"/>
        <v>1.2809572488725558E-6</v>
      </c>
      <c r="U1359">
        <f t="shared" si="174"/>
        <v>1.6001825154010173E-3</v>
      </c>
    </row>
    <row r="1360" spans="10:21" x14ac:dyDescent="0.35">
      <c r="J1360">
        <f t="shared" si="175"/>
        <v>1357</v>
      </c>
      <c r="K1360">
        <f>demanda!D1358</f>
        <v>0</v>
      </c>
      <c r="L1360">
        <f>demanda!I1358</f>
        <v>15</v>
      </c>
      <c r="M1360">
        <v>14.416809279416043</v>
      </c>
      <c r="N1360">
        <f t="shared" si="168"/>
        <v>0.58319072058395705</v>
      </c>
      <c r="O1360">
        <v>7.4087557083441532E-4</v>
      </c>
      <c r="P1360">
        <f t="shared" si="169"/>
        <v>5.8760813658909554E-2</v>
      </c>
      <c r="Q1360">
        <f t="shared" si="170"/>
        <v>98.553306243487526</v>
      </c>
      <c r="R1360">
        <f t="shared" si="171"/>
        <v>5.8767327956256402E-2</v>
      </c>
      <c r="S1360">
        <f t="shared" si="172"/>
        <v>0.95314355069247325</v>
      </c>
      <c r="T1360">
        <f t="shared" si="173"/>
        <v>1.2809572488725558E-6</v>
      </c>
      <c r="U1360">
        <f t="shared" si="174"/>
        <v>1.6001825154010173E-3</v>
      </c>
    </row>
    <row r="1361" spans="10:21" x14ac:dyDescent="0.35">
      <c r="J1361">
        <f t="shared" si="175"/>
        <v>1358</v>
      </c>
      <c r="K1361">
        <f>demanda!D1359</f>
        <v>0</v>
      </c>
      <c r="L1361">
        <f>demanda!I1359</f>
        <v>15</v>
      </c>
      <c r="M1361">
        <v>14.416809279416043</v>
      </c>
      <c r="N1361">
        <f t="shared" si="168"/>
        <v>0.58319072058395705</v>
      </c>
      <c r="O1361">
        <v>7.4087557083441532E-4</v>
      </c>
      <c r="P1361">
        <f t="shared" si="169"/>
        <v>5.8760813658909554E-2</v>
      </c>
      <c r="Q1361">
        <f t="shared" si="170"/>
        <v>98.553306243487526</v>
      </c>
      <c r="R1361">
        <f t="shared" si="171"/>
        <v>5.8767327956256402E-2</v>
      </c>
      <c r="S1361">
        <f t="shared" si="172"/>
        <v>0.95314355069247325</v>
      </c>
      <c r="T1361">
        <f t="shared" si="173"/>
        <v>1.2809572488725558E-6</v>
      </c>
      <c r="U1361">
        <f t="shared" si="174"/>
        <v>1.6001825154010173E-3</v>
      </c>
    </row>
    <row r="1362" spans="10:21" x14ac:dyDescent="0.35">
      <c r="J1362">
        <f t="shared" si="175"/>
        <v>1359</v>
      </c>
      <c r="K1362">
        <f>demanda!D1360</f>
        <v>0</v>
      </c>
      <c r="L1362">
        <f>demanda!I1360</f>
        <v>15</v>
      </c>
      <c r="M1362">
        <v>14.416809279416043</v>
      </c>
      <c r="N1362">
        <f t="shared" si="168"/>
        <v>0.58319072058395705</v>
      </c>
      <c r="O1362">
        <v>7.4087557083441532E-4</v>
      </c>
      <c r="P1362">
        <f t="shared" si="169"/>
        <v>5.8760813658909554E-2</v>
      </c>
      <c r="Q1362">
        <f t="shared" si="170"/>
        <v>98.553306243487526</v>
      </c>
      <c r="R1362">
        <f t="shared" si="171"/>
        <v>5.8767327956256402E-2</v>
      </c>
      <c r="S1362">
        <f t="shared" si="172"/>
        <v>0.95314355069247325</v>
      </c>
      <c r="T1362">
        <f t="shared" si="173"/>
        <v>1.2809572488725558E-6</v>
      </c>
      <c r="U1362">
        <f t="shared" si="174"/>
        <v>1.6001825154010173E-3</v>
      </c>
    </row>
    <row r="1363" spans="10:21" x14ac:dyDescent="0.35">
      <c r="J1363">
        <f t="shared" si="175"/>
        <v>1360</v>
      </c>
      <c r="K1363">
        <f>demanda!D1361</f>
        <v>0</v>
      </c>
      <c r="L1363">
        <f>demanda!I1361</f>
        <v>15</v>
      </c>
      <c r="M1363">
        <v>14.416809279416043</v>
      </c>
      <c r="N1363">
        <f t="shared" si="168"/>
        <v>0.58319072058395705</v>
      </c>
      <c r="O1363">
        <v>7.4087557083441532E-4</v>
      </c>
      <c r="P1363">
        <f t="shared" si="169"/>
        <v>5.8760813658909554E-2</v>
      </c>
      <c r="Q1363">
        <f t="shared" si="170"/>
        <v>98.553306243487526</v>
      </c>
      <c r="R1363">
        <f t="shared" si="171"/>
        <v>5.8767327956256402E-2</v>
      </c>
      <c r="S1363">
        <f t="shared" si="172"/>
        <v>0.95314355069247325</v>
      </c>
      <c r="T1363">
        <f t="shared" si="173"/>
        <v>1.2809572488725558E-6</v>
      </c>
      <c r="U1363">
        <f t="shared" si="174"/>
        <v>1.6001825154010173E-3</v>
      </c>
    </row>
    <row r="1364" spans="10:21" x14ac:dyDescent="0.35">
      <c r="J1364">
        <f t="shared" si="175"/>
        <v>1361</v>
      </c>
      <c r="K1364">
        <f>demanda!D1362</f>
        <v>0</v>
      </c>
      <c r="L1364">
        <f>demanda!I1362</f>
        <v>15</v>
      </c>
      <c r="M1364">
        <v>14.416809279416043</v>
      </c>
      <c r="N1364">
        <f t="shared" si="168"/>
        <v>0.58319072058395705</v>
      </c>
      <c r="O1364">
        <v>7.4087557083441532E-4</v>
      </c>
      <c r="P1364">
        <f t="shared" si="169"/>
        <v>5.8760813658909554E-2</v>
      </c>
      <c r="Q1364">
        <f t="shared" si="170"/>
        <v>98.553306243487526</v>
      </c>
      <c r="R1364">
        <f t="shared" si="171"/>
        <v>5.8767327956256402E-2</v>
      </c>
      <c r="S1364">
        <f t="shared" si="172"/>
        <v>0.95314355069247325</v>
      </c>
      <c r="T1364">
        <f t="shared" si="173"/>
        <v>1.2809572488725558E-6</v>
      </c>
      <c r="U1364">
        <f t="shared" si="174"/>
        <v>1.6001825154010173E-3</v>
      </c>
    </row>
    <row r="1365" spans="10:21" x14ac:dyDescent="0.35">
      <c r="J1365">
        <f t="shared" si="175"/>
        <v>1362</v>
      </c>
      <c r="K1365">
        <f>demanda!D1363</f>
        <v>0</v>
      </c>
      <c r="L1365">
        <f>demanda!I1363</f>
        <v>15</v>
      </c>
      <c r="M1365">
        <v>14.416809279416043</v>
      </c>
      <c r="N1365">
        <f t="shared" si="168"/>
        <v>0.58319072058395705</v>
      </c>
      <c r="O1365">
        <v>7.4087557083441532E-4</v>
      </c>
      <c r="P1365">
        <f t="shared" si="169"/>
        <v>5.8760813658909554E-2</v>
      </c>
      <c r="Q1365">
        <f t="shared" si="170"/>
        <v>98.553306243487526</v>
      </c>
      <c r="R1365">
        <f t="shared" si="171"/>
        <v>5.8767327956256402E-2</v>
      </c>
      <c r="S1365">
        <f t="shared" si="172"/>
        <v>0.95314355069247325</v>
      </c>
      <c r="T1365">
        <f t="shared" si="173"/>
        <v>1.2809572488725558E-6</v>
      </c>
      <c r="U1365">
        <f t="shared" si="174"/>
        <v>1.6001825154010173E-3</v>
      </c>
    </row>
    <row r="1366" spans="10:21" x14ac:dyDescent="0.35">
      <c r="J1366">
        <f t="shared" si="175"/>
        <v>1363</v>
      </c>
      <c r="K1366">
        <f>demanda!D1364</f>
        <v>0</v>
      </c>
      <c r="L1366">
        <f>demanda!I1364</f>
        <v>15</v>
      </c>
      <c r="M1366">
        <v>14.416809279416043</v>
      </c>
      <c r="N1366">
        <f t="shared" si="168"/>
        <v>0.58319072058395705</v>
      </c>
      <c r="O1366">
        <v>7.4087557083441532E-4</v>
      </c>
      <c r="P1366">
        <f t="shared" si="169"/>
        <v>5.8760813658909554E-2</v>
      </c>
      <c r="Q1366">
        <f t="shared" si="170"/>
        <v>98.553306243487526</v>
      </c>
      <c r="R1366">
        <f t="shared" si="171"/>
        <v>5.8767327956256402E-2</v>
      </c>
      <c r="S1366">
        <f t="shared" si="172"/>
        <v>0.95314355069247325</v>
      </c>
      <c r="T1366">
        <f t="shared" si="173"/>
        <v>1.2809572488725558E-6</v>
      </c>
      <c r="U1366">
        <f t="shared" si="174"/>
        <v>1.6001825154010173E-3</v>
      </c>
    </row>
    <row r="1367" spans="10:21" x14ac:dyDescent="0.35">
      <c r="J1367">
        <f t="shared" si="175"/>
        <v>1364</v>
      </c>
      <c r="K1367">
        <f>demanda!D1365</f>
        <v>0</v>
      </c>
      <c r="L1367">
        <f>demanda!I1365</f>
        <v>15</v>
      </c>
      <c r="M1367">
        <v>14.416809279416043</v>
      </c>
      <c r="N1367">
        <f t="shared" si="168"/>
        <v>0.58319072058395705</v>
      </c>
      <c r="O1367">
        <v>7.4087557083441532E-4</v>
      </c>
      <c r="P1367">
        <f t="shared" si="169"/>
        <v>5.8760813658909554E-2</v>
      </c>
      <c r="Q1367">
        <f t="shared" si="170"/>
        <v>98.553306243487526</v>
      </c>
      <c r="R1367">
        <f t="shared" si="171"/>
        <v>5.8767327956256402E-2</v>
      </c>
      <c r="S1367">
        <f t="shared" si="172"/>
        <v>0.95314355069247325</v>
      </c>
      <c r="T1367">
        <f t="shared" si="173"/>
        <v>1.2809572488725558E-6</v>
      </c>
      <c r="U1367">
        <f t="shared" si="174"/>
        <v>1.6001825154010173E-3</v>
      </c>
    </row>
    <row r="1368" spans="10:21" x14ac:dyDescent="0.35">
      <c r="J1368">
        <f t="shared" si="175"/>
        <v>1365</v>
      </c>
      <c r="K1368">
        <f>demanda!D1366</f>
        <v>0</v>
      </c>
      <c r="L1368">
        <f>demanda!I1366</f>
        <v>15</v>
      </c>
      <c r="M1368">
        <v>14.416809279416043</v>
      </c>
      <c r="N1368">
        <f t="shared" si="168"/>
        <v>0.58319072058395705</v>
      </c>
      <c r="O1368">
        <v>7.4087557083441532E-4</v>
      </c>
      <c r="P1368">
        <f t="shared" si="169"/>
        <v>5.8760813658909554E-2</v>
      </c>
      <c r="Q1368">
        <f t="shared" si="170"/>
        <v>98.553306243487526</v>
      </c>
      <c r="R1368">
        <f t="shared" si="171"/>
        <v>5.8767327956256402E-2</v>
      </c>
      <c r="S1368">
        <f t="shared" si="172"/>
        <v>0.95314355069247325</v>
      </c>
      <c r="T1368">
        <f t="shared" si="173"/>
        <v>1.2809572488725558E-6</v>
      </c>
      <c r="U1368">
        <f t="shared" si="174"/>
        <v>1.6001825154010173E-3</v>
      </c>
    </row>
    <row r="1369" spans="10:21" x14ac:dyDescent="0.35">
      <c r="J1369">
        <f t="shared" si="175"/>
        <v>1366</v>
      </c>
      <c r="K1369">
        <f>demanda!D1367</f>
        <v>0</v>
      </c>
      <c r="L1369">
        <f>demanda!I1367</f>
        <v>15</v>
      </c>
      <c r="M1369">
        <v>14.416809279416043</v>
      </c>
      <c r="N1369">
        <f t="shared" si="168"/>
        <v>0.58319072058395705</v>
      </c>
      <c r="O1369">
        <v>7.4087557083441532E-4</v>
      </c>
      <c r="P1369">
        <f t="shared" si="169"/>
        <v>5.8760813658909554E-2</v>
      </c>
      <c r="Q1369">
        <f t="shared" si="170"/>
        <v>98.553306243487526</v>
      </c>
      <c r="R1369">
        <f t="shared" si="171"/>
        <v>5.8767327956256402E-2</v>
      </c>
      <c r="S1369">
        <f t="shared" si="172"/>
        <v>0.95314355069247325</v>
      </c>
      <c r="T1369">
        <f t="shared" si="173"/>
        <v>1.2809572488725558E-6</v>
      </c>
      <c r="U1369">
        <f t="shared" si="174"/>
        <v>1.6001825154010173E-3</v>
      </c>
    </row>
    <row r="1370" spans="10:21" x14ac:dyDescent="0.35">
      <c r="J1370">
        <f t="shared" si="175"/>
        <v>1367</v>
      </c>
      <c r="K1370">
        <f>demanda!D1368</f>
        <v>0</v>
      </c>
      <c r="L1370">
        <f>demanda!I1368</f>
        <v>15</v>
      </c>
      <c r="M1370">
        <v>14.416809279416043</v>
      </c>
      <c r="N1370">
        <f t="shared" si="168"/>
        <v>0.58319072058395705</v>
      </c>
      <c r="O1370">
        <v>7.4087557083441532E-4</v>
      </c>
      <c r="P1370">
        <f t="shared" si="169"/>
        <v>5.8760813658909554E-2</v>
      </c>
      <c r="Q1370">
        <f t="shared" si="170"/>
        <v>98.553306243487526</v>
      </c>
      <c r="R1370">
        <f t="shared" si="171"/>
        <v>5.8767327956256402E-2</v>
      </c>
      <c r="S1370">
        <f t="shared" si="172"/>
        <v>0.95314355069247325</v>
      </c>
      <c r="T1370">
        <f t="shared" si="173"/>
        <v>1.2809572488725558E-6</v>
      </c>
      <c r="U1370">
        <f t="shared" si="174"/>
        <v>1.6001825154010173E-3</v>
      </c>
    </row>
    <row r="1371" spans="10:21" x14ac:dyDescent="0.35">
      <c r="J1371">
        <f t="shared" si="175"/>
        <v>1368</v>
      </c>
      <c r="K1371">
        <f>demanda!D1369</f>
        <v>0</v>
      </c>
      <c r="L1371">
        <f>demanda!I1369</f>
        <v>15</v>
      </c>
      <c r="M1371">
        <v>14.416809279416043</v>
      </c>
      <c r="N1371">
        <f t="shared" si="168"/>
        <v>0.58319072058395705</v>
      </c>
      <c r="O1371">
        <v>7.4087557083441532E-4</v>
      </c>
      <c r="P1371">
        <f t="shared" si="169"/>
        <v>5.8760813658909554E-2</v>
      </c>
      <c r="Q1371">
        <f t="shared" si="170"/>
        <v>98.553306243487526</v>
      </c>
      <c r="R1371">
        <f t="shared" si="171"/>
        <v>5.8767327956256402E-2</v>
      </c>
      <c r="S1371">
        <f t="shared" si="172"/>
        <v>0.95314355069247325</v>
      </c>
      <c r="T1371">
        <f t="shared" si="173"/>
        <v>1.2809572488725558E-6</v>
      </c>
      <c r="U1371">
        <f t="shared" si="174"/>
        <v>1.6001825154010173E-3</v>
      </c>
    </row>
    <row r="1372" spans="10:21" x14ac:dyDescent="0.35">
      <c r="J1372">
        <f t="shared" si="175"/>
        <v>1369</v>
      </c>
      <c r="K1372">
        <f>demanda!D1370</f>
        <v>0</v>
      </c>
      <c r="L1372">
        <f>demanda!I1370</f>
        <v>12</v>
      </c>
      <c r="M1372">
        <v>14.416809279416043</v>
      </c>
      <c r="N1372">
        <f t="shared" si="168"/>
        <v>-2.416809279416043</v>
      </c>
      <c r="O1372">
        <v>7.4087557083441532E-4</v>
      </c>
      <c r="P1372">
        <f t="shared" si="169"/>
        <v>-0.24351155583320885</v>
      </c>
      <c r="Q1372">
        <f t="shared" si="170"/>
        <v>98.55043610055337</v>
      </c>
      <c r="R1372">
        <f t="shared" si="171"/>
        <v>-0.24354209816225414</v>
      </c>
      <c r="S1372">
        <f t="shared" si="172"/>
        <v>0.80761150818210881</v>
      </c>
      <c r="T1372">
        <f t="shared" si="173"/>
        <v>2.199875915262289E-5</v>
      </c>
      <c r="U1372">
        <f t="shared" si="174"/>
        <v>-6.6314365617133417E-3</v>
      </c>
    </row>
    <row r="1373" spans="10:21" x14ac:dyDescent="0.35">
      <c r="J1373">
        <f t="shared" si="175"/>
        <v>1370</v>
      </c>
      <c r="K1373">
        <f>demanda!D1371</f>
        <v>0</v>
      </c>
      <c r="L1373">
        <f>demanda!I1371</f>
        <v>15</v>
      </c>
      <c r="M1373">
        <v>14.416809279416043</v>
      </c>
      <c r="N1373">
        <f t="shared" si="168"/>
        <v>0.58319072058395705</v>
      </c>
      <c r="O1373">
        <v>7.4087557083441532E-4</v>
      </c>
      <c r="P1373">
        <f t="shared" si="169"/>
        <v>5.8760813658909554E-2</v>
      </c>
      <c r="Q1373">
        <f t="shared" si="170"/>
        <v>98.553306243487526</v>
      </c>
      <c r="R1373">
        <f t="shared" si="171"/>
        <v>5.8767327956256402E-2</v>
      </c>
      <c r="S1373">
        <f t="shared" si="172"/>
        <v>0.95314355069247325</v>
      </c>
      <c r="T1373">
        <f t="shared" si="173"/>
        <v>1.2809572488725558E-6</v>
      </c>
      <c r="U1373">
        <f t="shared" si="174"/>
        <v>1.6001825154010173E-3</v>
      </c>
    </row>
    <row r="1374" spans="10:21" x14ac:dyDescent="0.35">
      <c r="J1374">
        <f t="shared" si="175"/>
        <v>1371</v>
      </c>
      <c r="K1374">
        <f>demanda!D1372</f>
        <v>0</v>
      </c>
      <c r="L1374">
        <f>demanda!I1372</f>
        <v>4</v>
      </c>
      <c r="M1374">
        <v>14.416809279416043</v>
      </c>
      <c r="N1374">
        <f t="shared" si="168"/>
        <v>-10.416809279416043</v>
      </c>
      <c r="O1374">
        <v>7.4087557083441532E-4</v>
      </c>
      <c r="P1374">
        <f t="shared" si="169"/>
        <v>-1.0495712078121913</v>
      </c>
      <c r="Q1374">
        <f t="shared" si="170"/>
        <v>98.49686724248096</v>
      </c>
      <c r="R1374">
        <f t="shared" si="171"/>
        <v>-1.049988258586362</v>
      </c>
      <c r="S1374">
        <f t="shared" si="172"/>
        <v>0.29385572056513598</v>
      </c>
      <c r="T1374">
        <f t="shared" si="173"/>
        <v>4.0867949778204384E-4</v>
      </c>
      <c r="U1374">
        <f t="shared" si="174"/>
        <v>-2.8590254333443563E-2</v>
      </c>
    </row>
    <row r="1375" spans="10:21" x14ac:dyDescent="0.35">
      <c r="J1375">
        <f t="shared" si="175"/>
        <v>1372</v>
      </c>
      <c r="K1375">
        <f>demanda!D1373</f>
        <v>4</v>
      </c>
      <c r="L1375">
        <f>demanda!I1373</f>
        <v>4</v>
      </c>
      <c r="M1375">
        <v>3.8942745198728588</v>
      </c>
      <c r="N1375">
        <f t="shared" si="168"/>
        <v>0.10572548012714122</v>
      </c>
      <c r="O1375">
        <v>2.4466175697261316E-3</v>
      </c>
      <c r="P1375">
        <f t="shared" si="169"/>
        <v>1.0652630464574285E-2</v>
      </c>
      <c r="Q1375">
        <f t="shared" si="170"/>
        <v>98.553477858863673</v>
      </c>
      <c r="R1375">
        <f t="shared" si="171"/>
        <v>1.0662906866275572E-2</v>
      </c>
      <c r="S1375">
        <f t="shared" si="172"/>
        <v>0.99149350080457299</v>
      </c>
      <c r="T1375">
        <f t="shared" si="173"/>
        <v>1.3950106623021426E-7</v>
      </c>
      <c r="U1375">
        <f t="shared" si="174"/>
        <v>5.2806889669490694E-4</v>
      </c>
    </row>
    <row r="1376" spans="10:21" x14ac:dyDescent="0.35">
      <c r="J1376">
        <f t="shared" si="175"/>
        <v>1373</v>
      </c>
      <c r="K1376">
        <f>demanda!D1374</f>
        <v>1</v>
      </c>
      <c r="L1376">
        <f>demanda!I1374</f>
        <v>3</v>
      </c>
      <c r="M1376">
        <v>11.786175589530247</v>
      </c>
      <c r="N1376">
        <f t="shared" si="168"/>
        <v>-8.7861755895302469</v>
      </c>
      <c r="O1376">
        <v>5.2058796926701797E-4</v>
      </c>
      <c r="P1376">
        <f t="shared" si="169"/>
        <v>-0.88527270474037267</v>
      </c>
      <c r="Q1376">
        <f t="shared" si="170"/>
        <v>98.513214102399758</v>
      </c>
      <c r="R1376">
        <f t="shared" si="171"/>
        <v>-0.88545339538896362</v>
      </c>
      <c r="S1376">
        <f t="shared" si="172"/>
        <v>0.37602308055069167</v>
      </c>
      <c r="T1376">
        <f t="shared" si="173"/>
        <v>2.0420697614382047E-4</v>
      </c>
      <c r="U1376">
        <f t="shared" si="174"/>
        <v>-2.0208116875988336E-2</v>
      </c>
    </row>
    <row r="1377" spans="10:21" x14ac:dyDescent="0.35">
      <c r="J1377">
        <f t="shared" si="175"/>
        <v>1374</v>
      </c>
      <c r="K1377">
        <f>demanda!D1375</f>
        <v>0</v>
      </c>
      <c r="L1377">
        <f>demanda!I1375</f>
        <v>13</v>
      </c>
      <c r="M1377">
        <v>14.416809279416043</v>
      </c>
      <c r="N1377">
        <f t="shared" si="168"/>
        <v>-1.416809279416043</v>
      </c>
      <c r="O1377">
        <v>7.4087557083441532E-4</v>
      </c>
      <c r="P1377">
        <f t="shared" si="169"/>
        <v>-0.14275409933583605</v>
      </c>
      <c r="Q1377">
        <f t="shared" si="170"/>
        <v>98.552436340855238</v>
      </c>
      <c r="R1377">
        <f t="shared" si="171"/>
        <v>-0.14277055533334676</v>
      </c>
      <c r="S1377">
        <f t="shared" si="172"/>
        <v>0.88648638054980111</v>
      </c>
      <c r="T1377">
        <f t="shared" si="173"/>
        <v>7.5602509372950483E-6</v>
      </c>
      <c r="U1377">
        <f t="shared" si="174"/>
        <v>-3.8875163173756836E-3</v>
      </c>
    </row>
    <row r="1378" spans="10:21" x14ac:dyDescent="0.35">
      <c r="J1378">
        <f t="shared" si="175"/>
        <v>1375</v>
      </c>
      <c r="K1378">
        <f>demanda!D1376</f>
        <v>0</v>
      </c>
      <c r="L1378">
        <f>demanda!I1376</f>
        <v>4</v>
      </c>
      <c r="M1378">
        <v>14.416809279416043</v>
      </c>
      <c r="N1378">
        <f t="shared" si="168"/>
        <v>-10.416809279416043</v>
      </c>
      <c r="O1378">
        <v>7.4087557083441532E-4</v>
      </c>
      <c r="P1378">
        <f t="shared" si="169"/>
        <v>-1.0495712078121913</v>
      </c>
      <c r="Q1378">
        <f t="shared" si="170"/>
        <v>98.49686724248096</v>
      </c>
      <c r="R1378">
        <f t="shared" si="171"/>
        <v>-1.049988258586362</v>
      </c>
      <c r="S1378">
        <f t="shared" si="172"/>
        <v>0.29385572056513598</v>
      </c>
      <c r="T1378">
        <f t="shared" si="173"/>
        <v>4.0867949778204384E-4</v>
      </c>
      <c r="U1378">
        <f t="shared" si="174"/>
        <v>-2.8590254333443563E-2</v>
      </c>
    </row>
    <row r="1379" spans="10:21" x14ac:dyDescent="0.35">
      <c r="J1379">
        <f t="shared" si="175"/>
        <v>1376</v>
      </c>
      <c r="K1379">
        <f>demanda!D1377</f>
        <v>0</v>
      </c>
      <c r="L1379">
        <f>demanda!I1377</f>
        <v>6</v>
      </c>
      <c r="M1379">
        <v>14.416809279416043</v>
      </c>
      <c r="N1379">
        <f t="shared" si="168"/>
        <v>-8.416809279416043</v>
      </c>
      <c r="O1379">
        <v>7.4087557083441532E-4</v>
      </c>
      <c r="P1379">
        <f t="shared" si="169"/>
        <v>-0.84805629481744571</v>
      </c>
      <c r="Q1379">
        <f t="shared" si="170"/>
        <v>98.51652061294196</v>
      </c>
      <c r="R1379">
        <f t="shared" si="171"/>
        <v>-0.8483086443975183</v>
      </c>
      <c r="S1379">
        <f t="shared" si="172"/>
        <v>0.39637190285902191</v>
      </c>
      <c r="T1379">
        <f t="shared" si="173"/>
        <v>2.6681386764022222E-4</v>
      </c>
      <c r="U1379">
        <f t="shared" si="174"/>
        <v>-2.3098696293268058E-2</v>
      </c>
    </row>
    <row r="1380" spans="10:21" x14ac:dyDescent="0.35">
      <c r="J1380">
        <f t="shared" si="175"/>
        <v>1377</v>
      </c>
      <c r="K1380">
        <f>demanda!D1378</f>
        <v>3</v>
      </c>
      <c r="L1380">
        <f>demanda!I1378</f>
        <v>2</v>
      </c>
      <c r="M1380">
        <v>6.5249082097586548</v>
      </c>
      <c r="N1380">
        <f t="shared" si="168"/>
        <v>-4.5249082097586548</v>
      </c>
      <c r="O1380">
        <v>1.3734589687128761E-3</v>
      </c>
      <c r="P1380">
        <f t="shared" si="169"/>
        <v>-0.45591824209936271</v>
      </c>
      <c r="Q1380">
        <f t="shared" si="170"/>
        <v>98.542793943857959</v>
      </c>
      <c r="R1380">
        <f t="shared" si="171"/>
        <v>-0.45613750825631832</v>
      </c>
      <c r="S1380">
        <f t="shared" si="172"/>
        <v>0.64834271460897308</v>
      </c>
      <c r="T1380">
        <f t="shared" si="173"/>
        <v>1.4313749884792331E-4</v>
      </c>
      <c r="U1380">
        <f t="shared" si="174"/>
        <v>-1.6916171460658679E-2</v>
      </c>
    </row>
    <row r="1381" spans="10:21" x14ac:dyDescent="0.35">
      <c r="J1381">
        <f t="shared" si="175"/>
        <v>1378</v>
      </c>
      <c r="K1381">
        <f>demanda!D1379</f>
        <v>1</v>
      </c>
      <c r="L1381">
        <f>demanda!I1379</f>
        <v>16</v>
      </c>
      <c r="M1381">
        <v>11.786175589530247</v>
      </c>
      <c r="N1381">
        <f t="shared" si="168"/>
        <v>4.2138244104697531</v>
      </c>
      <c r="O1381">
        <v>5.2058796926701797E-4</v>
      </c>
      <c r="P1381">
        <f t="shared" si="169"/>
        <v>0.42457422972547376</v>
      </c>
      <c r="Q1381">
        <f t="shared" si="170"/>
        <v>98.544221154270687</v>
      </c>
      <c r="R1381">
        <f t="shared" si="171"/>
        <v>0.4245940731647706</v>
      </c>
      <c r="S1381">
        <f t="shared" si="172"/>
        <v>0.67118021179708642</v>
      </c>
      <c r="T1381">
        <f t="shared" si="173"/>
        <v>4.6970338191938198E-5</v>
      </c>
      <c r="U1381">
        <f t="shared" si="174"/>
        <v>9.6902295479893447E-3</v>
      </c>
    </row>
    <row r="1382" spans="10:21" x14ac:dyDescent="0.35">
      <c r="J1382">
        <f t="shared" si="175"/>
        <v>1379</v>
      </c>
      <c r="K1382">
        <f>demanda!D1380</f>
        <v>1</v>
      </c>
      <c r="L1382">
        <f>demanda!I1380</f>
        <v>13</v>
      </c>
      <c r="M1382">
        <v>11.786175589530247</v>
      </c>
      <c r="N1382">
        <f t="shared" si="168"/>
        <v>1.2138244104697531</v>
      </c>
      <c r="O1382">
        <v>5.2058796926701797E-4</v>
      </c>
      <c r="P1382">
        <f t="shared" si="169"/>
        <v>0.12230186023335533</v>
      </c>
      <c r="Q1382">
        <f t="shared" si="170"/>
        <v>98.552715120685733</v>
      </c>
      <c r="R1382">
        <f t="shared" si="171"/>
        <v>0.12230230551078146</v>
      </c>
      <c r="S1382">
        <f t="shared" si="172"/>
        <v>0.90267241210292171</v>
      </c>
      <c r="T1382">
        <f t="shared" si="173"/>
        <v>3.8974679450726784E-6</v>
      </c>
      <c r="U1382">
        <f t="shared" si="174"/>
        <v>2.7912245826094769E-3</v>
      </c>
    </row>
    <row r="1383" spans="10:21" x14ac:dyDescent="0.35">
      <c r="J1383">
        <f t="shared" si="175"/>
        <v>1380</v>
      </c>
      <c r="K1383">
        <f>demanda!D1381</f>
        <v>0</v>
      </c>
      <c r="L1383">
        <f>demanda!I1381</f>
        <v>11</v>
      </c>
      <c r="M1383">
        <v>14.416809279416043</v>
      </c>
      <c r="N1383">
        <f t="shared" si="168"/>
        <v>-3.416809279416043</v>
      </c>
      <c r="O1383">
        <v>7.4087557083441532E-4</v>
      </c>
      <c r="P1383">
        <f t="shared" si="169"/>
        <v>-0.34426901233058166</v>
      </c>
      <c r="Q1383">
        <f t="shared" si="170"/>
        <v>98.547392334261005</v>
      </c>
      <c r="R1383">
        <f t="shared" si="171"/>
        <v>-0.34431750934619676</v>
      </c>
      <c r="S1383">
        <f t="shared" si="172"/>
        <v>0.73064524437297085</v>
      </c>
      <c r="T1383">
        <f t="shared" si="173"/>
        <v>4.3969841615361785E-5</v>
      </c>
      <c r="U1383">
        <f t="shared" si="174"/>
        <v>-9.3754621379472432E-3</v>
      </c>
    </row>
    <row r="1384" spans="10:21" x14ac:dyDescent="0.35">
      <c r="J1384">
        <f t="shared" si="175"/>
        <v>1381</v>
      </c>
      <c r="K1384">
        <f>demanda!D1382</f>
        <v>1</v>
      </c>
      <c r="L1384">
        <f>demanda!I1382</f>
        <v>7</v>
      </c>
      <c r="M1384">
        <v>11.786175589530247</v>
      </c>
      <c r="N1384">
        <f t="shared" si="168"/>
        <v>-4.7861755895302469</v>
      </c>
      <c r="O1384">
        <v>5.2058796926701797E-4</v>
      </c>
      <c r="P1384">
        <f t="shared" si="169"/>
        <v>-0.48224287875088151</v>
      </c>
      <c r="Q1384">
        <f t="shared" si="170"/>
        <v>98.54153406165311</v>
      </c>
      <c r="R1384">
        <f t="shared" si="171"/>
        <v>-0.48227199277900268</v>
      </c>
      <c r="S1384">
        <f t="shared" si="172"/>
        <v>0.62966774184084362</v>
      </c>
      <c r="T1384">
        <f t="shared" si="173"/>
        <v>6.0596574275712224E-5</v>
      </c>
      <c r="U1384">
        <f t="shared" si="174"/>
        <v>-1.10065745377968E-2</v>
      </c>
    </row>
    <row r="1385" spans="10:21" x14ac:dyDescent="0.35">
      <c r="J1385">
        <f t="shared" si="175"/>
        <v>1382</v>
      </c>
      <c r="K1385">
        <f>demanda!D1383</f>
        <v>3</v>
      </c>
      <c r="L1385">
        <f>demanda!I1383</f>
        <v>3</v>
      </c>
      <c r="M1385">
        <v>6.5249082097586548</v>
      </c>
      <c r="N1385">
        <f t="shared" si="168"/>
        <v>-3.5249082097586548</v>
      </c>
      <c r="O1385">
        <v>1.3734589687128761E-3</v>
      </c>
      <c r="P1385">
        <f t="shared" si="169"/>
        <v>-0.35516078560198994</v>
      </c>
      <c r="Q1385">
        <f t="shared" si="170"/>
        <v>98.546996700749531</v>
      </c>
      <c r="R1385">
        <f t="shared" si="171"/>
        <v>-0.35532401713098288</v>
      </c>
      <c r="S1385">
        <f t="shared" si="172"/>
        <v>0.72238591463660118</v>
      </c>
      <c r="T1385">
        <f t="shared" si="173"/>
        <v>8.6861935283639592E-5</v>
      </c>
      <c r="U1385">
        <f t="shared" si="174"/>
        <v>-1.3177434192717408E-2</v>
      </c>
    </row>
    <row r="1386" spans="10:21" x14ac:dyDescent="0.35">
      <c r="J1386">
        <f t="shared" si="175"/>
        <v>1383</v>
      </c>
      <c r="K1386">
        <f>demanda!D1384</f>
        <v>6</v>
      </c>
      <c r="L1386">
        <f>demanda!I1384</f>
        <v>3</v>
      </c>
      <c r="M1386">
        <v>-1.3669928598987333</v>
      </c>
      <c r="N1386">
        <f t="shared" si="168"/>
        <v>4.3669928598987333</v>
      </c>
      <c r="O1386">
        <v>5.8863809743332956E-3</v>
      </c>
      <c r="P1386">
        <f t="shared" si="169"/>
        <v>0.44000709310558428</v>
      </c>
      <c r="Q1386">
        <f t="shared" si="170"/>
        <v>98.543481851032595</v>
      </c>
      <c r="R1386">
        <f t="shared" si="171"/>
        <v>0.44121525371752685</v>
      </c>
      <c r="S1386">
        <f t="shared" si="172"/>
        <v>0.65910687609302177</v>
      </c>
      <c r="T1386">
        <f t="shared" si="173"/>
        <v>5.7658810569327667E-4</v>
      </c>
      <c r="U1386">
        <f t="shared" si="174"/>
        <v>3.3951322043777717E-2</v>
      </c>
    </row>
    <row r="1387" spans="10:21" x14ac:dyDescent="0.35">
      <c r="J1387">
        <f t="shared" si="175"/>
        <v>1384</v>
      </c>
      <c r="K1387">
        <f>demanda!D1385</f>
        <v>0</v>
      </c>
      <c r="L1387">
        <f>demanda!I1385</f>
        <v>40</v>
      </c>
      <c r="M1387">
        <v>14.416809279416043</v>
      </c>
      <c r="N1387">
        <f t="shared" si="168"/>
        <v>25.583190720583957</v>
      </c>
      <c r="O1387">
        <v>7.4087557083441532E-4</v>
      </c>
      <c r="P1387">
        <f t="shared" si="169"/>
        <v>2.5776972260932296</v>
      </c>
      <c r="Q1387">
        <f t="shared" si="170"/>
        <v>98.21199000460274</v>
      </c>
      <c r="R1387">
        <f t="shared" si="171"/>
        <v>2.5824587411548356</v>
      </c>
      <c r="S1387">
        <f t="shared" si="172"/>
        <v>9.8833728120095964E-3</v>
      </c>
      <c r="T1387">
        <f t="shared" si="173"/>
        <v>2.4650335946448249E-3</v>
      </c>
      <c r="U1387">
        <f t="shared" si="174"/>
        <v>7.0318074141748538E-2</v>
      </c>
    </row>
    <row r="1388" spans="10:21" x14ac:dyDescent="0.35">
      <c r="J1388">
        <f t="shared" si="175"/>
        <v>1385</v>
      </c>
      <c r="K1388">
        <f>demanda!D1386</f>
        <v>3</v>
      </c>
      <c r="L1388">
        <f>demanda!I1386</f>
        <v>4</v>
      </c>
      <c r="M1388">
        <v>6.5249082097586548</v>
      </c>
      <c r="N1388">
        <f t="shared" si="168"/>
        <v>-2.5249082097586548</v>
      </c>
      <c r="O1388">
        <v>1.3734589687128761E-3</v>
      </c>
      <c r="P1388">
        <f t="shared" si="169"/>
        <v>-0.2544033291046171</v>
      </c>
      <c r="Q1388">
        <f t="shared" si="170"/>
        <v>98.550155270625524</v>
      </c>
      <c r="R1388">
        <f t="shared" si="171"/>
        <v>-0.25451617384299874</v>
      </c>
      <c r="S1388">
        <f t="shared" si="172"/>
        <v>0.79912408038987892</v>
      </c>
      <c r="T1388">
        <f t="shared" si="173"/>
        <v>4.4568197050885148E-5</v>
      </c>
      <c r="U1388">
        <f t="shared" si="174"/>
        <v>-9.4389063786870474E-3</v>
      </c>
    </row>
    <row r="1389" spans="10:21" x14ac:dyDescent="0.35">
      <c r="J1389">
        <f t="shared" si="175"/>
        <v>1386</v>
      </c>
      <c r="K1389">
        <f>demanda!D1387</f>
        <v>2</v>
      </c>
      <c r="L1389">
        <f>demanda!I1387</f>
        <v>4</v>
      </c>
      <c r="M1389">
        <v>9.1555418996444509</v>
      </c>
      <c r="N1389">
        <f t="shared" si="168"/>
        <v>-5.1555418996444509</v>
      </c>
      <c r="O1389">
        <v>7.3144910189317154E-4</v>
      </c>
      <c r="P1389">
        <f t="shared" si="169"/>
        <v>-0.51945928867380853</v>
      </c>
      <c r="Q1389">
        <f t="shared" si="170"/>
        <v>98.539615573748293</v>
      </c>
      <c r="R1389">
        <f t="shared" si="171"/>
        <v>-0.51955051447259837</v>
      </c>
      <c r="S1389">
        <f t="shared" si="172"/>
        <v>0.60343681513546954</v>
      </c>
      <c r="T1389">
        <f t="shared" si="173"/>
        <v>9.8830890695332879E-5</v>
      </c>
      <c r="U1389">
        <f t="shared" si="174"/>
        <v>-1.4056549457229766E-2</v>
      </c>
    </row>
    <row r="1390" spans="10:21" x14ac:dyDescent="0.35">
      <c r="J1390">
        <f t="shared" si="175"/>
        <v>1387</v>
      </c>
      <c r="K1390">
        <f>demanda!D1388</f>
        <v>0</v>
      </c>
      <c r="L1390">
        <f>demanda!I1388</f>
        <v>10</v>
      </c>
      <c r="M1390">
        <v>14.416809279416043</v>
      </c>
      <c r="N1390">
        <f t="shared" si="168"/>
        <v>-4.416809279416043</v>
      </c>
      <c r="O1390">
        <v>7.4087557083441532E-4</v>
      </c>
      <c r="P1390">
        <f t="shared" si="169"/>
        <v>-0.44502646882795449</v>
      </c>
      <c r="Q1390">
        <f t="shared" si="170"/>
        <v>98.543305041978172</v>
      </c>
      <c r="R1390">
        <f t="shared" si="171"/>
        <v>-0.44509838991165818</v>
      </c>
      <c r="S1390">
        <f t="shared" si="172"/>
        <v>0.65629885256814913</v>
      </c>
      <c r="T1390">
        <f t="shared" si="173"/>
        <v>7.3473498325511761E-5</v>
      </c>
      <c r="U1390">
        <f t="shared" si="174"/>
        <v>-1.2119636640616644E-2</v>
      </c>
    </row>
    <row r="1391" spans="10:21" x14ac:dyDescent="0.35">
      <c r="J1391">
        <f t="shared" si="175"/>
        <v>1388</v>
      </c>
      <c r="K1391">
        <f>demanda!D1389</f>
        <v>2</v>
      </c>
      <c r="L1391">
        <f>demanda!I1389</f>
        <v>4</v>
      </c>
      <c r="M1391">
        <v>9.1555418996444509</v>
      </c>
      <c r="N1391">
        <f t="shared" si="168"/>
        <v>-5.1555418996444509</v>
      </c>
      <c r="O1391">
        <v>7.3144910189317154E-4</v>
      </c>
      <c r="P1391">
        <f t="shared" si="169"/>
        <v>-0.51945928867380853</v>
      </c>
      <c r="Q1391">
        <f t="shared" si="170"/>
        <v>98.539615573748293</v>
      </c>
      <c r="R1391">
        <f t="shared" si="171"/>
        <v>-0.51955051447259837</v>
      </c>
      <c r="S1391">
        <f t="shared" si="172"/>
        <v>0.60343681513546954</v>
      </c>
      <c r="T1391">
        <f t="shared" si="173"/>
        <v>9.8830890695332879E-5</v>
      </c>
      <c r="U1391">
        <f t="shared" si="174"/>
        <v>-1.4056549457229766E-2</v>
      </c>
    </row>
    <row r="1392" spans="10:21" x14ac:dyDescent="0.35">
      <c r="J1392">
        <f t="shared" si="175"/>
        <v>1389</v>
      </c>
      <c r="K1392">
        <f>demanda!D1390</f>
        <v>0</v>
      </c>
      <c r="L1392">
        <f>demanda!I1390</f>
        <v>4</v>
      </c>
      <c r="M1392">
        <v>14.416809279416043</v>
      </c>
      <c r="N1392">
        <f t="shared" si="168"/>
        <v>-10.416809279416043</v>
      </c>
      <c r="O1392">
        <v>7.4087557083441532E-4</v>
      </c>
      <c r="P1392">
        <f t="shared" si="169"/>
        <v>-1.0495712078121913</v>
      </c>
      <c r="Q1392">
        <f t="shared" si="170"/>
        <v>98.49686724248096</v>
      </c>
      <c r="R1392">
        <f t="shared" si="171"/>
        <v>-1.049988258586362</v>
      </c>
      <c r="S1392">
        <f t="shared" si="172"/>
        <v>0.29385572056513598</v>
      </c>
      <c r="T1392">
        <f t="shared" si="173"/>
        <v>4.0867949778204384E-4</v>
      </c>
      <c r="U1392">
        <f t="shared" si="174"/>
        <v>-2.8590254333443563E-2</v>
      </c>
    </row>
    <row r="1393" spans="10:21" x14ac:dyDescent="0.35">
      <c r="J1393">
        <f t="shared" si="175"/>
        <v>1390</v>
      </c>
      <c r="K1393">
        <f>demanda!D1391</f>
        <v>0</v>
      </c>
      <c r="L1393">
        <f>demanda!I1391</f>
        <v>14</v>
      </c>
      <c r="M1393">
        <v>14.416809279416043</v>
      </c>
      <c r="N1393">
        <f t="shared" si="168"/>
        <v>-0.41680927941604295</v>
      </c>
      <c r="O1393">
        <v>7.4087557083441532E-4</v>
      </c>
      <c r="P1393">
        <f t="shared" si="169"/>
        <v>-4.1996642838463258E-2</v>
      </c>
      <c r="Q1393">
        <f t="shared" si="170"/>
        <v>98.553393055166637</v>
      </c>
      <c r="R1393">
        <f t="shared" si="171"/>
        <v>-4.2001280140228352E-2</v>
      </c>
      <c r="S1393">
        <f t="shared" si="172"/>
        <v>0.96650204701357412</v>
      </c>
      <c r="T1393">
        <f t="shared" si="173"/>
        <v>6.5431696937827154E-7</v>
      </c>
      <c r="U1393">
        <f t="shared" si="174"/>
        <v>-1.1436578187608104E-3</v>
      </c>
    </row>
    <row r="1394" spans="10:21" x14ac:dyDescent="0.35">
      <c r="J1394">
        <f t="shared" si="175"/>
        <v>1391</v>
      </c>
      <c r="K1394">
        <f>demanda!D1392</f>
        <v>2</v>
      </c>
      <c r="L1394">
        <f>demanda!I1392</f>
        <v>10</v>
      </c>
      <c r="M1394">
        <v>9.1555418996444509</v>
      </c>
      <c r="N1394">
        <f t="shared" si="168"/>
        <v>0.84445810035554913</v>
      </c>
      <c r="O1394">
        <v>7.3144910189317154E-4</v>
      </c>
      <c r="P1394">
        <f t="shared" si="169"/>
        <v>8.5085450310428315E-2</v>
      </c>
      <c r="Q1394">
        <f t="shared" si="170"/>
        <v>98.553111630408949</v>
      </c>
      <c r="R1394">
        <f t="shared" si="171"/>
        <v>8.5094565641383624E-2</v>
      </c>
      <c r="S1394">
        <f t="shared" si="172"/>
        <v>0.9321950870824135</v>
      </c>
      <c r="T1394">
        <f t="shared" si="173"/>
        <v>2.6515528012122139E-6</v>
      </c>
      <c r="U1394">
        <f t="shared" si="174"/>
        <v>2.3022515369728867E-3</v>
      </c>
    </row>
    <row r="1395" spans="10:21" x14ac:dyDescent="0.35">
      <c r="J1395">
        <f t="shared" si="175"/>
        <v>1392</v>
      </c>
      <c r="K1395">
        <f>demanda!D1393</f>
        <v>0</v>
      </c>
      <c r="L1395">
        <f>demanda!I1393</f>
        <v>35</v>
      </c>
      <c r="M1395">
        <v>14.416809279416043</v>
      </c>
      <c r="N1395">
        <f t="shared" si="168"/>
        <v>20.583190720583957</v>
      </c>
      <c r="O1395">
        <v>7.4087557083441532E-4</v>
      </c>
      <c r="P1395">
        <f t="shared" si="169"/>
        <v>2.0739099436063655</v>
      </c>
      <c r="Q1395">
        <f t="shared" si="170"/>
        <v>98.3324295519039</v>
      </c>
      <c r="R1395">
        <f t="shared" si="171"/>
        <v>2.0764680448505812</v>
      </c>
      <c r="S1395">
        <f t="shared" si="172"/>
        <v>3.7983496279122689E-2</v>
      </c>
      <c r="T1395">
        <f t="shared" si="173"/>
        <v>1.5956543547950811E-3</v>
      </c>
      <c r="U1395">
        <f t="shared" si="174"/>
        <v>5.6540393696853389E-2</v>
      </c>
    </row>
    <row r="1396" spans="10:21" x14ac:dyDescent="0.35">
      <c r="J1396">
        <f t="shared" si="175"/>
        <v>1393</v>
      </c>
      <c r="K1396">
        <f>demanda!D1394</f>
        <v>0</v>
      </c>
      <c r="L1396">
        <f>demanda!I1394</f>
        <v>5</v>
      </c>
      <c r="M1396">
        <v>14.416809279416043</v>
      </c>
      <c r="N1396">
        <f t="shared" si="168"/>
        <v>-9.416809279416043</v>
      </c>
      <c r="O1396">
        <v>7.4087557083441532E-4</v>
      </c>
      <c r="P1396">
        <f t="shared" si="169"/>
        <v>-0.94881375131481849</v>
      </c>
      <c r="Q1396">
        <f t="shared" si="170"/>
        <v>98.507215690706701</v>
      </c>
      <c r="R1396">
        <f t="shared" si="171"/>
        <v>-0.94914090693055775</v>
      </c>
      <c r="S1396">
        <f t="shared" si="172"/>
        <v>0.34266846368408377</v>
      </c>
      <c r="T1396">
        <f t="shared" si="173"/>
        <v>3.339803955874275E-4</v>
      </c>
      <c r="U1396">
        <f t="shared" si="174"/>
        <v>-2.5844269881602652E-2</v>
      </c>
    </row>
    <row r="1397" spans="10:21" x14ac:dyDescent="0.35">
      <c r="J1397">
        <f t="shared" si="175"/>
        <v>1394</v>
      </c>
      <c r="K1397">
        <f>demanda!D1395</f>
        <v>0</v>
      </c>
      <c r="L1397">
        <f>demanda!I1395</f>
        <v>4</v>
      </c>
      <c r="M1397">
        <v>14.416809279416043</v>
      </c>
      <c r="N1397">
        <f t="shared" si="168"/>
        <v>-10.416809279416043</v>
      </c>
      <c r="O1397">
        <v>7.4087557083441532E-4</v>
      </c>
      <c r="P1397">
        <f t="shared" si="169"/>
        <v>-1.0495712078121913</v>
      </c>
      <c r="Q1397">
        <f t="shared" si="170"/>
        <v>98.49686724248096</v>
      </c>
      <c r="R1397">
        <f t="shared" si="171"/>
        <v>-1.049988258586362</v>
      </c>
      <c r="S1397">
        <f t="shared" si="172"/>
        <v>0.29385572056513598</v>
      </c>
      <c r="T1397">
        <f t="shared" si="173"/>
        <v>4.0867949778204384E-4</v>
      </c>
      <c r="U1397">
        <f t="shared" si="174"/>
        <v>-2.8590254333443563E-2</v>
      </c>
    </row>
    <row r="1398" spans="10:21" x14ac:dyDescent="0.35">
      <c r="J1398">
        <f t="shared" si="175"/>
        <v>1395</v>
      </c>
      <c r="K1398">
        <f>demanda!D1396</f>
        <v>0</v>
      </c>
      <c r="L1398">
        <f>demanda!I1396</f>
        <v>4</v>
      </c>
      <c r="M1398">
        <v>14.416809279416043</v>
      </c>
      <c r="N1398">
        <f t="shared" si="168"/>
        <v>-10.416809279416043</v>
      </c>
      <c r="O1398">
        <v>7.4087557083441532E-4</v>
      </c>
      <c r="P1398">
        <f t="shared" si="169"/>
        <v>-1.0495712078121913</v>
      </c>
      <c r="Q1398">
        <f t="shared" si="170"/>
        <v>98.49686724248096</v>
      </c>
      <c r="R1398">
        <f t="shared" si="171"/>
        <v>-1.049988258586362</v>
      </c>
      <c r="S1398">
        <f t="shared" si="172"/>
        <v>0.29385572056513598</v>
      </c>
      <c r="T1398">
        <f t="shared" si="173"/>
        <v>4.0867949778204384E-4</v>
      </c>
      <c r="U1398">
        <f t="shared" si="174"/>
        <v>-2.8590254333443563E-2</v>
      </c>
    </row>
    <row r="1399" spans="10:21" x14ac:dyDescent="0.35">
      <c r="J1399">
        <f t="shared" si="175"/>
        <v>1396</v>
      </c>
      <c r="K1399">
        <f>demanda!D1397</f>
        <v>0</v>
      </c>
      <c r="L1399">
        <f>demanda!I1397</f>
        <v>14</v>
      </c>
      <c r="M1399">
        <v>14.416809279416043</v>
      </c>
      <c r="N1399">
        <f t="shared" si="168"/>
        <v>-0.41680927941604295</v>
      </c>
      <c r="O1399">
        <v>7.4087557083441532E-4</v>
      </c>
      <c r="P1399">
        <f t="shared" si="169"/>
        <v>-4.1996642838463258E-2</v>
      </c>
      <c r="Q1399">
        <f t="shared" si="170"/>
        <v>98.553393055166637</v>
      </c>
      <c r="R1399">
        <f t="shared" si="171"/>
        <v>-4.2001280140228352E-2</v>
      </c>
      <c r="S1399">
        <f t="shared" si="172"/>
        <v>0.96650204701357412</v>
      </c>
      <c r="T1399">
        <f t="shared" si="173"/>
        <v>6.5431696937827154E-7</v>
      </c>
      <c r="U1399">
        <f t="shared" si="174"/>
        <v>-1.1436578187608104E-3</v>
      </c>
    </row>
    <row r="1400" spans="10:21" x14ac:dyDescent="0.35">
      <c r="J1400">
        <f t="shared" si="175"/>
        <v>1397</v>
      </c>
      <c r="K1400">
        <f>demanda!D1398</f>
        <v>5</v>
      </c>
      <c r="L1400">
        <f>demanda!I1398</f>
        <v>3</v>
      </c>
      <c r="M1400">
        <v>1.2636408299870627</v>
      </c>
      <c r="N1400">
        <f t="shared" si="168"/>
        <v>1.7363591700129373</v>
      </c>
      <c r="O1400">
        <v>3.9509249049329382E-3</v>
      </c>
      <c r="P1400">
        <f t="shared" si="169"/>
        <v>0.17495113353639288</v>
      </c>
      <c r="Q1400">
        <f t="shared" si="170"/>
        <v>98.551905545548507</v>
      </c>
      <c r="R1400">
        <f t="shared" si="171"/>
        <v>0.17525349341046803</v>
      </c>
      <c r="S1400">
        <f t="shared" si="172"/>
        <v>0.86089894193681449</v>
      </c>
      <c r="T1400">
        <f t="shared" si="173"/>
        <v>6.0945385407997739E-5</v>
      </c>
      <c r="U1400">
        <f t="shared" si="174"/>
        <v>1.1037626730021724E-2</v>
      </c>
    </row>
    <row r="1401" spans="10:21" x14ac:dyDescent="0.35">
      <c r="J1401">
        <f t="shared" si="175"/>
        <v>1398</v>
      </c>
      <c r="K1401">
        <f>demanda!D1399</f>
        <v>3</v>
      </c>
      <c r="L1401">
        <f>demanda!I1399</f>
        <v>2</v>
      </c>
      <c r="M1401">
        <v>6.5249082097586548</v>
      </c>
      <c r="N1401">
        <f t="shared" si="168"/>
        <v>-4.5249082097586548</v>
      </c>
      <c r="O1401">
        <v>1.3734589687128761E-3</v>
      </c>
      <c r="P1401">
        <f t="shared" si="169"/>
        <v>-0.45591824209936271</v>
      </c>
      <c r="Q1401">
        <f t="shared" si="170"/>
        <v>98.542793943857959</v>
      </c>
      <c r="R1401">
        <f t="shared" si="171"/>
        <v>-0.45613750825631832</v>
      </c>
      <c r="S1401">
        <f t="shared" si="172"/>
        <v>0.64834271460897308</v>
      </c>
      <c r="T1401">
        <f t="shared" si="173"/>
        <v>1.4313749884792331E-4</v>
      </c>
      <c r="U1401">
        <f t="shared" si="174"/>
        <v>-1.6916171460658679E-2</v>
      </c>
    </row>
    <row r="1402" spans="10:21" x14ac:dyDescent="0.35">
      <c r="J1402">
        <f t="shared" si="175"/>
        <v>1399</v>
      </c>
      <c r="K1402">
        <f>demanda!D1400</f>
        <v>3</v>
      </c>
      <c r="L1402">
        <f>demanda!I1400</f>
        <v>3</v>
      </c>
      <c r="M1402">
        <v>6.5249082097586548</v>
      </c>
      <c r="N1402">
        <f t="shared" si="168"/>
        <v>-3.5249082097586548</v>
      </c>
      <c r="O1402">
        <v>1.3734589687128761E-3</v>
      </c>
      <c r="P1402">
        <f t="shared" si="169"/>
        <v>-0.35516078560198994</v>
      </c>
      <c r="Q1402">
        <f t="shared" si="170"/>
        <v>98.546996700749531</v>
      </c>
      <c r="R1402">
        <f t="shared" si="171"/>
        <v>-0.35532401713098288</v>
      </c>
      <c r="S1402">
        <f t="shared" si="172"/>
        <v>0.72238591463660118</v>
      </c>
      <c r="T1402">
        <f t="shared" si="173"/>
        <v>8.6861935283639592E-5</v>
      </c>
      <c r="U1402">
        <f t="shared" si="174"/>
        <v>-1.3177434192717408E-2</v>
      </c>
    </row>
    <row r="1403" spans="10:21" x14ac:dyDescent="0.35">
      <c r="J1403">
        <f t="shared" si="175"/>
        <v>1400</v>
      </c>
      <c r="K1403">
        <f>demanda!D1401</f>
        <v>1</v>
      </c>
      <c r="L1403">
        <f>demanda!I1401</f>
        <v>8</v>
      </c>
      <c r="M1403">
        <v>11.786175589530247</v>
      </c>
      <c r="N1403">
        <f t="shared" si="168"/>
        <v>-3.7861755895302469</v>
      </c>
      <c r="O1403">
        <v>5.2058796926701797E-4</v>
      </c>
      <c r="P1403">
        <f t="shared" si="169"/>
        <v>-0.38148542225350868</v>
      </c>
      <c r="Q1403">
        <f t="shared" si="170"/>
        <v>98.546005811479162</v>
      </c>
      <c r="R1403">
        <f t="shared" si="171"/>
        <v>-0.38149979733331263</v>
      </c>
      <c r="S1403">
        <f t="shared" si="172"/>
        <v>0.70287465676174632</v>
      </c>
      <c r="T1403">
        <f t="shared" si="173"/>
        <v>3.7920348514645389E-5</v>
      </c>
      <c r="U1403">
        <f t="shared" si="174"/>
        <v>-8.7067174092102829E-3</v>
      </c>
    </row>
    <row r="1404" spans="10:21" x14ac:dyDescent="0.35">
      <c r="J1404">
        <f t="shared" si="175"/>
        <v>1401</v>
      </c>
      <c r="K1404">
        <f>demanda!D1402</f>
        <v>4</v>
      </c>
      <c r="L1404">
        <f>demanda!I1402</f>
        <v>2</v>
      </c>
      <c r="M1404">
        <v>3.8942745198728588</v>
      </c>
      <c r="N1404">
        <f t="shared" si="168"/>
        <v>-1.8942745198728588</v>
      </c>
      <c r="O1404">
        <v>2.4466175697261316E-3</v>
      </c>
      <c r="P1404">
        <f t="shared" si="169"/>
        <v>-0.19086228253017132</v>
      </c>
      <c r="Q1404">
        <f t="shared" si="170"/>
        <v>98.551608270054842</v>
      </c>
      <c r="R1404">
        <f t="shared" si="171"/>
        <v>-0.19104821608300357</v>
      </c>
      <c r="S1404">
        <f t="shared" si="172"/>
        <v>0.84850802764464628</v>
      </c>
      <c r="T1404">
        <f t="shared" si="173"/>
        <v>4.4782056131641625E-5</v>
      </c>
      <c r="U1404">
        <f t="shared" si="174"/>
        <v>-9.4614556750527434E-3</v>
      </c>
    </row>
    <row r="1405" spans="10:21" x14ac:dyDescent="0.35">
      <c r="J1405">
        <f t="shared" si="175"/>
        <v>1402</v>
      </c>
      <c r="K1405">
        <f>demanda!D1403</f>
        <v>0</v>
      </c>
      <c r="L1405">
        <f>demanda!I1403</f>
        <v>4</v>
      </c>
      <c r="M1405">
        <v>14.416809279416043</v>
      </c>
      <c r="N1405">
        <f t="shared" si="168"/>
        <v>-10.416809279416043</v>
      </c>
      <c r="O1405">
        <v>7.4087557083441532E-4</v>
      </c>
      <c r="P1405">
        <f t="shared" si="169"/>
        <v>-1.0495712078121913</v>
      </c>
      <c r="Q1405">
        <f t="shared" si="170"/>
        <v>98.49686724248096</v>
      </c>
      <c r="R1405">
        <f t="shared" si="171"/>
        <v>-1.049988258586362</v>
      </c>
      <c r="S1405">
        <f t="shared" si="172"/>
        <v>0.29385572056513598</v>
      </c>
      <c r="T1405">
        <f t="shared" si="173"/>
        <v>4.0867949778204384E-4</v>
      </c>
      <c r="U1405">
        <f t="shared" si="174"/>
        <v>-2.8590254333443563E-2</v>
      </c>
    </row>
    <row r="1406" spans="10:21" x14ac:dyDescent="0.35">
      <c r="J1406">
        <f t="shared" si="175"/>
        <v>1403</v>
      </c>
      <c r="K1406">
        <f>demanda!D1404</f>
        <v>1</v>
      </c>
      <c r="L1406">
        <f>demanda!I1404</f>
        <v>15</v>
      </c>
      <c r="M1406">
        <v>11.786175589530247</v>
      </c>
      <c r="N1406">
        <f t="shared" si="168"/>
        <v>3.2138244104697531</v>
      </c>
      <c r="O1406">
        <v>5.2058796926701797E-4</v>
      </c>
      <c r="P1406">
        <f t="shared" si="169"/>
        <v>0.32381677322810093</v>
      </c>
      <c r="Q1406">
        <f t="shared" si="170"/>
        <v>98.548095772403954</v>
      </c>
      <c r="R1406">
        <f t="shared" si="171"/>
        <v>0.3238255414227269</v>
      </c>
      <c r="S1406">
        <f t="shared" si="172"/>
        <v>0.74610540567370975</v>
      </c>
      <c r="T1406">
        <f t="shared" si="173"/>
        <v>2.7322164893932259E-5</v>
      </c>
      <c r="U1406">
        <f t="shared" si="174"/>
        <v>7.390456033686617E-3</v>
      </c>
    </row>
    <row r="1407" spans="10:21" x14ac:dyDescent="0.35">
      <c r="J1407">
        <f t="shared" si="175"/>
        <v>1404</v>
      </c>
      <c r="K1407">
        <f>demanda!D1405</f>
        <v>1</v>
      </c>
      <c r="L1407">
        <f>demanda!I1405</f>
        <v>28</v>
      </c>
      <c r="M1407">
        <v>11.786175589530247</v>
      </c>
      <c r="N1407">
        <f t="shared" si="168"/>
        <v>16.213824410469755</v>
      </c>
      <c r="O1407">
        <v>5.2058796926701797E-4</v>
      </c>
      <c r="P1407">
        <f t="shared" si="169"/>
        <v>1.6336637076939475</v>
      </c>
      <c r="Q1407">
        <f t="shared" si="170"/>
        <v>98.416348649068354</v>
      </c>
      <c r="R1407">
        <f t="shared" si="171"/>
        <v>1.6348010765591432</v>
      </c>
      <c r="S1407">
        <f t="shared" si="172"/>
        <v>0.10225476681285912</v>
      </c>
      <c r="T1407">
        <f t="shared" si="173"/>
        <v>6.954113085939689E-4</v>
      </c>
      <c r="U1407">
        <f t="shared" si="174"/>
        <v>3.7309983107113726E-2</v>
      </c>
    </row>
    <row r="1408" spans="10:21" x14ac:dyDescent="0.35">
      <c r="J1408">
        <f t="shared" si="175"/>
        <v>1405</v>
      </c>
      <c r="K1408">
        <f>demanda!D1406</f>
        <v>0</v>
      </c>
      <c r="L1408">
        <f>demanda!I1406</f>
        <v>14</v>
      </c>
      <c r="M1408">
        <v>14.416809279416043</v>
      </c>
      <c r="N1408">
        <f t="shared" si="168"/>
        <v>-0.41680927941604295</v>
      </c>
      <c r="O1408">
        <v>7.4087557083441532E-4</v>
      </c>
      <c r="P1408">
        <f t="shared" si="169"/>
        <v>-4.1996642838463258E-2</v>
      </c>
      <c r="Q1408">
        <f t="shared" si="170"/>
        <v>98.553393055166637</v>
      </c>
      <c r="R1408">
        <f t="shared" si="171"/>
        <v>-4.2001280140228352E-2</v>
      </c>
      <c r="S1408">
        <f t="shared" si="172"/>
        <v>0.96650204701357412</v>
      </c>
      <c r="T1408">
        <f t="shared" si="173"/>
        <v>6.5431696937827154E-7</v>
      </c>
      <c r="U1408">
        <f t="shared" si="174"/>
        <v>-1.1436578187608104E-3</v>
      </c>
    </row>
    <row r="1409" spans="10:21" x14ac:dyDescent="0.35">
      <c r="J1409">
        <f t="shared" si="175"/>
        <v>1406</v>
      </c>
      <c r="K1409">
        <f>demanda!D1407</f>
        <v>1</v>
      </c>
      <c r="L1409">
        <f>demanda!I1407</f>
        <v>22</v>
      </c>
      <c r="M1409">
        <v>11.786175589530247</v>
      </c>
      <c r="N1409">
        <f t="shared" si="168"/>
        <v>10.213824410469753</v>
      </c>
      <c r="O1409">
        <v>5.2058796926701797E-4</v>
      </c>
      <c r="P1409">
        <f t="shared" si="169"/>
        <v>1.0291189687097106</v>
      </c>
      <c r="Q1409">
        <f t="shared" si="170"/>
        <v>98.499064229577968</v>
      </c>
      <c r="R1409">
        <f t="shared" si="171"/>
        <v>1.0294029508567815</v>
      </c>
      <c r="S1409">
        <f t="shared" si="172"/>
        <v>0.30342008877727494</v>
      </c>
      <c r="T1409">
        <f t="shared" si="173"/>
        <v>2.7596092551003982E-4</v>
      </c>
      <c r="U1409">
        <f t="shared" si="174"/>
        <v>2.3493382318854904E-2</v>
      </c>
    </row>
    <row r="1410" spans="10:21" x14ac:dyDescent="0.35">
      <c r="J1410">
        <f t="shared" si="175"/>
        <v>1407</v>
      </c>
      <c r="K1410">
        <f>demanda!D1408</f>
        <v>1</v>
      </c>
      <c r="L1410">
        <f>demanda!I1408</f>
        <v>39</v>
      </c>
      <c r="M1410">
        <v>11.786175589530247</v>
      </c>
      <c r="N1410">
        <f t="shared" si="168"/>
        <v>27.213824410469755</v>
      </c>
      <c r="O1410">
        <v>5.2058796926701797E-4</v>
      </c>
      <c r="P1410">
        <f t="shared" si="169"/>
        <v>2.7419957291650485</v>
      </c>
      <c r="Q1410">
        <f t="shared" si="170"/>
        <v>98.167155242609624</v>
      </c>
      <c r="R1410">
        <f t="shared" si="171"/>
        <v>2.7473851660463806</v>
      </c>
      <c r="S1410">
        <f t="shared" si="172"/>
        <v>6.063420645496316E-3</v>
      </c>
      <c r="T1410">
        <f t="shared" si="173"/>
        <v>1.9590700915840852E-3</v>
      </c>
      <c r="U1410">
        <f t="shared" si="174"/>
        <v>6.2701753506104269E-2</v>
      </c>
    </row>
    <row r="1411" spans="10:21" x14ac:dyDescent="0.35">
      <c r="J1411">
        <f t="shared" si="175"/>
        <v>1408</v>
      </c>
      <c r="K1411">
        <f>demanda!D1409</f>
        <v>0</v>
      </c>
      <c r="L1411">
        <f>demanda!I1409</f>
        <v>21</v>
      </c>
      <c r="M1411">
        <v>14.416809279416043</v>
      </c>
      <c r="N1411">
        <f t="shared" si="168"/>
        <v>6.583190720583957</v>
      </c>
      <c r="O1411">
        <v>7.4087557083441532E-4</v>
      </c>
      <c r="P1411">
        <f t="shared" si="169"/>
        <v>0.66330555264314639</v>
      </c>
      <c r="Q1411">
        <f t="shared" si="170"/>
        <v>98.530871327612786</v>
      </c>
      <c r="R1411">
        <f t="shared" si="171"/>
        <v>0.66345460704039183</v>
      </c>
      <c r="S1411">
        <f t="shared" si="172"/>
        <v>0.507119133075143</v>
      </c>
      <c r="T1411">
        <f t="shared" si="173"/>
        <v>1.6322485812147056E-4</v>
      </c>
      <c r="U1411">
        <f t="shared" si="174"/>
        <v>1.8065283872333419E-2</v>
      </c>
    </row>
    <row r="1412" spans="10:21" x14ac:dyDescent="0.35">
      <c r="J1412">
        <f t="shared" si="175"/>
        <v>1409</v>
      </c>
      <c r="K1412">
        <f>demanda!D1410</f>
        <v>1</v>
      </c>
      <c r="L1412">
        <f>demanda!I1410</f>
        <v>33</v>
      </c>
      <c r="M1412">
        <v>11.786175589530247</v>
      </c>
      <c r="N1412">
        <f t="shared" si="168"/>
        <v>21.213824410469755</v>
      </c>
      <c r="O1412">
        <v>5.2058796926701797E-4</v>
      </c>
      <c r="P1412">
        <f t="shared" si="169"/>
        <v>2.1374509901808114</v>
      </c>
      <c r="Q1412">
        <f t="shared" si="170"/>
        <v>98.318728358783545</v>
      </c>
      <c r="R1412">
        <f t="shared" si="171"/>
        <v>2.1400007082960935</v>
      </c>
      <c r="S1412">
        <f t="shared" si="172"/>
        <v>3.2480477136979533E-2</v>
      </c>
      <c r="T1412">
        <f t="shared" si="173"/>
        <v>1.1904434162628057E-3</v>
      </c>
      <c r="U1412">
        <f t="shared" si="174"/>
        <v>4.8839819976011688E-2</v>
      </c>
    </row>
    <row r="1413" spans="10:21" x14ac:dyDescent="0.35">
      <c r="J1413">
        <f t="shared" si="175"/>
        <v>1410</v>
      </c>
      <c r="K1413">
        <f>demanda!D1411</f>
        <v>1</v>
      </c>
      <c r="L1413">
        <f>demanda!I1411</f>
        <v>23</v>
      </c>
      <c r="M1413">
        <v>11.786175589530247</v>
      </c>
      <c r="N1413">
        <f t="shared" ref="N1413:N1476" si="176">L1413-M1413</f>
        <v>11.213824410469753</v>
      </c>
      <c r="O1413">
        <v>5.2058796926701797E-4</v>
      </c>
      <c r="P1413">
        <f t="shared" ref="P1413:P1476" si="177">N1413/SQRT($X$6)</f>
        <v>1.1298764252070834</v>
      </c>
      <c r="Q1413">
        <f t="shared" ref="Q1413:Q1476" si="178">($X$6-N1413^2/((1-O1413)*$X$5))*$X$5/($X$5-1)</f>
        <v>98.487886539480343</v>
      </c>
      <c r="R1413">
        <f t="shared" ref="R1413:R1476" si="179">N1413/SQRT(Q1413*(1-O1413))</f>
        <v>1.1302523434887231</v>
      </c>
      <c r="S1413">
        <f t="shared" ref="S1413:S1476" si="180">_xlfn.T.DIST.2T(ABS(R1413),$X$5)</f>
        <v>0.25851115461957513</v>
      </c>
      <c r="T1413">
        <f t="shared" ref="T1413:T1476" si="181">(N1413^2/$X$6)*(O1413/(1-O1413)^2)/($X$7+1)</f>
        <v>3.3264294798473435E-4</v>
      </c>
      <c r="U1413">
        <f t="shared" ref="U1413:U1476" si="182">R1413*SQRT(O1413/(1-O1413))</f>
        <v>2.5795001267736418E-2</v>
      </c>
    </row>
    <row r="1414" spans="10:21" x14ac:dyDescent="0.35">
      <c r="J1414">
        <f t="shared" ref="J1414:J1477" si="183">J1413+1</f>
        <v>1411</v>
      </c>
      <c r="K1414">
        <f>demanda!D1412</f>
        <v>0</v>
      </c>
      <c r="L1414">
        <f>demanda!I1412</f>
        <v>66</v>
      </c>
      <c r="M1414">
        <v>14.416809279416043</v>
      </c>
      <c r="N1414">
        <f t="shared" si="176"/>
        <v>51.583190720583957</v>
      </c>
      <c r="O1414">
        <v>7.4087557083441532E-4</v>
      </c>
      <c r="P1414">
        <f t="shared" si="177"/>
        <v>5.1973910950249227</v>
      </c>
      <c r="Q1414">
        <f t="shared" si="178"/>
        <v>97.165163384471469</v>
      </c>
      <c r="R1414">
        <f t="shared" si="179"/>
        <v>5.2349657947590353</v>
      </c>
      <c r="S1414">
        <f t="shared" si="180"/>
        <v>1.8308445552805681E-7</v>
      </c>
      <c r="T1414">
        <f t="shared" si="181"/>
        <v>1.0021433063570149E-2</v>
      </c>
      <c r="U1414">
        <f t="shared" si="182"/>
        <v>0.14254350205834038</v>
      </c>
    </row>
    <row r="1415" spans="10:21" x14ac:dyDescent="0.35">
      <c r="J1415">
        <f t="shared" si="183"/>
        <v>1412</v>
      </c>
      <c r="K1415">
        <f>demanda!D1413</f>
        <v>0</v>
      </c>
      <c r="L1415">
        <f>demanda!I1413</f>
        <v>10</v>
      </c>
      <c r="M1415">
        <v>14.416809279416043</v>
      </c>
      <c r="N1415">
        <f t="shared" si="176"/>
        <v>-4.416809279416043</v>
      </c>
      <c r="O1415">
        <v>7.4087557083441532E-4</v>
      </c>
      <c r="P1415">
        <f t="shared" si="177"/>
        <v>-0.44502646882795449</v>
      </c>
      <c r="Q1415">
        <f t="shared" si="178"/>
        <v>98.543305041978172</v>
      </c>
      <c r="R1415">
        <f t="shared" si="179"/>
        <v>-0.44509838991165818</v>
      </c>
      <c r="S1415">
        <f t="shared" si="180"/>
        <v>0.65629885256814913</v>
      </c>
      <c r="T1415">
        <f t="shared" si="181"/>
        <v>7.3473498325511761E-5</v>
      </c>
      <c r="U1415">
        <f t="shared" si="182"/>
        <v>-1.2119636640616644E-2</v>
      </c>
    </row>
    <row r="1416" spans="10:21" x14ac:dyDescent="0.35">
      <c r="J1416">
        <f t="shared" si="183"/>
        <v>1413</v>
      </c>
      <c r="K1416">
        <f>demanda!D1414</f>
        <v>1</v>
      </c>
      <c r="L1416">
        <f>demanda!I1414</f>
        <v>2</v>
      </c>
      <c r="M1416">
        <v>11.786175589530247</v>
      </c>
      <c r="N1416">
        <f t="shared" si="176"/>
        <v>-9.7861755895302469</v>
      </c>
      <c r="O1416">
        <v>5.2058796926701797E-4</v>
      </c>
      <c r="P1416">
        <f t="shared" si="177"/>
        <v>-0.98603016123774556</v>
      </c>
      <c r="Q1416">
        <f t="shared" si="178"/>
        <v>98.503525872599127</v>
      </c>
      <c r="R1416">
        <f t="shared" si="179"/>
        <v>-0.98627991600190701</v>
      </c>
      <c r="S1416">
        <f t="shared" si="180"/>
        <v>0.32412010689798754</v>
      </c>
      <c r="T1416">
        <f t="shared" si="181"/>
        <v>2.5333595131680776E-4</v>
      </c>
      <c r="U1416">
        <f t="shared" si="182"/>
        <v>-2.2509213831916283E-2</v>
      </c>
    </row>
    <row r="1417" spans="10:21" x14ac:dyDescent="0.35">
      <c r="J1417">
        <f t="shared" si="183"/>
        <v>1414</v>
      </c>
      <c r="K1417">
        <f>demanda!D1415</f>
        <v>1</v>
      </c>
      <c r="L1417">
        <f>demanda!I1415</f>
        <v>14</v>
      </c>
      <c r="M1417">
        <v>11.786175589530247</v>
      </c>
      <c r="N1417">
        <f t="shared" si="176"/>
        <v>2.2138244104697531</v>
      </c>
      <c r="O1417">
        <v>5.2058796926701797E-4</v>
      </c>
      <c r="P1417">
        <f t="shared" si="177"/>
        <v>0.22305931673072815</v>
      </c>
      <c r="Q1417">
        <f t="shared" si="178"/>
        <v>98.550927094542288</v>
      </c>
      <c r="R1417">
        <f t="shared" si="179"/>
        <v>0.2230621523462217</v>
      </c>
      <c r="S1417">
        <f t="shared" si="180"/>
        <v>0.82351087455410243</v>
      </c>
      <c r="T1417">
        <f t="shared" si="181"/>
        <v>1.2964541478310422E-5</v>
      </c>
      <c r="U1417">
        <f t="shared" si="182"/>
        <v>5.0907998870362093E-3</v>
      </c>
    </row>
    <row r="1418" spans="10:21" x14ac:dyDescent="0.35">
      <c r="J1418">
        <f t="shared" si="183"/>
        <v>1415</v>
      </c>
      <c r="K1418">
        <f>demanda!D1416</f>
        <v>7</v>
      </c>
      <c r="L1418">
        <f>demanda!I1416</f>
        <v>3</v>
      </c>
      <c r="M1418">
        <v>-3.9976265497845276</v>
      </c>
      <c r="N1418">
        <f t="shared" si="176"/>
        <v>6.9976265497845276</v>
      </c>
      <c r="O1418">
        <v>8.2529857779272044E-3</v>
      </c>
      <c r="P1418">
        <f t="shared" si="177"/>
        <v>0.70506305267477554</v>
      </c>
      <c r="Q1418">
        <f t="shared" si="178"/>
        <v>98.527741124179855</v>
      </c>
      <c r="R1418">
        <f t="shared" si="179"/>
        <v>0.70789859014569123</v>
      </c>
      <c r="S1418">
        <f t="shared" si="180"/>
        <v>0.47909420225731192</v>
      </c>
      <c r="T1418">
        <f t="shared" si="181"/>
        <v>2.0856201387854977E-3</v>
      </c>
      <c r="U1418">
        <f t="shared" si="182"/>
        <v>6.4576744160864535E-2</v>
      </c>
    </row>
    <row r="1419" spans="10:21" x14ac:dyDescent="0.35">
      <c r="J1419">
        <f t="shared" si="183"/>
        <v>1416</v>
      </c>
      <c r="K1419">
        <f>demanda!D1417</f>
        <v>1</v>
      </c>
      <c r="L1419">
        <f>demanda!I1417</f>
        <v>4</v>
      </c>
      <c r="M1419">
        <v>11.786175589530247</v>
      </c>
      <c r="N1419">
        <f t="shared" si="176"/>
        <v>-7.7861755895302469</v>
      </c>
      <c r="O1419">
        <v>5.2058796926701797E-4</v>
      </c>
      <c r="P1419">
        <f t="shared" si="177"/>
        <v>-0.7845152482429999</v>
      </c>
      <c r="Q1419">
        <f t="shared" si="178"/>
        <v>98.52185903620547</v>
      </c>
      <c r="R1419">
        <f t="shared" si="179"/>
        <v>-0.784640946599786</v>
      </c>
      <c r="S1419">
        <f t="shared" si="180"/>
        <v>0.43276096337473069</v>
      </c>
      <c r="T1419">
        <f t="shared" si="181"/>
        <v>1.6036855085321727E-4</v>
      </c>
      <c r="U1419">
        <f t="shared" si="182"/>
        <v>-1.7907341071981879E-2</v>
      </c>
    </row>
    <row r="1420" spans="10:21" x14ac:dyDescent="0.35">
      <c r="J1420">
        <f t="shared" si="183"/>
        <v>1417</v>
      </c>
      <c r="K1420">
        <f>demanda!D1418</f>
        <v>2</v>
      </c>
      <c r="L1420">
        <f>demanda!I1418</f>
        <v>5</v>
      </c>
      <c r="M1420">
        <v>9.1555418996444509</v>
      </c>
      <c r="N1420">
        <f t="shared" si="176"/>
        <v>-4.1555418996444509</v>
      </c>
      <c r="O1420">
        <v>7.3144910189317154E-4</v>
      </c>
      <c r="P1420">
        <f t="shared" si="177"/>
        <v>-0.4187018321764357</v>
      </c>
      <c r="Q1420">
        <f t="shared" si="178"/>
        <v>98.544473706891381</v>
      </c>
      <c r="R1420">
        <f t="shared" si="179"/>
        <v>-0.41876504056165376</v>
      </c>
      <c r="S1420">
        <f t="shared" si="180"/>
        <v>0.67543472022045181</v>
      </c>
      <c r="T1420">
        <f t="shared" si="181"/>
        <v>6.420951640425571E-5</v>
      </c>
      <c r="U1420">
        <f t="shared" si="182"/>
        <v>-1.1329777066218591E-2</v>
      </c>
    </row>
    <row r="1421" spans="10:21" x14ac:dyDescent="0.35">
      <c r="J1421">
        <f t="shared" si="183"/>
        <v>1418</v>
      </c>
      <c r="K1421">
        <f>demanda!D1419</f>
        <v>6</v>
      </c>
      <c r="L1421">
        <f>demanda!I1419</f>
        <v>3</v>
      </c>
      <c r="M1421">
        <v>-1.3669928598987333</v>
      </c>
      <c r="N1421">
        <f t="shared" si="176"/>
        <v>4.3669928598987333</v>
      </c>
      <c r="O1421">
        <v>5.8863809743332956E-3</v>
      </c>
      <c r="P1421">
        <f t="shared" si="177"/>
        <v>0.44000709310558428</v>
      </c>
      <c r="Q1421">
        <f t="shared" si="178"/>
        <v>98.543481851032595</v>
      </c>
      <c r="R1421">
        <f t="shared" si="179"/>
        <v>0.44121525371752685</v>
      </c>
      <c r="S1421">
        <f t="shared" si="180"/>
        <v>0.65910687609302177</v>
      </c>
      <c r="T1421">
        <f t="shared" si="181"/>
        <v>5.7658810569327667E-4</v>
      </c>
      <c r="U1421">
        <f t="shared" si="182"/>
        <v>3.3951322043777717E-2</v>
      </c>
    </row>
    <row r="1422" spans="10:21" x14ac:dyDescent="0.35">
      <c r="J1422">
        <f t="shared" si="183"/>
        <v>1419</v>
      </c>
      <c r="K1422">
        <f>demanda!D1420</f>
        <v>2</v>
      </c>
      <c r="L1422">
        <f>demanda!I1420</f>
        <v>17</v>
      </c>
      <c r="M1422">
        <v>9.1555418996444509</v>
      </c>
      <c r="N1422">
        <f t="shared" si="176"/>
        <v>7.8444581003555491</v>
      </c>
      <c r="O1422">
        <v>7.3144910189317154E-4</v>
      </c>
      <c r="P1422">
        <f t="shared" si="177"/>
        <v>0.79038764579203791</v>
      </c>
      <c r="Q1422">
        <f t="shared" si="178"/>
        <v>98.521377045179804</v>
      </c>
      <c r="R1422">
        <f t="shared" si="179"/>
        <v>0.79059961992295735</v>
      </c>
      <c r="S1422">
        <f t="shared" si="180"/>
        <v>0.42927535941602513</v>
      </c>
      <c r="T1422">
        <f t="shared" si="181"/>
        <v>2.2880734574350968E-4</v>
      </c>
      <c r="U1422">
        <f t="shared" si="182"/>
        <v>2.1389840542444929E-2</v>
      </c>
    </row>
    <row r="1423" spans="10:21" x14ac:dyDescent="0.35">
      <c r="J1423">
        <f t="shared" si="183"/>
        <v>1420</v>
      </c>
      <c r="K1423">
        <f>demanda!D1421</f>
        <v>2</v>
      </c>
      <c r="L1423">
        <f>demanda!I1421</f>
        <v>3</v>
      </c>
      <c r="M1423">
        <v>9.1555418996444509</v>
      </c>
      <c r="N1423">
        <f t="shared" si="176"/>
        <v>-6.1555418996444509</v>
      </c>
      <c r="O1423">
        <v>7.3144910189317154E-4</v>
      </c>
      <c r="P1423">
        <f t="shared" si="177"/>
        <v>-0.62021674517118131</v>
      </c>
      <c r="Q1423">
        <f t="shared" si="178"/>
        <v>98.533713924458709</v>
      </c>
      <c r="R1423">
        <f t="shared" si="179"/>
        <v>-0.62034424251421916</v>
      </c>
      <c r="S1423">
        <f t="shared" si="180"/>
        <v>0.53510483257501296</v>
      </c>
      <c r="T1423">
        <f t="shared" si="181"/>
        <v>1.4088885884323287E-4</v>
      </c>
      <c r="U1423">
        <f t="shared" si="182"/>
        <v>-1.6783545165498539E-2</v>
      </c>
    </row>
    <row r="1424" spans="10:21" x14ac:dyDescent="0.35">
      <c r="J1424">
        <f t="shared" si="183"/>
        <v>1421</v>
      </c>
      <c r="K1424">
        <f>demanda!D1422</f>
        <v>1</v>
      </c>
      <c r="L1424">
        <f>demanda!I1422</f>
        <v>7</v>
      </c>
      <c r="M1424">
        <v>11.786175589530247</v>
      </c>
      <c r="N1424">
        <f t="shared" si="176"/>
        <v>-4.7861755895302469</v>
      </c>
      <c r="O1424">
        <v>5.2058796926701797E-4</v>
      </c>
      <c r="P1424">
        <f t="shared" si="177"/>
        <v>-0.48224287875088151</v>
      </c>
      <c r="Q1424">
        <f t="shared" si="178"/>
        <v>98.54153406165311</v>
      </c>
      <c r="R1424">
        <f t="shared" si="179"/>
        <v>-0.48227199277900268</v>
      </c>
      <c r="S1424">
        <f t="shared" si="180"/>
        <v>0.62966774184084362</v>
      </c>
      <c r="T1424">
        <f t="shared" si="181"/>
        <v>6.0596574275712224E-5</v>
      </c>
      <c r="U1424">
        <f t="shared" si="182"/>
        <v>-1.10065745377968E-2</v>
      </c>
    </row>
    <row r="1425" spans="10:21" x14ac:dyDescent="0.35">
      <c r="J1425">
        <f t="shared" si="183"/>
        <v>1422</v>
      </c>
      <c r="K1425">
        <f>demanda!D1423</f>
        <v>0</v>
      </c>
      <c r="L1425">
        <f>demanda!I1423</f>
        <v>13</v>
      </c>
      <c r="M1425">
        <v>14.416809279416043</v>
      </c>
      <c r="N1425">
        <f t="shared" si="176"/>
        <v>-1.416809279416043</v>
      </c>
      <c r="O1425">
        <v>7.4087557083441532E-4</v>
      </c>
      <c r="P1425">
        <f t="shared" si="177"/>
        <v>-0.14275409933583605</v>
      </c>
      <c r="Q1425">
        <f t="shared" si="178"/>
        <v>98.552436340855238</v>
      </c>
      <c r="R1425">
        <f t="shared" si="179"/>
        <v>-0.14277055533334676</v>
      </c>
      <c r="S1425">
        <f t="shared" si="180"/>
        <v>0.88648638054980111</v>
      </c>
      <c r="T1425">
        <f t="shared" si="181"/>
        <v>7.5602509372950483E-6</v>
      </c>
      <c r="U1425">
        <f t="shared" si="182"/>
        <v>-3.8875163173756836E-3</v>
      </c>
    </row>
    <row r="1426" spans="10:21" x14ac:dyDescent="0.35">
      <c r="J1426">
        <f t="shared" si="183"/>
        <v>1423</v>
      </c>
      <c r="K1426">
        <f>demanda!D1424</f>
        <v>0</v>
      </c>
      <c r="L1426">
        <f>demanda!I1424</f>
        <v>24</v>
      </c>
      <c r="M1426">
        <v>14.416809279416043</v>
      </c>
      <c r="N1426">
        <f t="shared" si="176"/>
        <v>9.583190720583957</v>
      </c>
      <c r="O1426">
        <v>7.4087557083441532E-4</v>
      </c>
      <c r="P1426">
        <f t="shared" si="177"/>
        <v>0.96557792213526483</v>
      </c>
      <c r="Q1426">
        <f t="shared" si="178"/>
        <v>98.505566268803875</v>
      </c>
      <c r="R1426">
        <f t="shared" si="179"/>
        <v>0.9659189449099983</v>
      </c>
      <c r="S1426">
        <f t="shared" si="180"/>
        <v>0.33420645107335933</v>
      </c>
      <c r="T1426">
        <f t="shared" si="181"/>
        <v>3.4588656089781892E-4</v>
      </c>
      <c r="U1426">
        <f t="shared" si="182"/>
        <v>2.6301121059818876E-2</v>
      </c>
    </row>
    <row r="1427" spans="10:21" x14ac:dyDescent="0.35">
      <c r="J1427">
        <f t="shared" si="183"/>
        <v>1424</v>
      </c>
      <c r="K1427">
        <f>demanda!D1425</f>
        <v>0</v>
      </c>
      <c r="L1427">
        <f>demanda!I1425</f>
        <v>9</v>
      </c>
      <c r="M1427">
        <v>14.416809279416043</v>
      </c>
      <c r="N1427">
        <f t="shared" si="176"/>
        <v>-5.416809279416043</v>
      </c>
      <c r="O1427">
        <v>7.4087557083441532E-4</v>
      </c>
      <c r="P1427">
        <f t="shared" si="177"/>
        <v>-0.54578392532532727</v>
      </c>
      <c r="Q1427">
        <f t="shared" si="178"/>
        <v>98.538174223704843</v>
      </c>
      <c r="R1427">
        <f t="shared" si="179"/>
        <v>-0.54588634131956315</v>
      </c>
      <c r="S1427">
        <f t="shared" si="180"/>
        <v>0.58520751823074413</v>
      </c>
      <c r="T1427">
        <f t="shared" si="181"/>
        <v>1.1050972928307278E-4</v>
      </c>
      <c r="U1427">
        <f t="shared" si="182"/>
        <v>-1.4864003676090257E-2</v>
      </c>
    </row>
    <row r="1428" spans="10:21" x14ac:dyDescent="0.35">
      <c r="J1428">
        <f t="shared" si="183"/>
        <v>1425</v>
      </c>
      <c r="K1428">
        <f>demanda!D1426</f>
        <v>2</v>
      </c>
      <c r="L1428">
        <f>demanda!I1426</f>
        <v>2</v>
      </c>
      <c r="M1428">
        <v>9.1555418996444509</v>
      </c>
      <c r="N1428">
        <f t="shared" si="176"/>
        <v>-7.1555418996444509</v>
      </c>
      <c r="O1428">
        <v>7.3144910189317154E-4</v>
      </c>
      <c r="P1428">
        <f t="shared" si="177"/>
        <v>-0.72097420166855408</v>
      </c>
      <c r="Q1428">
        <f t="shared" si="178"/>
        <v>98.526768759022602</v>
      </c>
      <c r="R1428">
        <f t="shared" si="179"/>
        <v>-0.72114782718324122</v>
      </c>
      <c r="S1428">
        <f t="shared" si="180"/>
        <v>0.47090641241117204</v>
      </c>
      <c r="T1428">
        <f t="shared" si="181"/>
        <v>1.9038342084795563E-4</v>
      </c>
      <c r="U1428">
        <f t="shared" si="182"/>
        <v>-1.9510807546913981E-2</v>
      </c>
    </row>
    <row r="1429" spans="10:21" x14ac:dyDescent="0.35">
      <c r="J1429">
        <f t="shared" si="183"/>
        <v>1426</v>
      </c>
      <c r="K1429">
        <f>demanda!D1427</f>
        <v>2</v>
      </c>
      <c r="L1429">
        <f>demanda!I1427</f>
        <v>2</v>
      </c>
      <c r="M1429">
        <v>9.1555418996444509</v>
      </c>
      <c r="N1429">
        <f t="shared" si="176"/>
        <v>-7.1555418996444509</v>
      </c>
      <c r="O1429">
        <v>7.3144910189317154E-4</v>
      </c>
      <c r="P1429">
        <f t="shared" si="177"/>
        <v>-0.72097420166855408</v>
      </c>
      <c r="Q1429">
        <f t="shared" si="178"/>
        <v>98.526768759022602</v>
      </c>
      <c r="R1429">
        <f t="shared" si="179"/>
        <v>-0.72114782718324122</v>
      </c>
      <c r="S1429">
        <f t="shared" si="180"/>
        <v>0.47090641241117204</v>
      </c>
      <c r="T1429">
        <f t="shared" si="181"/>
        <v>1.9038342084795563E-4</v>
      </c>
      <c r="U1429">
        <f t="shared" si="182"/>
        <v>-1.9510807546913981E-2</v>
      </c>
    </row>
    <row r="1430" spans="10:21" x14ac:dyDescent="0.35">
      <c r="J1430">
        <f t="shared" si="183"/>
        <v>1427</v>
      </c>
      <c r="K1430">
        <f>demanda!D1428</f>
        <v>0</v>
      </c>
      <c r="L1430">
        <f>demanda!I1428</f>
        <v>15</v>
      </c>
      <c r="M1430">
        <v>14.416809279416043</v>
      </c>
      <c r="N1430">
        <f t="shared" si="176"/>
        <v>0.58319072058395705</v>
      </c>
      <c r="O1430">
        <v>7.4087557083441532E-4</v>
      </c>
      <c r="P1430">
        <f t="shared" si="177"/>
        <v>5.8760813658909554E-2</v>
      </c>
      <c r="Q1430">
        <f t="shared" si="178"/>
        <v>98.553306243487526</v>
      </c>
      <c r="R1430">
        <f t="shared" si="179"/>
        <v>5.8767327956256402E-2</v>
      </c>
      <c r="S1430">
        <f t="shared" si="180"/>
        <v>0.95314355069247325</v>
      </c>
      <c r="T1430">
        <f t="shared" si="181"/>
        <v>1.2809572488725558E-6</v>
      </c>
      <c r="U1430">
        <f t="shared" si="182"/>
        <v>1.6001825154010173E-3</v>
      </c>
    </row>
    <row r="1431" spans="10:21" x14ac:dyDescent="0.35">
      <c r="J1431">
        <f t="shared" si="183"/>
        <v>1428</v>
      </c>
      <c r="K1431">
        <f>demanda!D1429</f>
        <v>6</v>
      </c>
      <c r="L1431">
        <f>demanda!I1429</f>
        <v>2</v>
      </c>
      <c r="M1431">
        <v>-1.3669928598987333</v>
      </c>
      <c r="N1431">
        <f t="shared" si="176"/>
        <v>3.3669928598987333</v>
      </c>
      <c r="O1431">
        <v>5.8863809743332956E-3</v>
      </c>
      <c r="P1431">
        <f t="shared" si="177"/>
        <v>0.33924963660821145</v>
      </c>
      <c r="Q1431">
        <f t="shared" si="178"/>
        <v>98.547538045230482</v>
      </c>
      <c r="R1431">
        <f t="shared" si="179"/>
        <v>0.34017413892280718</v>
      </c>
      <c r="S1431">
        <f t="shared" si="180"/>
        <v>0.73376262303153728</v>
      </c>
      <c r="T1431">
        <f t="shared" si="181"/>
        <v>3.4275603188736416E-4</v>
      </c>
      <c r="U1431">
        <f t="shared" si="182"/>
        <v>2.617625216767119E-2</v>
      </c>
    </row>
    <row r="1432" spans="10:21" x14ac:dyDescent="0.35">
      <c r="J1432">
        <f t="shared" si="183"/>
        <v>1429</v>
      </c>
      <c r="K1432">
        <f>demanda!D1430</f>
        <v>2</v>
      </c>
      <c r="L1432">
        <f>demanda!I1430</f>
        <v>3</v>
      </c>
      <c r="M1432">
        <v>9.1555418996444509</v>
      </c>
      <c r="N1432">
        <f t="shared" si="176"/>
        <v>-6.1555418996444509</v>
      </c>
      <c r="O1432">
        <v>7.3144910189317154E-4</v>
      </c>
      <c r="P1432">
        <f t="shared" si="177"/>
        <v>-0.62021674517118131</v>
      </c>
      <c r="Q1432">
        <f t="shared" si="178"/>
        <v>98.533713924458709</v>
      </c>
      <c r="R1432">
        <f t="shared" si="179"/>
        <v>-0.62034424251421916</v>
      </c>
      <c r="S1432">
        <f t="shared" si="180"/>
        <v>0.53510483257501296</v>
      </c>
      <c r="T1432">
        <f t="shared" si="181"/>
        <v>1.4088885884323287E-4</v>
      </c>
      <c r="U1432">
        <f t="shared" si="182"/>
        <v>-1.6783545165498539E-2</v>
      </c>
    </row>
    <row r="1433" spans="10:21" x14ac:dyDescent="0.35">
      <c r="J1433">
        <f t="shared" si="183"/>
        <v>1430</v>
      </c>
      <c r="K1433">
        <f>demanda!D1431</f>
        <v>0</v>
      </c>
      <c r="L1433">
        <f>demanda!I1431</f>
        <v>3</v>
      </c>
      <c r="M1433">
        <v>14.416809279416043</v>
      </c>
      <c r="N1433">
        <f t="shared" si="176"/>
        <v>-11.416809279416043</v>
      </c>
      <c r="O1433">
        <v>7.4087557083441532E-4</v>
      </c>
      <c r="P1433">
        <f t="shared" si="177"/>
        <v>-1.150328664309564</v>
      </c>
      <c r="Q1433">
        <f t="shared" si="178"/>
        <v>98.485475268264722</v>
      </c>
      <c r="R1433">
        <f t="shared" si="179"/>
        <v>-1.1508523061099405</v>
      </c>
      <c r="S1433">
        <f t="shared" si="180"/>
        <v>0.24993638008158123</v>
      </c>
      <c r="T1433">
        <f t="shared" si="181"/>
        <v>4.9091117422407117E-4</v>
      </c>
      <c r="U1433">
        <f t="shared" si="182"/>
        <v>-3.1336693399040466E-2</v>
      </c>
    </row>
    <row r="1434" spans="10:21" x14ac:dyDescent="0.35">
      <c r="J1434">
        <f t="shared" si="183"/>
        <v>1431</v>
      </c>
      <c r="K1434">
        <f>demanda!D1432</f>
        <v>0</v>
      </c>
      <c r="L1434">
        <f>demanda!I1432</f>
        <v>11</v>
      </c>
      <c r="M1434">
        <v>14.416809279416043</v>
      </c>
      <c r="N1434">
        <f t="shared" si="176"/>
        <v>-3.416809279416043</v>
      </c>
      <c r="O1434">
        <v>7.4087557083441532E-4</v>
      </c>
      <c r="P1434">
        <f t="shared" si="177"/>
        <v>-0.34426901233058166</v>
      </c>
      <c r="Q1434">
        <f t="shared" si="178"/>
        <v>98.547392334261005</v>
      </c>
      <c r="R1434">
        <f t="shared" si="179"/>
        <v>-0.34431750934619676</v>
      </c>
      <c r="S1434">
        <f t="shared" si="180"/>
        <v>0.73064524437297085</v>
      </c>
      <c r="T1434">
        <f t="shared" si="181"/>
        <v>4.3969841615361785E-5</v>
      </c>
      <c r="U1434">
        <f t="shared" si="182"/>
        <v>-9.3754621379472432E-3</v>
      </c>
    </row>
    <row r="1435" spans="10:21" x14ac:dyDescent="0.35">
      <c r="J1435">
        <f t="shared" si="183"/>
        <v>1432</v>
      </c>
      <c r="K1435">
        <f>demanda!D1433</f>
        <v>2</v>
      </c>
      <c r="L1435">
        <f>demanda!I1433</f>
        <v>2</v>
      </c>
      <c r="M1435">
        <v>9.1555418996444509</v>
      </c>
      <c r="N1435">
        <f t="shared" si="176"/>
        <v>-7.1555418996444509</v>
      </c>
      <c r="O1435">
        <v>7.3144910189317154E-4</v>
      </c>
      <c r="P1435">
        <f t="shared" si="177"/>
        <v>-0.72097420166855408</v>
      </c>
      <c r="Q1435">
        <f t="shared" si="178"/>
        <v>98.526768759022602</v>
      </c>
      <c r="R1435">
        <f t="shared" si="179"/>
        <v>-0.72114782718324122</v>
      </c>
      <c r="S1435">
        <f t="shared" si="180"/>
        <v>0.47090641241117204</v>
      </c>
      <c r="T1435">
        <f t="shared" si="181"/>
        <v>1.9038342084795563E-4</v>
      </c>
      <c r="U1435">
        <f t="shared" si="182"/>
        <v>-1.9510807546913981E-2</v>
      </c>
    </row>
    <row r="1436" spans="10:21" x14ac:dyDescent="0.35">
      <c r="J1436">
        <f t="shared" si="183"/>
        <v>1433</v>
      </c>
      <c r="K1436">
        <f>demanda!D1434</f>
        <v>0</v>
      </c>
      <c r="L1436">
        <f>demanda!I1434</f>
        <v>5</v>
      </c>
      <c r="M1436">
        <v>14.416809279416043</v>
      </c>
      <c r="N1436">
        <f t="shared" si="176"/>
        <v>-9.416809279416043</v>
      </c>
      <c r="O1436">
        <v>7.4087557083441532E-4</v>
      </c>
      <c r="P1436">
        <f t="shared" si="177"/>
        <v>-0.94881375131481849</v>
      </c>
      <c r="Q1436">
        <f t="shared" si="178"/>
        <v>98.507215690706701</v>
      </c>
      <c r="R1436">
        <f t="shared" si="179"/>
        <v>-0.94914090693055775</v>
      </c>
      <c r="S1436">
        <f t="shared" si="180"/>
        <v>0.34266846368408377</v>
      </c>
      <c r="T1436">
        <f t="shared" si="181"/>
        <v>3.339803955874275E-4</v>
      </c>
      <c r="U1436">
        <f t="shared" si="182"/>
        <v>-2.5844269881602652E-2</v>
      </c>
    </row>
    <row r="1437" spans="10:21" x14ac:dyDescent="0.35">
      <c r="J1437">
        <f t="shared" si="183"/>
        <v>1434</v>
      </c>
      <c r="K1437">
        <f>demanda!D1435</f>
        <v>4</v>
      </c>
      <c r="L1437">
        <f>demanda!I1435</f>
        <v>1</v>
      </c>
      <c r="M1437">
        <v>3.8942745198728588</v>
      </c>
      <c r="N1437">
        <f t="shared" si="176"/>
        <v>-2.8942745198728588</v>
      </c>
      <c r="O1437">
        <v>2.4466175697261316E-3</v>
      </c>
      <c r="P1437">
        <f t="shared" si="177"/>
        <v>-0.29161973902754412</v>
      </c>
      <c r="Q1437">
        <f t="shared" si="178"/>
        <v>98.549105510137124</v>
      </c>
      <c r="R1437">
        <f t="shared" si="179"/>
        <v>-0.2919075347093899</v>
      </c>
      <c r="S1437">
        <f t="shared" si="180"/>
        <v>0.77038887469672734</v>
      </c>
      <c r="T1437">
        <f t="shared" si="181"/>
        <v>1.0454364483839124E-4</v>
      </c>
      <c r="U1437">
        <f t="shared" si="182"/>
        <v>-1.4456404029791516E-2</v>
      </c>
    </row>
    <row r="1438" spans="10:21" x14ac:dyDescent="0.35">
      <c r="J1438">
        <f t="shared" si="183"/>
        <v>1435</v>
      </c>
      <c r="K1438">
        <f>demanda!D1436</f>
        <v>1</v>
      </c>
      <c r="L1438">
        <f>demanda!I1436</f>
        <v>15</v>
      </c>
      <c r="M1438">
        <v>11.786175589530247</v>
      </c>
      <c r="N1438">
        <f t="shared" si="176"/>
        <v>3.2138244104697531</v>
      </c>
      <c r="O1438">
        <v>5.2058796926701797E-4</v>
      </c>
      <c r="P1438">
        <f t="shared" si="177"/>
        <v>0.32381677322810093</v>
      </c>
      <c r="Q1438">
        <f t="shared" si="178"/>
        <v>98.548095772403954</v>
      </c>
      <c r="R1438">
        <f t="shared" si="179"/>
        <v>0.3238255414227269</v>
      </c>
      <c r="S1438">
        <f t="shared" si="180"/>
        <v>0.74610540567370975</v>
      </c>
      <c r="T1438">
        <f t="shared" si="181"/>
        <v>2.7322164893932259E-5</v>
      </c>
      <c r="U1438">
        <f t="shared" si="182"/>
        <v>7.390456033686617E-3</v>
      </c>
    </row>
    <row r="1439" spans="10:21" x14ac:dyDescent="0.35">
      <c r="J1439">
        <f t="shared" si="183"/>
        <v>1436</v>
      </c>
      <c r="K1439">
        <f>demanda!D1437</f>
        <v>0</v>
      </c>
      <c r="L1439">
        <f>demanda!I1437</f>
        <v>8</v>
      </c>
      <c r="M1439">
        <v>14.416809279416043</v>
      </c>
      <c r="N1439">
        <f t="shared" si="176"/>
        <v>-6.416809279416043</v>
      </c>
      <c r="O1439">
        <v>7.4087557083441532E-4</v>
      </c>
      <c r="P1439">
        <f t="shared" si="177"/>
        <v>-0.64654138182270005</v>
      </c>
      <c r="Q1439">
        <f t="shared" si="178"/>
        <v>98.531999879441045</v>
      </c>
      <c r="R1439">
        <f t="shared" si="179"/>
        <v>-0.64668296559256133</v>
      </c>
      <c r="S1439">
        <f t="shared" si="180"/>
        <v>0.51791448613837154</v>
      </c>
      <c r="T1439">
        <f t="shared" si="181"/>
        <v>1.5507853448804487E-4</v>
      </c>
      <c r="U1439">
        <f t="shared" si="182"/>
        <v>-1.7608606866032061E-2</v>
      </c>
    </row>
    <row r="1440" spans="10:21" x14ac:dyDescent="0.35">
      <c r="J1440">
        <f t="shared" si="183"/>
        <v>1437</v>
      </c>
      <c r="K1440">
        <f>demanda!D1438</f>
        <v>0</v>
      </c>
      <c r="L1440">
        <f>demanda!I1438</f>
        <v>14</v>
      </c>
      <c r="M1440">
        <v>14.416809279416043</v>
      </c>
      <c r="N1440">
        <f t="shared" si="176"/>
        <v>-0.41680927941604295</v>
      </c>
      <c r="O1440">
        <v>7.4087557083441532E-4</v>
      </c>
      <c r="P1440">
        <f t="shared" si="177"/>
        <v>-4.1996642838463258E-2</v>
      </c>
      <c r="Q1440">
        <f t="shared" si="178"/>
        <v>98.553393055166637</v>
      </c>
      <c r="R1440">
        <f t="shared" si="179"/>
        <v>-4.2001280140228352E-2</v>
      </c>
      <c r="S1440">
        <f t="shared" si="180"/>
        <v>0.96650204701357412</v>
      </c>
      <c r="T1440">
        <f t="shared" si="181"/>
        <v>6.5431696937827154E-7</v>
      </c>
      <c r="U1440">
        <f t="shared" si="182"/>
        <v>-1.1436578187608104E-3</v>
      </c>
    </row>
    <row r="1441" spans="10:21" x14ac:dyDescent="0.35">
      <c r="J1441">
        <f t="shared" si="183"/>
        <v>1438</v>
      </c>
      <c r="K1441">
        <f>demanda!D1439</f>
        <v>0</v>
      </c>
      <c r="L1441">
        <f>demanda!I1439</f>
        <v>15</v>
      </c>
      <c r="M1441">
        <v>14.416809279416043</v>
      </c>
      <c r="N1441">
        <f t="shared" si="176"/>
        <v>0.58319072058395705</v>
      </c>
      <c r="O1441">
        <v>7.4087557083441532E-4</v>
      </c>
      <c r="P1441">
        <f t="shared" si="177"/>
        <v>5.8760813658909554E-2</v>
      </c>
      <c r="Q1441">
        <f t="shared" si="178"/>
        <v>98.553306243487526</v>
      </c>
      <c r="R1441">
        <f t="shared" si="179"/>
        <v>5.8767327956256402E-2</v>
      </c>
      <c r="S1441">
        <f t="shared" si="180"/>
        <v>0.95314355069247325</v>
      </c>
      <c r="T1441">
        <f t="shared" si="181"/>
        <v>1.2809572488725558E-6</v>
      </c>
      <c r="U1441">
        <f t="shared" si="182"/>
        <v>1.6001825154010173E-3</v>
      </c>
    </row>
    <row r="1442" spans="10:21" x14ac:dyDescent="0.35">
      <c r="J1442">
        <f t="shared" si="183"/>
        <v>1439</v>
      </c>
      <c r="K1442">
        <f>demanda!D1440</f>
        <v>1</v>
      </c>
      <c r="L1442">
        <f>demanda!I1440</f>
        <v>15</v>
      </c>
      <c r="M1442">
        <v>11.786175589530247</v>
      </c>
      <c r="N1442">
        <f t="shared" si="176"/>
        <v>3.2138244104697531</v>
      </c>
      <c r="O1442">
        <v>5.2058796926701797E-4</v>
      </c>
      <c r="P1442">
        <f t="shared" si="177"/>
        <v>0.32381677322810093</v>
      </c>
      <c r="Q1442">
        <f t="shared" si="178"/>
        <v>98.548095772403954</v>
      </c>
      <c r="R1442">
        <f t="shared" si="179"/>
        <v>0.3238255414227269</v>
      </c>
      <c r="S1442">
        <f t="shared" si="180"/>
        <v>0.74610540567370975</v>
      </c>
      <c r="T1442">
        <f t="shared" si="181"/>
        <v>2.7322164893932259E-5</v>
      </c>
      <c r="U1442">
        <f t="shared" si="182"/>
        <v>7.390456033686617E-3</v>
      </c>
    </row>
    <row r="1443" spans="10:21" x14ac:dyDescent="0.35">
      <c r="J1443">
        <f t="shared" si="183"/>
        <v>1440</v>
      </c>
      <c r="K1443">
        <f>demanda!D1441</f>
        <v>0</v>
      </c>
      <c r="L1443">
        <f>demanda!I1441</f>
        <v>15</v>
      </c>
      <c r="M1443">
        <v>14.416809279416043</v>
      </c>
      <c r="N1443">
        <f t="shared" si="176"/>
        <v>0.58319072058395705</v>
      </c>
      <c r="O1443">
        <v>7.4087557083441532E-4</v>
      </c>
      <c r="P1443">
        <f t="shared" si="177"/>
        <v>5.8760813658909554E-2</v>
      </c>
      <c r="Q1443">
        <f t="shared" si="178"/>
        <v>98.553306243487526</v>
      </c>
      <c r="R1443">
        <f t="shared" si="179"/>
        <v>5.8767327956256402E-2</v>
      </c>
      <c r="S1443">
        <f t="shared" si="180"/>
        <v>0.95314355069247325</v>
      </c>
      <c r="T1443">
        <f t="shared" si="181"/>
        <v>1.2809572488725558E-6</v>
      </c>
      <c r="U1443">
        <f t="shared" si="182"/>
        <v>1.6001825154010173E-3</v>
      </c>
    </row>
    <row r="1444" spans="10:21" x14ac:dyDescent="0.35">
      <c r="J1444">
        <f t="shared" si="183"/>
        <v>1441</v>
      </c>
      <c r="K1444">
        <f>demanda!D1442</f>
        <v>0</v>
      </c>
      <c r="L1444">
        <f>demanda!I1442</f>
        <v>15</v>
      </c>
      <c r="M1444">
        <v>14.416809279416043</v>
      </c>
      <c r="N1444">
        <f t="shared" si="176"/>
        <v>0.58319072058395705</v>
      </c>
      <c r="O1444">
        <v>7.4087557083441532E-4</v>
      </c>
      <c r="P1444">
        <f t="shared" si="177"/>
        <v>5.8760813658909554E-2</v>
      </c>
      <c r="Q1444">
        <f t="shared" si="178"/>
        <v>98.553306243487526</v>
      </c>
      <c r="R1444">
        <f t="shared" si="179"/>
        <v>5.8767327956256402E-2</v>
      </c>
      <c r="S1444">
        <f t="shared" si="180"/>
        <v>0.95314355069247325</v>
      </c>
      <c r="T1444">
        <f t="shared" si="181"/>
        <v>1.2809572488725558E-6</v>
      </c>
      <c r="U1444">
        <f t="shared" si="182"/>
        <v>1.6001825154010173E-3</v>
      </c>
    </row>
    <row r="1445" spans="10:21" x14ac:dyDescent="0.35">
      <c r="J1445">
        <f t="shared" si="183"/>
        <v>1442</v>
      </c>
      <c r="K1445">
        <f>demanda!D1443</f>
        <v>0</v>
      </c>
      <c r="L1445">
        <f>demanda!I1443</f>
        <v>15</v>
      </c>
      <c r="M1445">
        <v>14.416809279416043</v>
      </c>
      <c r="N1445">
        <f t="shared" si="176"/>
        <v>0.58319072058395705</v>
      </c>
      <c r="O1445">
        <v>7.4087557083441532E-4</v>
      </c>
      <c r="P1445">
        <f t="shared" si="177"/>
        <v>5.8760813658909554E-2</v>
      </c>
      <c r="Q1445">
        <f t="shared" si="178"/>
        <v>98.553306243487526</v>
      </c>
      <c r="R1445">
        <f t="shared" si="179"/>
        <v>5.8767327956256402E-2</v>
      </c>
      <c r="S1445">
        <f t="shared" si="180"/>
        <v>0.95314355069247325</v>
      </c>
      <c r="T1445">
        <f t="shared" si="181"/>
        <v>1.2809572488725558E-6</v>
      </c>
      <c r="U1445">
        <f t="shared" si="182"/>
        <v>1.6001825154010173E-3</v>
      </c>
    </row>
    <row r="1446" spans="10:21" x14ac:dyDescent="0.35">
      <c r="J1446">
        <f t="shared" si="183"/>
        <v>1443</v>
      </c>
      <c r="K1446">
        <f>demanda!D1444</f>
        <v>0</v>
      </c>
      <c r="L1446">
        <f>demanda!I1444</f>
        <v>15</v>
      </c>
      <c r="M1446">
        <v>14.416809279416043</v>
      </c>
      <c r="N1446">
        <f t="shared" si="176"/>
        <v>0.58319072058395705</v>
      </c>
      <c r="O1446">
        <v>7.4087557083441532E-4</v>
      </c>
      <c r="P1446">
        <f t="shared" si="177"/>
        <v>5.8760813658909554E-2</v>
      </c>
      <c r="Q1446">
        <f t="shared" si="178"/>
        <v>98.553306243487526</v>
      </c>
      <c r="R1446">
        <f t="shared" si="179"/>
        <v>5.8767327956256402E-2</v>
      </c>
      <c r="S1446">
        <f t="shared" si="180"/>
        <v>0.95314355069247325</v>
      </c>
      <c r="T1446">
        <f t="shared" si="181"/>
        <v>1.2809572488725558E-6</v>
      </c>
      <c r="U1446">
        <f t="shared" si="182"/>
        <v>1.6001825154010173E-3</v>
      </c>
    </row>
    <row r="1447" spans="10:21" x14ac:dyDescent="0.35">
      <c r="J1447">
        <f t="shared" si="183"/>
        <v>1444</v>
      </c>
      <c r="K1447">
        <f>demanda!D1445</f>
        <v>0</v>
      </c>
      <c r="L1447">
        <f>demanda!I1445</f>
        <v>15</v>
      </c>
      <c r="M1447">
        <v>14.416809279416043</v>
      </c>
      <c r="N1447">
        <f t="shared" si="176"/>
        <v>0.58319072058395705</v>
      </c>
      <c r="O1447">
        <v>7.4087557083441532E-4</v>
      </c>
      <c r="P1447">
        <f t="shared" si="177"/>
        <v>5.8760813658909554E-2</v>
      </c>
      <c r="Q1447">
        <f t="shared" si="178"/>
        <v>98.553306243487526</v>
      </c>
      <c r="R1447">
        <f t="shared" si="179"/>
        <v>5.8767327956256402E-2</v>
      </c>
      <c r="S1447">
        <f t="shared" si="180"/>
        <v>0.95314355069247325</v>
      </c>
      <c r="T1447">
        <f t="shared" si="181"/>
        <v>1.2809572488725558E-6</v>
      </c>
      <c r="U1447">
        <f t="shared" si="182"/>
        <v>1.6001825154010173E-3</v>
      </c>
    </row>
    <row r="1448" spans="10:21" x14ac:dyDescent="0.35">
      <c r="J1448">
        <f t="shared" si="183"/>
        <v>1445</v>
      </c>
      <c r="K1448">
        <f>demanda!D1446</f>
        <v>0</v>
      </c>
      <c r="L1448">
        <f>demanda!I1446</f>
        <v>15</v>
      </c>
      <c r="M1448">
        <v>14.416809279416043</v>
      </c>
      <c r="N1448">
        <f t="shared" si="176"/>
        <v>0.58319072058395705</v>
      </c>
      <c r="O1448">
        <v>7.4087557083441532E-4</v>
      </c>
      <c r="P1448">
        <f t="shared" si="177"/>
        <v>5.8760813658909554E-2</v>
      </c>
      <c r="Q1448">
        <f t="shared" si="178"/>
        <v>98.553306243487526</v>
      </c>
      <c r="R1448">
        <f t="shared" si="179"/>
        <v>5.8767327956256402E-2</v>
      </c>
      <c r="S1448">
        <f t="shared" si="180"/>
        <v>0.95314355069247325</v>
      </c>
      <c r="T1448">
        <f t="shared" si="181"/>
        <v>1.2809572488725558E-6</v>
      </c>
      <c r="U1448">
        <f t="shared" si="182"/>
        <v>1.6001825154010173E-3</v>
      </c>
    </row>
    <row r="1449" spans="10:21" x14ac:dyDescent="0.35">
      <c r="J1449">
        <f t="shared" si="183"/>
        <v>1446</v>
      </c>
      <c r="K1449">
        <f>demanda!D1447</f>
        <v>0</v>
      </c>
      <c r="L1449">
        <f>demanda!I1447</f>
        <v>15</v>
      </c>
      <c r="M1449">
        <v>14.416809279416043</v>
      </c>
      <c r="N1449">
        <f t="shared" si="176"/>
        <v>0.58319072058395705</v>
      </c>
      <c r="O1449">
        <v>7.4087557083441532E-4</v>
      </c>
      <c r="P1449">
        <f t="shared" si="177"/>
        <v>5.8760813658909554E-2</v>
      </c>
      <c r="Q1449">
        <f t="shared" si="178"/>
        <v>98.553306243487526</v>
      </c>
      <c r="R1449">
        <f t="shared" si="179"/>
        <v>5.8767327956256402E-2</v>
      </c>
      <c r="S1449">
        <f t="shared" si="180"/>
        <v>0.95314355069247325</v>
      </c>
      <c r="T1449">
        <f t="shared" si="181"/>
        <v>1.2809572488725558E-6</v>
      </c>
      <c r="U1449">
        <f t="shared" si="182"/>
        <v>1.6001825154010173E-3</v>
      </c>
    </row>
    <row r="1450" spans="10:21" x14ac:dyDescent="0.35">
      <c r="J1450">
        <f t="shared" si="183"/>
        <v>1447</v>
      </c>
      <c r="K1450">
        <f>demanda!D1448</f>
        <v>0</v>
      </c>
      <c r="L1450">
        <f>demanda!I1448</f>
        <v>15</v>
      </c>
      <c r="M1450">
        <v>14.416809279416043</v>
      </c>
      <c r="N1450">
        <f t="shared" si="176"/>
        <v>0.58319072058395705</v>
      </c>
      <c r="O1450">
        <v>7.4087557083441532E-4</v>
      </c>
      <c r="P1450">
        <f t="shared" si="177"/>
        <v>5.8760813658909554E-2</v>
      </c>
      <c r="Q1450">
        <f t="shared" si="178"/>
        <v>98.553306243487526</v>
      </c>
      <c r="R1450">
        <f t="shared" si="179"/>
        <v>5.8767327956256402E-2</v>
      </c>
      <c r="S1450">
        <f t="shared" si="180"/>
        <v>0.95314355069247325</v>
      </c>
      <c r="T1450">
        <f t="shared" si="181"/>
        <v>1.2809572488725558E-6</v>
      </c>
      <c r="U1450">
        <f t="shared" si="182"/>
        <v>1.6001825154010173E-3</v>
      </c>
    </row>
    <row r="1451" spans="10:21" x14ac:dyDescent="0.35">
      <c r="J1451">
        <f t="shared" si="183"/>
        <v>1448</v>
      </c>
      <c r="K1451">
        <f>demanda!D1449</f>
        <v>0</v>
      </c>
      <c r="L1451">
        <f>demanda!I1449</f>
        <v>12</v>
      </c>
      <c r="M1451">
        <v>14.416809279416043</v>
      </c>
      <c r="N1451">
        <f t="shared" si="176"/>
        <v>-2.416809279416043</v>
      </c>
      <c r="O1451">
        <v>7.4087557083441532E-4</v>
      </c>
      <c r="P1451">
        <f t="shared" si="177"/>
        <v>-0.24351155583320885</v>
      </c>
      <c r="Q1451">
        <f t="shared" si="178"/>
        <v>98.55043610055337</v>
      </c>
      <c r="R1451">
        <f t="shared" si="179"/>
        <v>-0.24354209816225414</v>
      </c>
      <c r="S1451">
        <f t="shared" si="180"/>
        <v>0.80761150818210881</v>
      </c>
      <c r="T1451">
        <f t="shared" si="181"/>
        <v>2.199875915262289E-5</v>
      </c>
      <c r="U1451">
        <f t="shared" si="182"/>
        <v>-6.6314365617133417E-3</v>
      </c>
    </row>
    <row r="1452" spans="10:21" x14ac:dyDescent="0.35">
      <c r="J1452">
        <f t="shared" si="183"/>
        <v>1449</v>
      </c>
      <c r="K1452">
        <f>demanda!D1450</f>
        <v>0</v>
      </c>
      <c r="L1452">
        <f>demanda!I1450</f>
        <v>15</v>
      </c>
      <c r="M1452">
        <v>14.416809279416043</v>
      </c>
      <c r="N1452">
        <f t="shared" si="176"/>
        <v>0.58319072058395705</v>
      </c>
      <c r="O1452">
        <v>7.4087557083441532E-4</v>
      </c>
      <c r="P1452">
        <f t="shared" si="177"/>
        <v>5.8760813658909554E-2</v>
      </c>
      <c r="Q1452">
        <f t="shared" si="178"/>
        <v>98.553306243487526</v>
      </c>
      <c r="R1452">
        <f t="shared" si="179"/>
        <v>5.8767327956256402E-2</v>
      </c>
      <c r="S1452">
        <f t="shared" si="180"/>
        <v>0.95314355069247325</v>
      </c>
      <c r="T1452">
        <f t="shared" si="181"/>
        <v>1.2809572488725558E-6</v>
      </c>
      <c r="U1452">
        <f t="shared" si="182"/>
        <v>1.6001825154010173E-3</v>
      </c>
    </row>
    <row r="1453" spans="10:21" x14ac:dyDescent="0.35">
      <c r="J1453">
        <f t="shared" si="183"/>
        <v>1450</v>
      </c>
      <c r="K1453">
        <f>demanda!D1451</f>
        <v>0</v>
      </c>
      <c r="L1453">
        <f>demanda!I1451</f>
        <v>15</v>
      </c>
      <c r="M1453">
        <v>14.416809279416043</v>
      </c>
      <c r="N1453">
        <f t="shared" si="176"/>
        <v>0.58319072058395705</v>
      </c>
      <c r="O1453">
        <v>7.4087557083441532E-4</v>
      </c>
      <c r="P1453">
        <f t="shared" si="177"/>
        <v>5.8760813658909554E-2</v>
      </c>
      <c r="Q1453">
        <f t="shared" si="178"/>
        <v>98.553306243487526</v>
      </c>
      <c r="R1453">
        <f t="shared" si="179"/>
        <v>5.8767327956256402E-2</v>
      </c>
      <c r="S1453">
        <f t="shared" si="180"/>
        <v>0.95314355069247325</v>
      </c>
      <c r="T1453">
        <f t="shared" si="181"/>
        <v>1.2809572488725558E-6</v>
      </c>
      <c r="U1453">
        <f t="shared" si="182"/>
        <v>1.6001825154010173E-3</v>
      </c>
    </row>
    <row r="1454" spans="10:21" x14ac:dyDescent="0.35">
      <c r="J1454">
        <f t="shared" si="183"/>
        <v>1451</v>
      </c>
      <c r="K1454">
        <f>demanda!D1452</f>
        <v>0</v>
      </c>
      <c r="L1454">
        <f>demanda!I1452</f>
        <v>13</v>
      </c>
      <c r="M1454">
        <v>14.416809279416043</v>
      </c>
      <c r="N1454">
        <f t="shared" si="176"/>
        <v>-1.416809279416043</v>
      </c>
      <c r="O1454">
        <v>7.4087557083441532E-4</v>
      </c>
      <c r="P1454">
        <f t="shared" si="177"/>
        <v>-0.14275409933583605</v>
      </c>
      <c r="Q1454">
        <f t="shared" si="178"/>
        <v>98.552436340855238</v>
      </c>
      <c r="R1454">
        <f t="shared" si="179"/>
        <v>-0.14277055533334676</v>
      </c>
      <c r="S1454">
        <f t="shared" si="180"/>
        <v>0.88648638054980111</v>
      </c>
      <c r="T1454">
        <f t="shared" si="181"/>
        <v>7.5602509372950483E-6</v>
      </c>
      <c r="U1454">
        <f t="shared" si="182"/>
        <v>-3.8875163173756836E-3</v>
      </c>
    </row>
    <row r="1455" spans="10:21" x14ac:dyDescent="0.35">
      <c r="J1455">
        <f t="shared" si="183"/>
        <v>1452</v>
      </c>
      <c r="K1455">
        <f>demanda!D1453</f>
        <v>0</v>
      </c>
      <c r="L1455">
        <f>demanda!I1453</f>
        <v>15</v>
      </c>
      <c r="M1455">
        <v>14.416809279416043</v>
      </c>
      <c r="N1455">
        <f t="shared" si="176"/>
        <v>0.58319072058395705</v>
      </c>
      <c r="O1455">
        <v>7.4087557083441532E-4</v>
      </c>
      <c r="P1455">
        <f t="shared" si="177"/>
        <v>5.8760813658909554E-2</v>
      </c>
      <c r="Q1455">
        <f t="shared" si="178"/>
        <v>98.553306243487526</v>
      </c>
      <c r="R1455">
        <f t="shared" si="179"/>
        <v>5.8767327956256402E-2</v>
      </c>
      <c r="S1455">
        <f t="shared" si="180"/>
        <v>0.95314355069247325</v>
      </c>
      <c r="T1455">
        <f t="shared" si="181"/>
        <v>1.2809572488725558E-6</v>
      </c>
      <c r="U1455">
        <f t="shared" si="182"/>
        <v>1.6001825154010173E-3</v>
      </c>
    </row>
    <row r="1456" spans="10:21" x14ac:dyDescent="0.35">
      <c r="J1456">
        <f t="shared" si="183"/>
        <v>1453</v>
      </c>
      <c r="K1456">
        <f>demanda!D1454</f>
        <v>0</v>
      </c>
      <c r="L1456">
        <f>demanda!I1454</f>
        <v>15</v>
      </c>
      <c r="M1456">
        <v>14.416809279416043</v>
      </c>
      <c r="N1456">
        <f t="shared" si="176"/>
        <v>0.58319072058395705</v>
      </c>
      <c r="O1456">
        <v>7.4087557083441532E-4</v>
      </c>
      <c r="P1456">
        <f t="shared" si="177"/>
        <v>5.8760813658909554E-2</v>
      </c>
      <c r="Q1456">
        <f t="shared" si="178"/>
        <v>98.553306243487526</v>
      </c>
      <c r="R1456">
        <f t="shared" si="179"/>
        <v>5.8767327956256402E-2</v>
      </c>
      <c r="S1456">
        <f t="shared" si="180"/>
        <v>0.95314355069247325</v>
      </c>
      <c r="T1456">
        <f t="shared" si="181"/>
        <v>1.2809572488725558E-6</v>
      </c>
      <c r="U1456">
        <f t="shared" si="182"/>
        <v>1.6001825154010173E-3</v>
      </c>
    </row>
    <row r="1457" spans="10:21" x14ac:dyDescent="0.35">
      <c r="J1457">
        <f t="shared" si="183"/>
        <v>1454</v>
      </c>
      <c r="K1457">
        <f>demanda!D1455</f>
        <v>0</v>
      </c>
      <c r="L1457">
        <f>demanda!I1455</f>
        <v>15</v>
      </c>
      <c r="M1457">
        <v>14.416809279416043</v>
      </c>
      <c r="N1457">
        <f t="shared" si="176"/>
        <v>0.58319072058395705</v>
      </c>
      <c r="O1457">
        <v>7.4087557083441532E-4</v>
      </c>
      <c r="P1457">
        <f t="shared" si="177"/>
        <v>5.8760813658909554E-2</v>
      </c>
      <c r="Q1457">
        <f t="shared" si="178"/>
        <v>98.553306243487526</v>
      </c>
      <c r="R1457">
        <f t="shared" si="179"/>
        <v>5.8767327956256402E-2</v>
      </c>
      <c r="S1457">
        <f t="shared" si="180"/>
        <v>0.95314355069247325</v>
      </c>
      <c r="T1457">
        <f t="shared" si="181"/>
        <v>1.2809572488725558E-6</v>
      </c>
      <c r="U1457">
        <f t="shared" si="182"/>
        <v>1.6001825154010173E-3</v>
      </c>
    </row>
    <row r="1458" spans="10:21" x14ac:dyDescent="0.35">
      <c r="J1458">
        <f t="shared" si="183"/>
        <v>1455</v>
      </c>
      <c r="K1458">
        <f>demanda!D1456</f>
        <v>0</v>
      </c>
      <c r="L1458">
        <f>demanda!I1456</f>
        <v>15</v>
      </c>
      <c r="M1458">
        <v>14.416809279416043</v>
      </c>
      <c r="N1458">
        <f t="shared" si="176"/>
        <v>0.58319072058395705</v>
      </c>
      <c r="O1458">
        <v>7.4087557083441532E-4</v>
      </c>
      <c r="P1458">
        <f t="shared" si="177"/>
        <v>5.8760813658909554E-2</v>
      </c>
      <c r="Q1458">
        <f t="shared" si="178"/>
        <v>98.553306243487526</v>
      </c>
      <c r="R1458">
        <f t="shared" si="179"/>
        <v>5.8767327956256402E-2</v>
      </c>
      <c r="S1458">
        <f t="shared" si="180"/>
        <v>0.95314355069247325</v>
      </c>
      <c r="T1458">
        <f t="shared" si="181"/>
        <v>1.2809572488725558E-6</v>
      </c>
      <c r="U1458">
        <f t="shared" si="182"/>
        <v>1.6001825154010173E-3</v>
      </c>
    </row>
    <row r="1459" spans="10:21" x14ac:dyDescent="0.35">
      <c r="J1459">
        <f t="shared" si="183"/>
        <v>1456</v>
      </c>
      <c r="K1459">
        <f>demanda!D1457</f>
        <v>0</v>
      </c>
      <c r="L1459">
        <f>demanda!I1457</f>
        <v>15</v>
      </c>
      <c r="M1459">
        <v>14.416809279416043</v>
      </c>
      <c r="N1459">
        <f t="shared" si="176"/>
        <v>0.58319072058395705</v>
      </c>
      <c r="O1459">
        <v>7.4087557083441532E-4</v>
      </c>
      <c r="P1459">
        <f t="shared" si="177"/>
        <v>5.8760813658909554E-2</v>
      </c>
      <c r="Q1459">
        <f t="shared" si="178"/>
        <v>98.553306243487526</v>
      </c>
      <c r="R1459">
        <f t="shared" si="179"/>
        <v>5.8767327956256402E-2</v>
      </c>
      <c r="S1459">
        <f t="shared" si="180"/>
        <v>0.95314355069247325</v>
      </c>
      <c r="T1459">
        <f t="shared" si="181"/>
        <v>1.2809572488725558E-6</v>
      </c>
      <c r="U1459">
        <f t="shared" si="182"/>
        <v>1.6001825154010173E-3</v>
      </c>
    </row>
    <row r="1460" spans="10:21" x14ac:dyDescent="0.35">
      <c r="J1460">
        <f t="shared" si="183"/>
        <v>1457</v>
      </c>
      <c r="K1460">
        <f>demanda!D1458</f>
        <v>0</v>
      </c>
      <c r="L1460">
        <f>demanda!I1458</f>
        <v>15</v>
      </c>
      <c r="M1460">
        <v>14.416809279416043</v>
      </c>
      <c r="N1460">
        <f t="shared" si="176"/>
        <v>0.58319072058395705</v>
      </c>
      <c r="O1460">
        <v>7.4087557083441532E-4</v>
      </c>
      <c r="P1460">
        <f t="shared" si="177"/>
        <v>5.8760813658909554E-2</v>
      </c>
      <c r="Q1460">
        <f t="shared" si="178"/>
        <v>98.553306243487526</v>
      </c>
      <c r="R1460">
        <f t="shared" si="179"/>
        <v>5.8767327956256402E-2</v>
      </c>
      <c r="S1460">
        <f t="shared" si="180"/>
        <v>0.95314355069247325</v>
      </c>
      <c r="T1460">
        <f t="shared" si="181"/>
        <v>1.2809572488725558E-6</v>
      </c>
      <c r="U1460">
        <f t="shared" si="182"/>
        <v>1.6001825154010173E-3</v>
      </c>
    </row>
    <row r="1461" spans="10:21" x14ac:dyDescent="0.35">
      <c r="J1461">
        <f t="shared" si="183"/>
        <v>1458</v>
      </c>
      <c r="K1461">
        <f>demanda!D1459</f>
        <v>0</v>
      </c>
      <c r="L1461">
        <f>demanda!I1459</f>
        <v>15</v>
      </c>
      <c r="M1461">
        <v>14.416809279416043</v>
      </c>
      <c r="N1461">
        <f t="shared" si="176"/>
        <v>0.58319072058395705</v>
      </c>
      <c r="O1461">
        <v>7.4087557083441532E-4</v>
      </c>
      <c r="P1461">
        <f t="shared" si="177"/>
        <v>5.8760813658909554E-2</v>
      </c>
      <c r="Q1461">
        <f t="shared" si="178"/>
        <v>98.553306243487526</v>
      </c>
      <c r="R1461">
        <f t="shared" si="179"/>
        <v>5.8767327956256402E-2</v>
      </c>
      <c r="S1461">
        <f t="shared" si="180"/>
        <v>0.95314355069247325</v>
      </c>
      <c r="T1461">
        <f t="shared" si="181"/>
        <v>1.2809572488725558E-6</v>
      </c>
      <c r="U1461">
        <f t="shared" si="182"/>
        <v>1.6001825154010173E-3</v>
      </c>
    </row>
    <row r="1462" spans="10:21" x14ac:dyDescent="0.35">
      <c r="J1462">
        <f t="shared" si="183"/>
        <v>1459</v>
      </c>
      <c r="K1462">
        <f>demanda!D1460</f>
        <v>0</v>
      </c>
      <c r="L1462">
        <f>demanda!I1460</f>
        <v>15</v>
      </c>
      <c r="M1462">
        <v>14.416809279416043</v>
      </c>
      <c r="N1462">
        <f t="shared" si="176"/>
        <v>0.58319072058395705</v>
      </c>
      <c r="O1462">
        <v>7.4087557083441532E-4</v>
      </c>
      <c r="P1462">
        <f t="shared" si="177"/>
        <v>5.8760813658909554E-2</v>
      </c>
      <c r="Q1462">
        <f t="shared" si="178"/>
        <v>98.553306243487526</v>
      </c>
      <c r="R1462">
        <f t="shared" si="179"/>
        <v>5.8767327956256402E-2</v>
      </c>
      <c r="S1462">
        <f t="shared" si="180"/>
        <v>0.95314355069247325</v>
      </c>
      <c r="T1462">
        <f t="shared" si="181"/>
        <v>1.2809572488725558E-6</v>
      </c>
      <c r="U1462">
        <f t="shared" si="182"/>
        <v>1.6001825154010173E-3</v>
      </c>
    </row>
    <row r="1463" spans="10:21" x14ac:dyDescent="0.35">
      <c r="J1463">
        <f t="shared" si="183"/>
        <v>1460</v>
      </c>
      <c r="K1463">
        <f>demanda!D1461</f>
        <v>0</v>
      </c>
      <c r="L1463">
        <f>demanda!I1461</f>
        <v>15</v>
      </c>
      <c r="M1463">
        <v>14.416809279416043</v>
      </c>
      <c r="N1463">
        <f t="shared" si="176"/>
        <v>0.58319072058395705</v>
      </c>
      <c r="O1463">
        <v>7.4087557083441532E-4</v>
      </c>
      <c r="P1463">
        <f t="shared" si="177"/>
        <v>5.8760813658909554E-2</v>
      </c>
      <c r="Q1463">
        <f t="shared" si="178"/>
        <v>98.553306243487526</v>
      </c>
      <c r="R1463">
        <f t="shared" si="179"/>
        <v>5.8767327956256402E-2</v>
      </c>
      <c r="S1463">
        <f t="shared" si="180"/>
        <v>0.95314355069247325</v>
      </c>
      <c r="T1463">
        <f t="shared" si="181"/>
        <v>1.2809572488725558E-6</v>
      </c>
      <c r="U1463">
        <f t="shared" si="182"/>
        <v>1.6001825154010173E-3</v>
      </c>
    </row>
    <row r="1464" spans="10:21" x14ac:dyDescent="0.35">
      <c r="J1464">
        <f t="shared" si="183"/>
        <v>1461</v>
      </c>
      <c r="K1464">
        <f>demanda!D1462</f>
        <v>0</v>
      </c>
      <c r="L1464">
        <f>demanda!I1462</f>
        <v>4</v>
      </c>
      <c r="M1464">
        <v>14.416809279416043</v>
      </c>
      <c r="N1464">
        <f t="shared" si="176"/>
        <v>-10.416809279416043</v>
      </c>
      <c r="O1464">
        <v>7.4087557083441532E-4</v>
      </c>
      <c r="P1464">
        <f t="shared" si="177"/>
        <v>-1.0495712078121913</v>
      </c>
      <c r="Q1464">
        <f t="shared" si="178"/>
        <v>98.49686724248096</v>
      </c>
      <c r="R1464">
        <f t="shared" si="179"/>
        <v>-1.049988258586362</v>
      </c>
      <c r="S1464">
        <f t="shared" si="180"/>
        <v>0.29385572056513598</v>
      </c>
      <c r="T1464">
        <f t="shared" si="181"/>
        <v>4.0867949778204384E-4</v>
      </c>
      <c r="U1464">
        <f t="shared" si="182"/>
        <v>-2.8590254333443563E-2</v>
      </c>
    </row>
    <row r="1465" spans="10:21" x14ac:dyDescent="0.35">
      <c r="J1465">
        <f t="shared" si="183"/>
        <v>1462</v>
      </c>
      <c r="K1465">
        <f>demanda!D1463</f>
        <v>0</v>
      </c>
      <c r="L1465">
        <f>demanda!I1463</f>
        <v>4</v>
      </c>
      <c r="M1465">
        <v>14.416809279416043</v>
      </c>
      <c r="N1465">
        <f t="shared" si="176"/>
        <v>-10.416809279416043</v>
      </c>
      <c r="O1465">
        <v>7.4087557083441532E-4</v>
      </c>
      <c r="P1465">
        <f t="shared" si="177"/>
        <v>-1.0495712078121913</v>
      </c>
      <c r="Q1465">
        <f t="shared" si="178"/>
        <v>98.49686724248096</v>
      </c>
      <c r="R1465">
        <f t="shared" si="179"/>
        <v>-1.049988258586362</v>
      </c>
      <c r="S1465">
        <f t="shared" si="180"/>
        <v>0.29385572056513598</v>
      </c>
      <c r="T1465">
        <f t="shared" si="181"/>
        <v>4.0867949778204384E-4</v>
      </c>
      <c r="U1465">
        <f t="shared" si="182"/>
        <v>-2.8590254333443563E-2</v>
      </c>
    </row>
    <row r="1466" spans="10:21" x14ac:dyDescent="0.35">
      <c r="J1466">
        <f t="shared" si="183"/>
        <v>1463</v>
      </c>
      <c r="K1466">
        <f>demanda!D1464</f>
        <v>0</v>
      </c>
      <c r="L1466">
        <f>demanda!I1464</f>
        <v>12</v>
      </c>
      <c r="M1466">
        <v>14.416809279416043</v>
      </c>
      <c r="N1466">
        <f t="shared" si="176"/>
        <v>-2.416809279416043</v>
      </c>
      <c r="O1466">
        <v>7.4087557083441532E-4</v>
      </c>
      <c r="P1466">
        <f t="shared" si="177"/>
        <v>-0.24351155583320885</v>
      </c>
      <c r="Q1466">
        <f t="shared" si="178"/>
        <v>98.55043610055337</v>
      </c>
      <c r="R1466">
        <f t="shared" si="179"/>
        <v>-0.24354209816225414</v>
      </c>
      <c r="S1466">
        <f t="shared" si="180"/>
        <v>0.80761150818210881</v>
      </c>
      <c r="T1466">
        <f t="shared" si="181"/>
        <v>2.199875915262289E-5</v>
      </c>
      <c r="U1466">
        <f t="shared" si="182"/>
        <v>-6.6314365617133417E-3</v>
      </c>
    </row>
    <row r="1467" spans="10:21" x14ac:dyDescent="0.35">
      <c r="J1467">
        <f t="shared" si="183"/>
        <v>1464</v>
      </c>
      <c r="K1467">
        <f>demanda!D1465</f>
        <v>0</v>
      </c>
      <c r="L1467">
        <f>demanda!I1465</f>
        <v>4</v>
      </c>
      <c r="M1467">
        <v>14.416809279416043</v>
      </c>
      <c r="N1467">
        <f t="shared" si="176"/>
        <v>-10.416809279416043</v>
      </c>
      <c r="O1467">
        <v>7.4087557083441532E-4</v>
      </c>
      <c r="P1467">
        <f t="shared" si="177"/>
        <v>-1.0495712078121913</v>
      </c>
      <c r="Q1467">
        <f t="shared" si="178"/>
        <v>98.49686724248096</v>
      </c>
      <c r="R1467">
        <f t="shared" si="179"/>
        <v>-1.049988258586362</v>
      </c>
      <c r="S1467">
        <f t="shared" si="180"/>
        <v>0.29385572056513598</v>
      </c>
      <c r="T1467">
        <f t="shared" si="181"/>
        <v>4.0867949778204384E-4</v>
      </c>
      <c r="U1467">
        <f t="shared" si="182"/>
        <v>-2.8590254333443563E-2</v>
      </c>
    </row>
    <row r="1468" spans="10:21" x14ac:dyDescent="0.35">
      <c r="J1468">
        <f t="shared" si="183"/>
        <v>1465</v>
      </c>
      <c r="K1468">
        <f>demanda!D1466</f>
        <v>2</v>
      </c>
      <c r="L1468">
        <f>demanda!I1466</f>
        <v>2</v>
      </c>
      <c r="M1468">
        <v>9.1555418996444509</v>
      </c>
      <c r="N1468">
        <f t="shared" si="176"/>
        <v>-7.1555418996444509</v>
      </c>
      <c r="O1468">
        <v>7.3144910189317154E-4</v>
      </c>
      <c r="P1468">
        <f t="shared" si="177"/>
        <v>-0.72097420166855408</v>
      </c>
      <c r="Q1468">
        <f t="shared" si="178"/>
        <v>98.526768759022602</v>
      </c>
      <c r="R1468">
        <f t="shared" si="179"/>
        <v>-0.72114782718324122</v>
      </c>
      <c r="S1468">
        <f t="shared" si="180"/>
        <v>0.47090641241117204</v>
      </c>
      <c r="T1468">
        <f t="shared" si="181"/>
        <v>1.9038342084795563E-4</v>
      </c>
      <c r="U1468">
        <f t="shared" si="182"/>
        <v>-1.9510807546913981E-2</v>
      </c>
    </row>
    <row r="1469" spans="10:21" x14ac:dyDescent="0.35">
      <c r="J1469">
        <f t="shared" si="183"/>
        <v>1466</v>
      </c>
      <c r="K1469">
        <f>demanda!D1467</f>
        <v>2</v>
      </c>
      <c r="L1469">
        <f>demanda!I1467</f>
        <v>3</v>
      </c>
      <c r="M1469">
        <v>9.1555418996444509</v>
      </c>
      <c r="N1469">
        <f t="shared" si="176"/>
        <v>-6.1555418996444509</v>
      </c>
      <c r="O1469">
        <v>7.3144910189317154E-4</v>
      </c>
      <c r="P1469">
        <f t="shared" si="177"/>
        <v>-0.62021674517118131</v>
      </c>
      <c r="Q1469">
        <f t="shared" si="178"/>
        <v>98.533713924458709</v>
      </c>
      <c r="R1469">
        <f t="shared" si="179"/>
        <v>-0.62034424251421916</v>
      </c>
      <c r="S1469">
        <f t="shared" si="180"/>
        <v>0.53510483257501296</v>
      </c>
      <c r="T1469">
        <f t="shared" si="181"/>
        <v>1.4088885884323287E-4</v>
      </c>
      <c r="U1469">
        <f t="shared" si="182"/>
        <v>-1.6783545165498539E-2</v>
      </c>
    </row>
    <row r="1470" spans="10:21" x14ac:dyDescent="0.35">
      <c r="J1470">
        <f t="shared" si="183"/>
        <v>1467</v>
      </c>
      <c r="K1470">
        <f>demanda!D1468</f>
        <v>1</v>
      </c>
      <c r="L1470">
        <f>demanda!I1468</f>
        <v>3</v>
      </c>
      <c r="M1470">
        <v>11.786175589530247</v>
      </c>
      <c r="N1470">
        <f t="shared" si="176"/>
        <v>-8.7861755895302469</v>
      </c>
      <c r="O1470">
        <v>5.2058796926701797E-4</v>
      </c>
      <c r="P1470">
        <f t="shared" si="177"/>
        <v>-0.88527270474037267</v>
      </c>
      <c r="Q1470">
        <f t="shared" si="178"/>
        <v>98.513214102399758</v>
      </c>
      <c r="R1470">
        <f t="shared" si="179"/>
        <v>-0.88545339538896362</v>
      </c>
      <c r="S1470">
        <f t="shared" si="180"/>
        <v>0.37602308055069167</v>
      </c>
      <c r="T1470">
        <f t="shared" si="181"/>
        <v>2.0420697614382047E-4</v>
      </c>
      <c r="U1470">
        <f t="shared" si="182"/>
        <v>-2.0208116875988336E-2</v>
      </c>
    </row>
    <row r="1471" spans="10:21" x14ac:dyDescent="0.35">
      <c r="J1471">
        <f t="shared" si="183"/>
        <v>1468</v>
      </c>
      <c r="K1471">
        <f>demanda!D1469</f>
        <v>0</v>
      </c>
      <c r="L1471">
        <f>demanda!I1469</f>
        <v>17</v>
      </c>
      <c r="M1471">
        <v>14.416809279416043</v>
      </c>
      <c r="N1471">
        <f t="shared" si="176"/>
        <v>2.583190720583957</v>
      </c>
      <c r="O1471">
        <v>7.4087557083441532E-4</v>
      </c>
      <c r="P1471">
        <f t="shared" si="177"/>
        <v>0.26027572665365517</v>
      </c>
      <c r="Q1471">
        <f t="shared" si="178"/>
        <v>98.550002042157871</v>
      </c>
      <c r="R1471">
        <f t="shared" si="179"/>
        <v>0.26030894487816103</v>
      </c>
      <c r="S1471">
        <f t="shared" si="180"/>
        <v>0.79465340036911658</v>
      </c>
      <c r="T1471">
        <f t="shared" si="181"/>
        <v>2.5131960550094309E-5</v>
      </c>
      <c r="U1471">
        <f t="shared" si="182"/>
        <v>7.0879830116927275E-3</v>
      </c>
    </row>
    <row r="1472" spans="10:21" x14ac:dyDescent="0.35">
      <c r="J1472">
        <f t="shared" si="183"/>
        <v>1469</v>
      </c>
      <c r="K1472">
        <f>demanda!D1470</f>
        <v>0</v>
      </c>
      <c r="L1472">
        <f>demanda!I1470</f>
        <v>9</v>
      </c>
      <c r="M1472">
        <v>14.416809279416043</v>
      </c>
      <c r="N1472">
        <f t="shared" si="176"/>
        <v>-5.416809279416043</v>
      </c>
      <c r="O1472">
        <v>7.4087557083441532E-4</v>
      </c>
      <c r="P1472">
        <f t="shared" si="177"/>
        <v>-0.54578392532532727</v>
      </c>
      <c r="Q1472">
        <f t="shared" si="178"/>
        <v>98.538174223704843</v>
      </c>
      <c r="R1472">
        <f t="shared" si="179"/>
        <v>-0.54588634131956315</v>
      </c>
      <c r="S1472">
        <f t="shared" si="180"/>
        <v>0.58520751823074413</v>
      </c>
      <c r="T1472">
        <f t="shared" si="181"/>
        <v>1.1050972928307278E-4</v>
      </c>
      <c r="U1472">
        <f t="shared" si="182"/>
        <v>-1.4864003676090257E-2</v>
      </c>
    </row>
    <row r="1473" spans="10:21" x14ac:dyDescent="0.35">
      <c r="J1473">
        <f t="shared" si="183"/>
        <v>1470</v>
      </c>
      <c r="K1473">
        <f>demanda!D1471</f>
        <v>3</v>
      </c>
      <c r="L1473">
        <f>demanda!I1471</f>
        <v>11</v>
      </c>
      <c r="M1473">
        <v>6.5249082097586548</v>
      </c>
      <c r="N1473">
        <f t="shared" si="176"/>
        <v>4.4750917902413452</v>
      </c>
      <c r="O1473">
        <v>1.3734589687128761E-3</v>
      </c>
      <c r="P1473">
        <f t="shared" si="177"/>
        <v>0.4508988663769925</v>
      </c>
      <c r="Q1473">
        <f t="shared" si="178"/>
        <v>98.543028023320858</v>
      </c>
      <c r="R1473">
        <f t="shared" si="179"/>
        <v>0.45111518275893658</v>
      </c>
      <c r="S1473">
        <f t="shared" si="180"/>
        <v>0.65195750576320555</v>
      </c>
      <c r="T1473">
        <f t="shared" si="181"/>
        <v>1.4000313870442385E-4</v>
      </c>
      <c r="U1473">
        <f t="shared" si="182"/>
        <v>1.6729915084659874E-2</v>
      </c>
    </row>
    <row r="1474" spans="10:21" x14ac:dyDescent="0.35">
      <c r="J1474">
        <f t="shared" si="183"/>
        <v>1471</v>
      </c>
      <c r="K1474">
        <f>demanda!D1472</f>
        <v>0</v>
      </c>
      <c r="L1474">
        <f>demanda!I1472</f>
        <v>22</v>
      </c>
      <c r="M1474">
        <v>14.416809279416043</v>
      </c>
      <c r="N1474">
        <f t="shared" si="176"/>
        <v>7.583190720583957</v>
      </c>
      <c r="O1474">
        <v>7.4087557083441532E-4</v>
      </c>
      <c r="P1474">
        <f t="shared" si="177"/>
        <v>0.76406300914051917</v>
      </c>
      <c r="Q1474">
        <f t="shared" si="178"/>
        <v>98.523479834000298</v>
      </c>
      <c r="R1474">
        <f t="shared" si="179"/>
        <v>0.76426337212539786</v>
      </c>
      <c r="S1474">
        <f t="shared" si="180"/>
        <v>0.44480426948631324</v>
      </c>
      <c r="T1474">
        <f t="shared" si="181"/>
        <v>2.1657951813284224E-4</v>
      </c>
      <c r="U1474">
        <f t="shared" si="182"/>
        <v>2.081021764587964E-2</v>
      </c>
    </row>
    <row r="1475" spans="10:21" x14ac:dyDescent="0.35">
      <c r="J1475">
        <f t="shared" si="183"/>
        <v>1472</v>
      </c>
      <c r="K1475">
        <f>demanda!D1473</f>
        <v>0</v>
      </c>
      <c r="L1475">
        <f>demanda!I1473</f>
        <v>13</v>
      </c>
      <c r="M1475">
        <v>14.416809279416043</v>
      </c>
      <c r="N1475">
        <f t="shared" si="176"/>
        <v>-1.416809279416043</v>
      </c>
      <c r="O1475">
        <v>7.4087557083441532E-4</v>
      </c>
      <c r="P1475">
        <f t="shared" si="177"/>
        <v>-0.14275409933583605</v>
      </c>
      <c r="Q1475">
        <f t="shared" si="178"/>
        <v>98.552436340855238</v>
      </c>
      <c r="R1475">
        <f t="shared" si="179"/>
        <v>-0.14277055533334676</v>
      </c>
      <c r="S1475">
        <f t="shared" si="180"/>
        <v>0.88648638054980111</v>
      </c>
      <c r="T1475">
        <f t="shared" si="181"/>
        <v>7.5602509372950483E-6</v>
      </c>
      <c r="U1475">
        <f t="shared" si="182"/>
        <v>-3.8875163173756836E-3</v>
      </c>
    </row>
    <row r="1476" spans="10:21" x14ac:dyDescent="0.35">
      <c r="J1476">
        <f t="shared" si="183"/>
        <v>1473</v>
      </c>
      <c r="K1476">
        <f>demanda!D1474</f>
        <v>0</v>
      </c>
      <c r="L1476">
        <f>demanda!I1474</f>
        <v>6</v>
      </c>
      <c r="M1476">
        <v>14.416809279416043</v>
      </c>
      <c r="N1476">
        <f t="shared" si="176"/>
        <v>-8.416809279416043</v>
      </c>
      <c r="O1476">
        <v>7.4087557083441532E-4</v>
      </c>
      <c r="P1476">
        <f t="shared" si="177"/>
        <v>-0.84805629481744571</v>
      </c>
      <c r="Q1476">
        <f t="shared" si="178"/>
        <v>98.51652061294196</v>
      </c>
      <c r="R1476">
        <f t="shared" si="179"/>
        <v>-0.8483086443975183</v>
      </c>
      <c r="S1476">
        <f t="shared" si="180"/>
        <v>0.39637190285902191</v>
      </c>
      <c r="T1476">
        <f t="shared" si="181"/>
        <v>2.6681386764022222E-4</v>
      </c>
      <c r="U1476">
        <f t="shared" si="182"/>
        <v>-2.3098696293268058E-2</v>
      </c>
    </row>
    <row r="1477" spans="10:21" x14ac:dyDescent="0.35">
      <c r="J1477">
        <f t="shared" si="183"/>
        <v>1474</v>
      </c>
      <c r="K1477">
        <f>demanda!D1475</f>
        <v>2</v>
      </c>
      <c r="L1477">
        <f>demanda!I1475</f>
        <v>3</v>
      </c>
      <c r="M1477">
        <v>9.1555418996444509</v>
      </c>
      <c r="N1477">
        <f t="shared" ref="N1477:N1540" si="184">L1477-M1477</f>
        <v>-6.1555418996444509</v>
      </c>
      <c r="O1477">
        <v>7.3144910189317154E-4</v>
      </c>
      <c r="P1477">
        <f t="shared" ref="P1477:P1540" si="185">N1477/SQRT($X$6)</f>
        <v>-0.62021674517118131</v>
      </c>
      <c r="Q1477">
        <f t="shared" ref="Q1477:Q1540" si="186">($X$6-N1477^2/((1-O1477)*$X$5))*$X$5/($X$5-1)</f>
        <v>98.533713924458709</v>
      </c>
      <c r="R1477">
        <f t="shared" ref="R1477:R1540" si="187">N1477/SQRT(Q1477*(1-O1477))</f>
        <v>-0.62034424251421916</v>
      </c>
      <c r="S1477">
        <f t="shared" ref="S1477:S1540" si="188">_xlfn.T.DIST.2T(ABS(R1477),$X$5)</f>
        <v>0.53510483257501296</v>
      </c>
      <c r="T1477">
        <f t="shared" ref="T1477:T1540" si="189">(N1477^2/$X$6)*(O1477/(1-O1477)^2)/($X$7+1)</f>
        <v>1.4088885884323287E-4</v>
      </c>
      <c r="U1477">
        <f t="shared" ref="U1477:U1540" si="190">R1477*SQRT(O1477/(1-O1477))</f>
        <v>-1.6783545165498539E-2</v>
      </c>
    </row>
    <row r="1478" spans="10:21" x14ac:dyDescent="0.35">
      <c r="J1478">
        <f t="shared" ref="J1478:J1541" si="191">J1477+1</f>
        <v>1475</v>
      </c>
      <c r="K1478">
        <f>demanda!D1476</f>
        <v>2</v>
      </c>
      <c r="L1478">
        <f>demanda!I1476</f>
        <v>2</v>
      </c>
      <c r="M1478">
        <v>9.1555418996444509</v>
      </c>
      <c r="N1478">
        <f t="shared" si="184"/>
        <v>-7.1555418996444509</v>
      </c>
      <c r="O1478">
        <v>7.3144910189317154E-4</v>
      </c>
      <c r="P1478">
        <f t="shared" si="185"/>
        <v>-0.72097420166855408</v>
      </c>
      <c r="Q1478">
        <f t="shared" si="186"/>
        <v>98.526768759022602</v>
      </c>
      <c r="R1478">
        <f t="shared" si="187"/>
        <v>-0.72114782718324122</v>
      </c>
      <c r="S1478">
        <f t="shared" si="188"/>
        <v>0.47090641241117204</v>
      </c>
      <c r="T1478">
        <f t="shared" si="189"/>
        <v>1.9038342084795563E-4</v>
      </c>
      <c r="U1478">
        <f t="shared" si="190"/>
        <v>-1.9510807546913981E-2</v>
      </c>
    </row>
    <row r="1479" spans="10:21" x14ac:dyDescent="0.35">
      <c r="J1479">
        <f t="shared" si="191"/>
        <v>1476</v>
      </c>
      <c r="K1479">
        <f>demanda!D1477</f>
        <v>0</v>
      </c>
      <c r="L1479">
        <f>demanda!I1477</f>
        <v>20</v>
      </c>
      <c r="M1479">
        <v>14.416809279416043</v>
      </c>
      <c r="N1479">
        <f t="shared" si="184"/>
        <v>5.583190720583957</v>
      </c>
      <c r="O1479">
        <v>7.4087557083441532E-4</v>
      </c>
      <c r="P1479">
        <f t="shared" si="185"/>
        <v>0.56254809614577361</v>
      </c>
      <c r="Q1479">
        <f t="shared" si="186"/>
        <v>98.537219295234792</v>
      </c>
      <c r="R1479">
        <f t="shared" si="187"/>
        <v>0.56265638426953379</v>
      </c>
      <c r="S1479">
        <f t="shared" si="188"/>
        <v>0.57373461200688847</v>
      </c>
      <c r="T1479">
        <f t="shared" si="189"/>
        <v>1.1740277235750991E-4</v>
      </c>
      <c r="U1479">
        <f t="shared" si="190"/>
        <v>1.5320637156704552E-2</v>
      </c>
    </row>
    <row r="1480" spans="10:21" x14ac:dyDescent="0.35">
      <c r="J1480">
        <f t="shared" si="191"/>
        <v>1477</v>
      </c>
      <c r="K1480">
        <f>demanda!D1478</f>
        <v>0</v>
      </c>
      <c r="L1480">
        <f>demanda!I1478</f>
        <v>3</v>
      </c>
      <c r="M1480">
        <v>14.416809279416043</v>
      </c>
      <c r="N1480">
        <f t="shared" si="184"/>
        <v>-11.416809279416043</v>
      </c>
      <c r="O1480">
        <v>7.4087557083441532E-4</v>
      </c>
      <c r="P1480">
        <f t="shared" si="185"/>
        <v>-1.150328664309564</v>
      </c>
      <c r="Q1480">
        <f t="shared" si="186"/>
        <v>98.485475268264722</v>
      </c>
      <c r="R1480">
        <f t="shared" si="187"/>
        <v>-1.1508523061099405</v>
      </c>
      <c r="S1480">
        <f t="shared" si="188"/>
        <v>0.24993638008158123</v>
      </c>
      <c r="T1480">
        <f t="shared" si="189"/>
        <v>4.9091117422407117E-4</v>
      </c>
      <c r="U1480">
        <f t="shared" si="190"/>
        <v>-3.1336693399040466E-2</v>
      </c>
    </row>
    <row r="1481" spans="10:21" x14ac:dyDescent="0.35">
      <c r="J1481">
        <f t="shared" si="191"/>
        <v>1478</v>
      </c>
      <c r="K1481">
        <f>demanda!D1479</f>
        <v>0</v>
      </c>
      <c r="L1481">
        <f>demanda!I1479</f>
        <v>3</v>
      </c>
      <c r="M1481">
        <v>14.416809279416043</v>
      </c>
      <c r="N1481">
        <f t="shared" si="184"/>
        <v>-11.416809279416043</v>
      </c>
      <c r="O1481">
        <v>7.4087557083441532E-4</v>
      </c>
      <c r="P1481">
        <f t="shared" si="185"/>
        <v>-1.150328664309564</v>
      </c>
      <c r="Q1481">
        <f t="shared" si="186"/>
        <v>98.485475268264722</v>
      </c>
      <c r="R1481">
        <f t="shared" si="187"/>
        <v>-1.1508523061099405</v>
      </c>
      <c r="S1481">
        <f t="shared" si="188"/>
        <v>0.24993638008158123</v>
      </c>
      <c r="T1481">
        <f t="shared" si="189"/>
        <v>4.9091117422407117E-4</v>
      </c>
      <c r="U1481">
        <f t="shared" si="190"/>
        <v>-3.1336693399040466E-2</v>
      </c>
    </row>
    <row r="1482" spans="10:21" x14ac:dyDescent="0.35">
      <c r="J1482">
        <f t="shared" si="191"/>
        <v>1479</v>
      </c>
      <c r="K1482">
        <f>demanda!D1480</f>
        <v>2</v>
      </c>
      <c r="L1482">
        <f>demanda!I1480</f>
        <v>3</v>
      </c>
      <c r="M1482">
        <v>9.1555418996444509</v>
      </c>
      <c r="N1482">
        <f t="shared" si="184"/>
        <v>-6.1555418996444509</v>
      </c>
      <c r="O1482">
        <v>7.3144910189317154E-4</v>
      </c>
      <c r="P1482">
        <f t="shared" si="185"/>
        <v>-0.62021674517118131</v>
      </c>
      <c r="Q1482">
        <f t="shared" si="186"/>
        <v>98.533713924458709</v>
      </c>
      <c r="R1482">
        <f t="shared" si="187"/>
        <v>-0.62034424251421916</v>
      </c>
      <c r="S1482">
        <f t="shared" si="188"/>
        <v>0.53510483257501296</v>
      </c>
      <c r="T1482">
        <f t="shared" si="189"/>
        <v>1.4088885884323287E-4</v>
      </c>
      <c r="U1482">
        <f t="shared" si="190"/>
        <v>-1.6783545165498539E-2</v>
      </c>
    </row>
    <row r="1483" spans="10:21" x14ac:dyDescent="0.35">
      <c r="J1483">
        <f t="shared" si="191"/>
        <v>1480</v>
      </c>
      <c r="K1483">
        <f>demanda!D1481</f>
        <v>0</v>
      </c>
      <c r="L1483">
        <f>demanda!I1481</f>
        <v>11</v>
      </c>
      <c r="M1483">
        <v>14.416809279416043</v>
      </c>
      <c r="N1483">
        <f t="shared" si="184"/>
        <v>-3.416809279416043</v>
      </c>
      <c r="O1483">
        <v>7.4087557083441532E-4</v>
      </c>
      <c r="P1483">
        <f t="shared" si="185"/>
        <v>-0.34426901233058166</v>
      </c>
      <c r="Q1483">
        <f t="shared" si="186"/>
        <v>98.547392334261005</v>
      </c>
      <c r="R1483">
        <f t="shared" si="187"/>
        <v>-0.34431750934619676</v>
      </c>
      <c r="S1483">
        <f t="shared" si="188"/>
        <v>0.73064524437297085</v>
      </c>
      <c r="T1483">
        <f t="shared" si="189"/>
        <v>4.3969841615361785E-5</v>
      </c>
      <c r="U1483">
        <f t="shared" si="190"/>
        <v>-9.3754621379472432E-3</v>
      </c>
    </row>
    <row r="1484" spans="10:21" x14ac:dyDescent="0.35">
      <c r="J1484">
        <f t="shared" si="191"/>
        <v>1481</v>
      </c>
      <c r="K1484">
        <f>demanda!D1482</f>
        <v>0</v>
      </c>
      <c r="L1484">
        <f>demanda!I1482</f>
        <v>17</v>
      </c>
      <c r="M1484">
        <v>14.416809279416043</v>
      </c>
      <c r="N1484">
        <f t="shared" si="184"/>
        <v>2.583190720583957</v>
      </c>
      <c r="O1484">
        <v>7.4087557083441532E-4</v>
      </c>
      <c r="P1484">
        <f t="shared" si="185"/>
        <v>0.26027572665365517</v>
      </c>
      <c r="Q1484">
        <f t="shared" si="186"/>
        <v>98.550002042157871</v>
      </c>
      <c r="R1484">
        <f t="shared" si="187"/>
        <v>0.26030894487816103</v>
      </c>
      <c r="S1484">
        <f t="shared" si="188"/>
        <v>0.79465340036911658</v>
      </c>
      <c r="T1484">
        <f t="shared" si="189"/>
        <v>2.5131960550094309E-5</v>
      </c>
      <c r="U1484">
        <f t="shared" si="190"/>
        <v>7.0879830116927275E-3</v>
      </c>
    </row>
    <row r="1485" spans="10:21" x14ac:dyDescent="0.35">
      <c r="J1485">
        <f t="shared" si="191"/>
        <v>1482</v>
      </c>
      <c r="K1485">
        <f>demanda!D1483</f>
        <v>1</v>
      </c>
      <c r="L1485">
        <f>demanda!I1483</f>
        <v>13</v>
      </c>
      <c r="M1485">
        <v>11.786175589530247</v>
      </c>
      <c r="N1485">
        <f t="shared" si="184"/>
        <v>1.2138244104697531</v>
      </c>
      <c r="O1485">
        <v>5.2058796926701797E-4</v>
      </c>
      <c r="P1485">
        <f t="shared" si="185"/>
        <v>0.12230186023335533</v>
      </c>
      <c r="Q1485">
        <f t="shared" si="186"/>
        <v>98.552715120685733</v>
      </c>
      <c r="R1485">
        <f t="shared" si="187"/>
        <v>0.12230230551078146</v>
      </c>
      <c r="S1485">
        <f t="shared" si="188"/>
        <v>0.90267241210292171</v>
      </c>
      <c r="T1485">
        <f t="shared" si="189"/>
        <v>3.8974679450726784E-6</v>
      </c>
      <c r="U1485">
        <f t="shared" si="190"/>
        <v>2.7912245826094769E-3</v>
      </c>
    </row>
    <row r="1486" spans="10:21" x14ac:dyDescent="0.35">
      <c r="J1486">
        <f t="shared" si="191"/>
        <v>1483</v>
      </c>
      <c r="K1486">
        <f>demanda!D1484</f>
        <v>0</v>
      </c>
      <c r="L1486">
        <f>demanda!I1484</f>
        <v>31</v>
      </c>
      <c r="M1486">
        <v>14.416809279416043</v>
      </c>
      <c r="N1486">
        <f t="shared" si="184"/>
        <v>16.583190720583957</v>
      </c>
      <c r="O1486">
        <v>7.4087557083441532E-4</v>
      </c>
      <c r="P1486">
        <f t="shared" si="185"/>
        <v>1.6708801176168744</v>
      </c>
      <c r="Q1486">
        <f t="shared" si="186"/>
        <v>98.409997721916127</v>
      </c>
      <c r="R1486">
        <f t="shared" si="187"/>
        <v>1.672281646486445</v>
      </c>
      <c r="S1486">
        <f t="shared" si="188"/>
        <v>9.4631812115691313E-2</v>
      </c>
      <c r="T1486">
        <f t="shared" si="189"/>
        <v>1.0357372993686853E-3</v>
      </c>
      <c r="U1486">
        <f t="shared" si="190"/>
        <v>4.5534754507223614E-2</v>
      </c>
    </row>
    <row r="1487" spans="10:21" x14ac:dyDescent="0.35">
      <c r="J1487">
        <f t="shared" si="191"/>
        <v>1484</v>
      </c>
      <c r="K1487">
        <f>demanda!D1485</f>
        <v>0</v>
      </c>
      <c r="L1487">
        <f>demanda!I1485</f>
        <v>6</v>
      </c>
      <c r="M1487">
        <v>14.416809279416043</v>
      </c>
      <c r="N1487">
        <f t="shared" si="184"/>
        <v>-8.416809279416043</v>
      </c>
      <c r="O1487">
        <v>7.4087557083441532E-4</v>
      </c>
      <c r="P1487">
        <f t="shared" si="185"/>
        <v>-0.84805629481744571</v>
      </c>
      <c r="Q1487">
        <f t="shared" si="186"/>
        <v>98.51652061294196</v>
      </c>
      <c r="R1487">
        <f t="shared" si="187"/>
        <v>-0.8483086443975183</v>
      </c>
      <c r="S1487">
        <f t="shared" si="188"/>
        <v>0.39637190285902191</v>
      </c>
      <c r="T1487">
        <f t="shared" si="189"/>
        <v>2.6681386764022222E-4</v>
      </c>
      <c r="U1487">
        <f t="shared" si="190"/>
        <v>-2.3098696293268058E-2</v>
      </c>
    </row>
    <row r="1488" spans="10:21" x14ac:dyDescent="0.35">
      <c r="J1488">
        <f t="shared" si="191"/>
        <v>1485</v>
      </c>
      <c r="K1488">
        <f>demanda!D1486</f>
        <v>0</v>
      </c>
      <c r="L1488">
        <f>demanda!I1486</f>
        <v>3</v>
      </c>
      <c r="M1488">
        <v>14.416809279416043</v>
      </c>
      <c r="N1488">
        <f t="shared" si="184"/>
        <v>-11.416809279416043</v>
      </c>
      <c r="O1488">
        <v>7.4087557083441532E-4</v>
      </c>
      <c r="P1488">
        <f t="shared" si="185"/>
        <v>-1.150328664309564</v>
      </c>
      <c r="Q1488">
        <f t="shared" si="186"/>
        <v>98.485475268264722</v>
      </c>
      <c r="R1488">
        <f t="shared" si="187"/>
        <v>-1.1508523061099405</v>
      </c>
      <c r="S1488">
        <f t="shared" si="188"/>
        <v>0.24993638008158123</v>
      </c>
      <c r="T1488">
        <f t="shared" si="189"/>
        <v>4.9091117422407117E-4</v>
      </c>
      <c r="U1488">
        <f t="shared" si="190"/>
        <v>-3.1336693399040466E-2</v>
      </c>
    </row>
    <row r="1489" spans="10:21" x14ac:dyDescent="0.35">
      <c r="J1489">
        <f t="shared" si="191"/>
        <v>1486</v>
      </c>
      <c r="K1489">
        <f>demanda!D1487</f>
        <v>2</v>
      </c>
      <c r="L1489">
        <f>demanda!I1487</f>
        <v>13</v>
      </c>
      <c r="M1489">
        <v>9.1555418996444509</v>
      </c>
      <c r="N1489">
        <f t="shared" si="184"/>
        <v>3.8444581003555491</v>
      </c>
      <c r="O1489">
        <v>7.3144910189317154E-4</v>
      </c>
      <c r="P1489">
        <f t="shared" si="185"/>
        <v>0.38735781980254674</v>
      </c>
      <c r="Q1489">
        <f t="shared" si="186"/>
        <v>98.545772190761269</v>
      </c>
      <c r="R1489">
        <f t="shared" si="187"/>
        <v>0.3874137440140889</v>
      </c>
      <c r="S1489">
        <f t="shared" si="188"/>
        <v>0.69849289283451077</v>
      </c>
      <c r="T1489">
        <f t="shared" si="189"/>
        <v>5.4955900921259929E-5</v>
      </c>
      <c r="U1489">
        <f t="shared" si="190"/>
        <v>1.0481561082992258E-2</v>
      </c>
    </row>
    <row r="1490" spans="10:21" x14ac:dyDescent="0.35">
      <c r="J1490">
        <f t="shared" si="191"/>
        <v>1487</v>
      </c>
      <c r="K1490">
        <f>demanda!D1488</f>
        <v>0</v>
      </c>
      <c r="L1490">
        <f>demanda!I1488</f>
        <v>4</v>
      </c>
      <c r="M1490">
        <v>14.416809279416043</v>
      </c>
      <c r="N1490">
        <f t="shared" si="184"/>
        <v>-10.416809279416043</v>
      </c>
      <c r="O1490">
        <v>7.4087557083441532E-4</v>
      </c>
      <c r="P1490">
        <f t="shared" si="185"/>
        <v>-1.0495712078121913</v>
      </c>
      <c r="Q1490">
        <f t="shared" si="186"/>
        <v>98.49686724248096</v>
      </c>
      <c r="R1490">
        <f t="shared" si="187"/>
        <v>-1.049988258586362</v>
      </c>
      <c r="S1490">
        <f t="shared" si="188"/>
        <v>0.29385572056513598</v>
      </c>
      <c r="T1490">
        <f t="shared" si="189"/>
        <v>4.0867949778204384E-4</v>
      </c>
      <c r="U1490">
        <f t="shared" si="190"/>
        <v>-2.8590254333443563E-2</v>
      </c>
    </row>
    <row r="1491" spans="10:21" x14ac:dyDescent="0.35">
      <c r="J1491">
        <f t="shared" si="191"/>
        <v>1488</v>
      </c>
      <c r="K1491">
        <f>demanda!D1489</f>
        <v>6</v>
      </c>
      <c r="L1491">
        <f>demanda!I1489</f>
        <v>2</v>
      </c>
      <c r="M1491">
        <v>-1.3669928598987333</v>
      </c>
      <c r="N1491">
        <f t="shared" si="184"/>
        <v>3.3669928598987333</v>
      </c>
      <c r="O1491">
        <v>5.8863809743332956E-3</v>
      </c>
      <c r="P1491">
        <f t="shared" si="185"/>
        <v>0.33924963660821145</v>
      </c>
      <c r="Q1491">
        <f t="shared" si="186"/>
        <v>98.547538045230482</v>
      </c>
      <c r="R1491">
        <f t="shared" si="187"/>
        <v>0.34017413892280718</v>
      </c>
      <c r="S1491">
        <f t="shared" si="188"/>
        <v>0.73376262303153728</v>
      </c>
      <c r="T1491">
        <f t="shared" si="189"/>
        <v>3.4275603188736416E-4</v>
      </c>
      <c r="U1491">
        <f t="shared" si="190"/>
        <v>2.617625216767119E-2</v>
      </c>
    </row>
    <row r="1492" spans="10:21" x14ac:dyDescent="0.35">
      <c r="J1492">
        <f t="shared" si="191"/>
        <v>1489</v>
      </c>
      <c r="K1492">
        <f>demanda!D1490</f>
        <v>2</v>
      </c>
      <c r="L1492">
        <f>demanda!I1490</f>
        <v>3</v>
      </c>
      <c r="M1492">
        <v>9.1555418996444509</v>
      </c>
      <c r="N1492">
        <f t="shared" si="184"/>
        <v>-6.1555418996444509</v>
      </c>
      <c r="O1492">
        <v>7.3144910189317154E-4</v>
      </c>
      <c r="P1492">
        <f t="shared" si="185"/>
        <v>-0.62021674517118131</v>
      </c>
      <c r="Q1492">
        <f t="shared" si="186"/>
        <v>98.533713924458709</v>
      </c>
      <c r="R1492">
        <f t="shared" si="187"/>
        <v>-0.62034424251421916</v>
      </c>
      <c r="S1492">
        <f t="shared" si="188"/>
        <v>0.53510483257501296</v>
      </c>
      <c r="T1492">
        <f t="shared" si="189"/>
        <v>1.4088885884323287E-4</v>
      </c>
      <c r="U1492">
        <f t="shared" si="190"/>
        <v>-1.6783545165498539E-2</v>
      </c>
    </row>
    <row r="1493" spans="10:21" x14ac:dyDescent="0.35">
      <c r="J1493">
        <f t="shared" si="191"/>
        <v>1490</v>
      </c>
      <c r="K1493">
        <f>demanda!D1491</f>
        <v>1</v>
      </c>
      <c r="L1493">
        <f>demanda!I1491</f>
        <v>9</v>
      </c>
      <c r="M1493">
        <v>11.786175589530247</v>
      </c>
      <c r="N1493">
        <f t="shared" si="184"/>
        <v>-2.7861755895302469</v>
      </c>
      <c r="O1493">
        <v>5.2058796926701797E-4</v>
      </c>
      <c r="P1493">
        <f t="shared" si="185"/>
        <v>-0.2807279657561359</v>
      </c>
      <c r="Q1493">
        <f t="shared" si="186"/>
        <v>98.549434265310296</v>
      </c>
      <c r="R1493">
        <f t="shared" si="187"/>
        <v>-0.2807336607336009</v>
      </c>
      <c r="S1493">
        <f t="shared" si="188"/>
        <v>0.77894495126310248</v>
      </c>
      <c r="T1493">
        <f t="shared" si="189"/>
        <v>2.0534672635962656E-5</v>
      </c>
      <c r="U1493">
        <f t="shared" si="190"/>
        <v>-6.4069985576559628E-3</v>
      </c>
    </row>
    <row r="1494" spans="10:21" x14ac:dyDescent="0.35">
      <c r="J1494">
        <f t="shared" si="191"/>
        <v>1491</v>
      </c>
      <c r="K1494">
        <f>demanda!D1492</f>
        <v>1</v>
      </c>
      <c r="L1494">
        <f>demanda!I1492</f>
        <v>2</v>
      </c>
      <c r="M1494">
        <v>11.786175589530247</v>
      </c>
      <c r="N1494">
        <f t="shared" si="184"/>
        <v>-9.7861755895302469</v>
      </c>
      <c r="O1494">
        <v>5.2058796926701797E-4</v>
      </c>
      <c r="P1494">
        <f t="shared" si="185"/>
        <v>-0.98603016123774556</v>
      </c>
      <c r="Q1494">
        <f t="shared" si="186"/>
        <v>98.503525872599127</v>
      </c>
      <c r="R1494">
        <f t="shared" si="187"/>
        <v>-0.98627991600190701</v>
      </c>
      <c r="S1494">
        <f t="shared" si="188"/>
        <v>0.32412010689798754</v>
      </c>
      <c r="T1494">
        <f t="shared" si="189"/>
        <v>2.5333595131680776E-4</v>
      </c>
      <c r="U1494">
        <f t="shared" si="190"/>
        <v>-2.2509213831916283E-2</v>
      </c>
    </row>
    <row r="1495" spans="10:21" x14ac:dyDescent="0.35">
      <c r="J1495">
        <f t="shared" si="191"/>
        <v>1492</v>
      </c>
      <c r="K1495">
        <f>demanda!D1493</f>
        <v>0</v>
      </c>
      <c r="L1495">
        <f>demanda!I1493</f>
        <v>5</v>
      </c>
      <c r="M1495">
        <v>14.416809279416043</v>
      </c>
      <c r="N1495">
        <f t="shared" si="184"/>
        <v>-9.416809279416043</v>
      </c>
      <c r="O1495">
        <v>7.4087557083441532E-4</v>
      </c>
      <c r="P1495">
        <f t="shared" si="185"/>
        <v>-0.94881375131481849</v>
      </c>
      <c r="Q1495">
        <f t="shared" si="186"/>
        <v>98.507215690706701</v>
      </c>
      <c r="R1495">
        <f t="shared" si="187"/>
        <v>-0.94914090693055775</v>
      </c>
      <c r="S1495">
        <f t="shared" si="188"/>
        <v>0.34266846368408377</v>
      </c>
      <c r="T1495">
        <f t="shared" si="189"/>
        <v>3.339803955874275E-4</v>
      </c>
      <c r="U1495">
        <f t="shared" si="190"/>
        <v>-2.5844269881602652E-2</v>
      </c>
    </row>
    <row r="1496" spans="10:21" x14ac:dyDescent="0.35">
      <c r="J1496">
        <f t="shared" si="191"/>
        <v>1493</v>
      </c>
      <c r="K1496">
        <f>demanda!D1494</f>
        <v>1</v>
      </c>
      <c r="L1496">
        <f>demanda!I1494</f>
        <v>11</v>
      </c>
      <c r="M1496">
        <v>11.786175589530247</v>
      </c>
      <c r="N1496">
        <f t="shared" si="184"/>
        <v>-0.78617558953024691</v>
      </c>
      <c r="O1496">
        <v>5.2058796926701797E-4</v>
      </c>
      <c r="P1496">
        <f t="shared" si="185"/>
        <v>-7.9213052761390276E-2</v>
      </c>
      <c r="Q1496">
        <f t="shared" si="186"/>
        <v>98.553161284987851</v>
      </c>
      <c r="R1496">
        <f t="shared" si="187"/>
        <v>-7.9213161855515926E-2</v>
      </c>
      <c r="S1496">
        <f t="shared" si="188"/>
        <v>0.93687133485398588</v>
      </c>
      <c r="T1496">
        <f t="shared" si="189"/>
        <v>1.6349705257494771E-6</v>
      </c>
      <c r="U1496">
        <f t="shared" si="190"/>
        <v>-1.8078295720913319E-3</v>
      </c>
    </row>
    <row r="1497" spans="10:21" x14ac:dyDescent="0.35">
      <c r="J1497">
        <f t="shared" si="191"/>
        <v>1494</v>
      </c>
      <c r="K1497">
        <f>demanda!D1495</f>
        <v>0</v>
      </c>
      <c r="L1497">
        <f>demanda!I1495</f>
        <v>21</v>
      </c>
      <c r="M1497">
        <v>14.416809279416043</v>
      </c>
      <c r="N1497">
        <f t="shared" si="184"/>
        <v>6.583190720583957</v>
      </c>
      <c r="O1497">
        <v>7.4087557083441532E-4</v>
      </c>
      <c r="P1497">
        <f t="shared" si="185"/>
        <v>0.66330555264314639</v>
      </c>
      <c r="Q1497">
        <f t="shared" si="186"/>
        <v>98.530871327612786</v>
      </c>
      <c r="R1497">
        <f t="shared" si="187"/>
        <v>0.66345460704039183</v>
      </c>
      <c r="S1497">
        <f t="shared" si="188"/>
        <v>0.507119133075143</v>
      </c>
      <c r="T1497">
        <f t="shared" si="189"/>
        <v>1.6322485812147056E-4</v>
      </c>
      <c r="U1497">
        <f t="shared" si="190"/>
        <v>1.8065283872333419E-2</v>
      </c>
    </row>
    <row r="1498" spans="10:21" x14ac:dyDescent="0.35">
      <c r="J1498">
        <f t="shared" si="191"/>
        <v>1495</v>
      </c>
      <c r="K1498">
        <f>demanda!D1496</f>
        <v>0</v>
      </c>
      <c r="L1498">
        <f>demanda!I1496</f>
        <v>10</v>
      </c>
      <c r="M1498">
        <v>14.416809279416043</v>
      </c>
      <c r="N1498">
        <f t="shared" si="184"/>
        <v>-4.416809279416043</v>
      </c>
      <c r="O1498">
        <v>7.4087557083441532E-4</v>
      </c>
      <c r="P1498">
        <f t="shared" si="185"/>
        <v>-0.44502646882795449</v>
      </c>
      <c r="Q1498">
        <f t="shared" si="186"/>
        <v>98.543305041978172</v>
      </c>
      <c r="R1498">
        <f t="shared" si="187"/>
        <v>-0.44509838991165818</v>
      </c>
      <c r="S1498">
        <f t="shared" si="188"/>
        <v>0.65629885256814913</v>
      </c>
      <c r="T1498">
        <f t="shared" si="189"/>
        <v>7.3473498325511761E-5</v>
      </c>
      <c r="U1498">
        <f t="shared" si="190"/>
        <v>-1.2119636640616644E-2</v>
      </c>
    </row>
    <row r="1499" spans="10:21" x14ac:dyDescent="0.35">
      <c r="J1499">
        <f t="shared" si="191"/>
        <v>1496</v>
      </c>
      <c r="K1499">
        <f>demanda!D1497</f>
        <v>0</v>
      </c>
      <c r="L1499">
        <f>demanda!I1497</f>
        <v>13</v>
      </c>
      <c r="M1499">
        <v>14.416809279416043</v>
      </c>
      <c r="N1499">
        <f t="shared" si="184"/>
        <v>-1.416809279416043</v>
      </c>
      <c r="O1499">
        <v>7.4087557083441532E-4</v>
      </c>
      <c r="P1499">
        <f t="shared" si="185"/>
        <v>-0.14275409933583605</v>
      </c>
      <c r="Q1499">
        <f t="shared" si="186"/>
        <v>98.552436340855238</v>
      </c>
      <c r="R1499">
        <f t="shared" si="187"/>
        <v>-0.14277055533334676</v>
      </c>
      <c r="S1499">
        <f t="shared" si="188"/>
        <v>0.88648638054980111</v>
      </c>
      <c r="T1499">
        <f t="shared" si="189"/>
        <v>7.5602509372950483E-6</v>
      </c>
      <c r="U1499">
        <f t="shared" si="190"/>
        <v>-3.8875163173756836E-3</v>
      </c>
    </row>
    <row r="1500" spans="10:21" x14ac:dyDescent="0.35">
      <c r="J1500">
        <f t="shared" si="191"/>
        <v>1497</v>
      </c>
      <c r="K1500">
        <f>demanda!D1498</f>
        <v>0</v>
      </c>
      <c r="L1500">
        <f>demanda!I1498</f>
        <v>16</v>
      </c>
      <c r="M1500">
        <v>14.416809279416043</v>
      </c>
      <c r="N1500">
        <f t="shared" si="184"/>
        <v>1.583190720583957</v>
      </c>
      <c r="O1500">
        <v>7.4087557083441532E-4</v>
      </c>
      <c r="P1500">
        <f t="shared" si="185"/>
        <v>0.15951827015628237</v>
      </c>
      <c r="Q1500">
        <f t="shared" si="186"/>
        <v>98.552175905817947</v>
      </c>
      <c r="R1500">
        <f t="shared" si="187"/>
        <v>0.1595368694422851</v>
      </c>
      <c r="S1500">
        <f t="shared" si="188"/>
        <v>0.87326270170878273</v>
      </c>
      <c r="T1500">
        <f t="shared" si="189"/>
        <v>9.440171775777902E-6</v>
      </c>
      <c r="U1500">
        <f t="shared" si="190"/>
        <v>4.3440482649370034E-3</v>
      </c>
    </row>
    <row r="1501" spans="10:21" x14ac:dyDescent="0.35">
      <c r="J1501">
        <f t="shared" si="191"/>
        <v>1498</v>
      </c>
      <c r="K1501">
        <f>demanda!D1499</f>
        <v>1</v>
      </c>
      <c r="L1501">
        <f>demanda!I1499</f>
        <v>26</v>
      </c>
      <c r="M1501">
        <v>11.786175589530247</v>
      </c>
      <c r="N1501">
        <f t="shared" si="184"/>
        <v>14.213824410469753</v>
      </c>
      <c r="O1501">
        <v>5.2058796926701797E-4</v>
      </c>
      <c r="P1501">
        <f t="shared" si="185"/>
        <v>1.4321487946992018</v>
      </c>
      <c r="Q1501">
        <f t="shared" si="186"/>
        <v>98.448093693217885</v>
      </c>
      <c r="R1501">
        <f t="shared" si="187"/>
        <v>1.4329147864842919</v>
      </c>
      <c r="S1501">
        <f t="shared" si="188"/>
        <v>0.15204507516710383</v>
      </c>
      <c r="T1501">
        <f t="shared" si="189"/>
        <v>5.3443231470312277E-4</v>
      </c>
      <c r="U1501">
        <f t="shared" si="190"/>
        <v>3.270246591113514E-2</v>
      </c>
    </row>
    <row r="1502" spans="10:21" x14ac:dyDescent="0.35">
      <c r="J1502">
        <f t="shared" si="191"/>
        <v>1499</v>
      </c>
      <c r="K1502">
        <f>demanda!D1500</f>
        <v>0</v>
      </c>
      <c r="L1502">
        <f>demanda!I1500</f>
        <v>70</v>
      </c>
      <c r="M1502">
        <v>14.416809279416043</v>
      </c>
      <c r="N1502">
        <f t="shared" si="184"/>
        <v>55.583190720583957</v>
      </c>
      <c r="O1502">
        <v>7.4087557083441532E-4</v>
      </c>
      <c r="P1502">
        <f t="shared" si="185"/>
        <v>5.6004209210144138</v>
      </c>
      <c r="Q1502">
        <f t="shared" si="186"/>
        <v>96.941501575791463</v>
      </c>
      <c r="R1502">
        <f t="shared" si="187"/>
        <v>5.6474128940519668</v>
      </c>
      <c r="S1502">
        <f t="shared" si="188"/>
        <v>1.8720748693810363E-8</v>
      </c>
      <c r="T1502">
        <f t="shared" si="189"/>
        <v>1.1635910513634093E-2</v>
      </c>
      <c r="U1502">
        <f t="shared" si="190"/>
        <v>0.1537740728494385</v>
      </c>
    </row>
    <row r="1503" spans="10:21" x14ac:dyDescent="0.35">
      <c r="J1503">
        <f t="shared" si="191"/>
        <v>1500</v>
      </c>
      <c r="K1503">
        <f>demanda!D1501</f>
        <v>3</v>
      </c>
      <c r="L1503">
        <f>demanda!I1501</f>
        <v>22</v>
      </c>
      <c r="M1503">
        <v>6.5249082097586548</v>
      </c>
      <c r="N1503">
        <f t="shared" si="184"/>
        <v>15.475091790241345</v>
      </c>
      <c r="O1503">
        <v>1.3734589687128761E-3</v>
      </c>
      <c r="P1503">
        <f t="shared" si="185"/>
        <v>1.5592308878480934</v>
      </c>
      <c r="Q1503">
        <f t="shared" si="186"/>
        <v>98.428453548727063</v>
      </c>
      <c r="R1503">
        <f t="shared" si="187"/>
        <v>1.5608865941635277</v>
      </c>
      <c r="S1503">
        <f t="shared" si="188"/>
        <v>0.11871539886831325</v>
      </c>
      <c r="T1503">
        <f t="shared" si="189"/>
        <v>1.6741730405528119E-3</v>
      </c>
      <c r="U1503">
        <f t="shared" si="190"/>
        <v>5.7886546884621491E-2</v>
      </c>
    </row>
    <row r="1504" spans="10:21" x14ac:dyDescent="0.35">
      <c r="J1504">
        <f t="shared" si="191"/>
        <v>1501</v>
      </c>
      <c r="K1504">
        <f>demanda!D1502</f>
        <v>0</v>
      </c>
      <c r="L1504">
        <f>demanda!I1502</f>
        <v>13</v>
      </c>
      <c r="M1504">
        <v>14.416809279416043</v>
      </c>
      <c r="N1504">
        <f t="shared" si="184"/>
        <v>-1.416809279416043</v>
      </c>
      <c r="O1504">
        <v>7.4087557083441532E-4</v>
      </c>
      <c r="P1504">
        <f t="shared" si="185"/>
        <v>-0.14275409933583605</v>
      </c>
      <c r="Q1504">
        <f t="shared" si="186"/>
        <v>98.552436340855238</v>
      </c>
      <c r="R1504">
        <f t="shared" si="187"/>
        <v>-0.14277055533334676</v>
      </c>
      <c r="S1504">
        <f t="shared" si="188"/>
        <v>0.88648638054980111</v>
      </c>
      <c r="T1504">
        <f t="shared" si="189"/>
        <v>7.5602509372950483E-6</v>
      </c>
      <c r="U1504">
        <f t="shared" si="190"/>
        <v>-3.8875163173756836E-3</v>
      </c>
    </row>
    <row r="1505" spans="10:21" x14ac:dyDescent="0.35">
      <c r="J1505">
        <f t="shared" si="191"/>
        <v>1502</v>
      </c>
      <c r="K1505">
        <f>demanda!D1503</f>
        <v>0</v>
      </c>
      <c r="L1505">
        <f>demanda!I1503</f>
        <v>23</v>
      </c>
      <c r="M1505">
        <v>14.416809279416043</v>
      </c>
      <c r="N1505">
        <f t="shared" si="184"/>
        <v>8.583190720583957</v>
      </c>
      <c r="O1505">
        <v>7.4087557083441532E-4</v>
      </c>
      <c r="P1505">
        <f t="shared" si="185"/>
        <v>0.86482046563789194</v>
      </c>
      <c r="Q1505">
        <f t="shared" si="186"/>
        <v>98.515044814397314</v>
      </c>
      <c r="R1505">
        <f t="shared" si="187"/>
        <v>0.86508428320119957</v>
      </c>
      <c r="S1505">
        <f t="shared" si="188"/>
        <v>0.38710065879826105</v>
      </c>
      <c r="T1505">
        <f t="shared" si="189"/>
        <v>2.7746675239162511E-4</v>
      </c>
      <c r="U1505">
        <f t="shared" si="190"/>
        <v>2.3555482144044106E-2</v>
      </c>
    </row>
    <row r="1506" spans="10:21" x14ac:dyDescent="0.35">
      <c r="J1506">
        <f t="shared" si="191"/>
        <v>1503</v>
      </c>
      <c r="K1506">
        <f>demanda!D1504</f>
        <v>0</v>
      </c>
      <c r="L1506">
        <f>demanda!I1504</f>
        <v>59</v>
      </c>
      <c r="M1506">
        <v>14.416809279416043</v>
      </c>
      <c r="N1506">
        <f t="shared" si="184"/>
        <v>44.583190720583957</v>
      </c>
      <c r="O1506">
        <v>7.4087557083441532E-4</v>
      </c>
      <c r="P1506">
        <f t="shared" si="185"/>
        <v>4.4920888995433126</v>
      </c>
      <c r="Q1506">
        <f t="shared" si="186"/>
        <v>97.516395799027862</v>
      </c>
      <c r="R1506">
        <f t="shared" si="187"/>
        <v>4.5164090062149445</v>
      </c>
      <c r="S1506">
        <f t="shared" si="188"/>
        <v>6.6720880177022446E-6</v>
      </c>
      <c r="T1506">
        <f t="shared" si="189"/>
        <v>7.4861016344835709E-3</v>
      </c>
      <c r="U1506">
        <f t="shared" si="190"/>
        <v>0.12297783437634482</v>
      </c>
    </row>
    <row r="1507" spans="10:21" x14ac:dyDescent="0.35">
      <c r="J1507">
        <f t="shared" si="191"/>
        <v>1504</v>
      </c>
      <c r="K1507">
        <f>demanda!D1505</f>
        <v>0</v>
      </c>
      <c r="L1507">
        <f>demanda!I1505</f>
        <v>6</v>
      </c>
      <c r="M1507">
        <v>14.416809279416043</v>
      </c>
      <c r="N1507">
        <f t="shared" si="184"/>
        <v>-8.416809279416043</v>
      </c>
      <c r="O1507">
        <v>7.4087557083441532E-4</v>
      </c>
      <c r="P1507">
        <f t="shared" si="185"/>
        <v>-0.84805629481744571</v>
      </c>
      <c r="Q1507">
        <f t="shared" si="186"/>
        <v>98.51652061294196</v>
      </c>
      <c r="R1507">
        <f t="shared" si="187"/>
        <v>-0.8483086443975183</v>
      </c>
      <c r="S1507">
        <f t="shared" si="188"/>
        <v>0.39637190285902191</v>
      </c>
      <c r="T1507">
        <f t="shared" si="189"/>
        <v>2.6681386764022222E-4</v>
      </c>
      <c r="U1507">
        <f t="shared" si="190"/>
        <v>-2.3098696293268058E-2</v>
      </c>
    </row>
    <row r="1508" spans="10:21" x14ac:dyDescent="0.35">
      <c r="J1508">
        <f t="shared" si="191"/>
        <v>1505</v>
      </c>
      <c r="K1508">
        <f>demanda!D1506</f>
        <v>0</v>
      </c>
      <c r="L1508">
        <f>demanda!I1506</f>
        <v>4</v>
      </c>
      <c r="M1508">
        <v>14.416809279416043</v>
      </c>
      <c r="N1508">
        <f t="shared" si="184"/>
        <v>-10.416809279416043</v>
      </c>
      <c r="O1508">
        <v>7.4087557083441532E-4</v>
      </c>
      <c r="P1508">
        <f t="shared" si="185"/>
        <v>-1.0495712078121913</v>
      </c>
      <c r="Q1508">
        <f t="shared" si="186"/>
        <v>98.49686724248096</v>
      </c>
      <c r="R1508">
        <f t="shared" si="187"/>
        <v>-1.049988258586362</v>
      </c>
      <c r="S1508">
        <f t="shared" si="188"/>
        <v>0.29385572056513598</v>
      </c>
      <c r="T1508">
        <f t="shared" si="189"/>
        <v>4.0867949778204384E-4</v>
      </c>
      <c r="U1508">
        <f t="shared" si="190"/>
        <v>-2.8590254333443563E-2</v>
      </c>
    </row>
    <row r="1509" spans="10:21" x14ac:dyDescent="0.35">
      <c r="J1509">
        <f t="shared" si="191"/>
        <v>1506</v>
      </c>
      <c r="K1509">
        <f>demanda!D1507</f>
        <v>2</v>
      </c>
      <c r="L1509">
        <f>demanda!I1507</f>
        <v>3</v>
      </c>
      <c r="M1509">
        <v>9.1555418996444509</v>
      </c>
      <c r="N1509">
        <f t="shared" si="184"/>
        <v>-6.1555418996444509</v>
      </c>
      <c r="O1509">
        <v>7.3144910189317154E-4</v>
      </c>
      <c r="P1509">
        <f t="shared" si="185"/>
        <v>-0.62021674517118131</v>
      </c>
      <c r="Q1509">
        <f t="shared" si="186"/>
        <v>98.533713924458709</v>
      </c>
      <c r="R1509">
        <f t="shared" si="187"/>
        <v>-0.62034424251421916</v>
      </c>
      <c r="S1509">
        <f t="shared" si="188"/>
        <v>0.53510483257501296</v>
      </c>
      <c r="T1509">
        <f t="shared" si="189"/>
        <v>1.4088885884323287E-4</v>
      </c>
      <c r="U1509">
        <f t="shared" si="190"/>
        <v>-1.6783545165498539E-2</v>
      </c>
    </row>
    <row r="1510" spans="10:21" x14ac:dyDescent="0.35">
      <c r="J1510">
        <f t="shared" si="191"/>
        <v>1507</v>
      </c>
      <c r="K1510">
        <f>demanda!D1508</f>
        <v>0</v>
      </c>
      <c r="L1510">
        <f>demanda!I1508</f>
        <v>16</v>
      </c>
      <c r="M1510">
        <v>14.416809279416043</v>
      </c>
      <c r="N1510">
        <f t="shared" si="184"/>
        <v>1.583190720583957</v>
      </c>
      <c r="O1510">
        <v>7.4087557083441532E-4</v>
      </c>
      <c r="P1510">
        <f t="shared" si="185"/>
        <v>0.15951827015628237</v>
      </c>
      <c r="Q1510">
        <f t="shared" si="186"/>
        <v>98.552175905817947</v>
      </c>
      <c r="R1510">
        <f t="shared" si="187"/>
        <v>0.1595368694422851</v>
      </c>
      <c r="S1510">
        <f t="shared" si="188"/>
        <v>0.87326270170878273</v>
      </c>
      <c r="T1510">
        <f t="shared" si="189"/>
        <v>9.440171775777902E-6</v>
      </c>
      <c r="U1510">
        <f t="shared" si="190"/>
        <v>4.3440482649370034E-3</v>
      </c>
    </row>
    <row r="1511" spans="10:21" x14ac:dyDescent="0.35">
      <c r="J1511">
        <f t="shared" si="191"/>
        <v>1508</v>
      </c>
      <c r="K1511">
        <f>demanda!D1509</f>
        <v>2</v>
      </c>
      <c r="L1511">
        <f>demanda!I1509</f>
        <v>4</v>
      </c>
      <c r="M1511">
        <v>9.1555418996444509</v>
      </c>
      <c r="N1511">
        <f t="shared" si="184"/>
        <v>-5.1555418996444509</v>
      </c>
      <c r="O1511">
        <v>7.3144910189317154E-4</v>
      </c>
      <c r="P1511">
        <f t="shared" si="185"/>
        <v>-0.51945928867380853</v>
      </c>
      <c r="Q1511">
        <f t="shared" si="186"/>
        <v>98.539615573748293</v>
      </c>
      <c r="R1511">
        <f t="shared" si="187"/>
        <v>-0.51955051447259837</v>
      </c>
      <c r="S1511">
        <f t="shared" si="188"/>
        <v>0.60343681513546954</v>
      </c>
      <c r="T1511">
        <f t="shared" si="189"/>
        <v>9.8830890695332879E-5</v>
      </c>
      <c r="U1511">
        <f t="shared" si="190"/>
        <v>-1.4056549457229766E-2</v>
      </c>
    </row>
    <row r="1512" spans="10:21" x14ac:dyDescent="0.35">
      <c r="J1512">
        <f t="shared" si="191"/>
        <v>1509</v>
      </c>
      <c r="K1512">
        <f>demanda!D1510</f>
        <v>2</v>
      </c>
      <c r="L1512">
        <f>demanda!I1510</f>
        <v>4</v>
      </c>
      <c r="M1512">
        <v>9.1555418996444509</v>
      </c>
      <c r="N1512">
        <f t="shared" si="184"/>
        <v>-5.1555418996444509</v>
      </c>
      <c r="O1512">
        <v>7.3144910189317154E-4</v>
      </c>
      <c r="P1512">
        <f t="shared" si="185"/>
        <v>-0.51945928867380853</v>
      </c>
      <c r="Q1512">
        <f t="shared" si="186"/>
        <v>98.539615573748293</v>
      </c>
      <c r="R1512">
        <f t="shared" si="187"/>
        <v>-0.51955051447259837</v>
      </c>
      <c r="S1512">
        <f t="shared" si="188"/>
        <v>0.60343681513546954</v>
      </c>
      <c r="T1512">
        <f t="shared" si="189"/>
        <v>9.8830890695332879E-5</v>
      </c>
      <c r="U1512">
        <f t="shared" si="190"/>
        <v>-1.4056549457229766E-2</v>
      </c>
    </row>
    <row r="1513" spans="10:21" x14ac:dyDescent="0.35">
      <c r="J1513">
        <f t="shared" si="191"/>
        <v>1510</v>
      </c>
      <c r="K1513">
        <f>demanda!D1511</f>
        <v>4</v>
      </c>
      <c r="L1513">
        <f>demanda!I1511</f>
        <v>4</v>
      </c>
      <c r="M1513">
        <v>3.8942745198728588</v>
      </c>
      <c r="N1513">
        <f t="shared" si="184"/>
        <v>0.10572548012714122</v>
      </c>
      <c r="O1513">
        <v>2.4466175697261316E-3</v>
      </c>
      <c r="P1513">
        <f t="shared" si="185"/>
        <v>1.0652630464574285E-2</v>
      </c>
      <c r="Q1513">
        <f t="shared" si="186"/>
        <v>98.553477858863673</v>
      </c>
      <c r="R1513">
        <f t="shared" si="187"/>
        <v>1.0662906866275572E-2</v>
      </c>
      <c r="S1513">
        <f t="shared" si="188"/>
        <v>0.99149350080457299</v>
      </c>
      <c r="T1513">
        <f t="shared" si="189"/>
        <v>1.3950106623021426E-7</v>
      </c>
      <c r="U1513">
        <f t="shared" si="190"/>
        <v>5.2806889669490694E-4</v>
      </c>
    </row>
    <row r="1514" spans="10:21" x14ac:dyDescent="0.35">
      <c r="J1514">
        <f t="shared" si="191"/>
        <v>1511</v>
      </c>
      <c r="K1514">
        <f>demanda!D1512</f>
        <v>3</v>
      </c>
      <c r="L1514">
        <f>demanda!I1512</f>
        <v>9</v>
      </c>
      <c r="M1514">
        <v>6.5249082097586548</v>
      </c>
      <c r="N1514">
        <f t="shared" si="184"/>
        <v>2.4750917902413452</v>
      </c>
      <c r="O1514">
        <v>1.3734589687128761E-3</v>
      </c>
      <c r="P1514">
        <f t="shared" si="185"/>
        <v>0.24938395338224692</v>
      </c>
      <c r="Q1514">
        <f t="shared" si="186"/>
        <v>98.550285314771585</v>
      </c>
      <c r="R1514">
        <f t="shared" si="187"/>
        <v>0.24949440708179485</v>
      </c>
      <c r="S1514">
        <f t="shared" si="188"/>
        <v>0.80300506873249644</v>
      </c>
      <c r="T1514">
        <f t="shared" si="189"/>
        <v>4.2826885860052115E-5</v>
      </c>
      <c r="U1514">
        <f t="shared" si="190"/>
        <v>9.2526707238015336E-3</v>
      </c>
    </row>
    <row r="1515" spans="10:21" x14ac:dyDescent="0.35">
      <c r="J1515">
        <f t="shared" si="191"/>
        <v>1512</v>
      </c>
      <c r="K1515">
        <f>demanda!D1513</f>
        <v>0</v>
      </c>
      <c r="L1515">
        <f>demanda!I1513</f>
        <v>19</v>
      </c>
      <c r="M1515">
        <v>14.416809279416043</v>
      </c>
      <c r="N1515">
        <f t="shared" si="184"/>
        <v>4.583190720583957</v>
      </c>
      <c r="O1515">
        <v>7.4087557083441532E-4</v>
      </c>
      <c r="P1515">
        <f t="shared" si="185"/>
        <v>0.46179063964840078</v>
      </c>
      <c r="Q1515">
        <f t="shared" si="186"/>
        <v>98.542523736866301</v>
      </c>
      <c r="R1515">
        <f t="shared" si="187"/>
        <v>0.46186710097403588</v>
      </c>
      <c r="S1515">
        <f t="shared" si="188"/>
        <v>0.64422898084639124</v>
      </c>
      <c r="T1515">
        <f t="shared" si="189"/>
        <v>7.9113260840960322E-5</v>
      </c>
      <c r="U1515">
        <f t="shared" si="190"/>
        <v>1.2576233855106329E-2</v>
      </c>
    </row>
    <row r="1516" spans="10:21" x14ac:dyDescent="0.35">
      <c r="J1516">
        <f t="shared" si="191"/>
        <v>1513</v>
      </c>
      <c r="K1516">
        <f>demanda!D1514</f>
        <v>2</v>
      </c>
      <c r="L1516">
        <f>demanda!I1514</f>
        <v>5</v>
      </c>
      <c r="M1516">
        <v>9.1555418996444509</v>
      </c>
      <c r="N1516">
        <f t="shared" si="184"/>
        <v>-4.1555418996444509</v>
      </c>
      <c r="O1516">
        <v>7.3144910189317154E-4</v>
      </c>
      <c r="P1516">
        <f t="shared" si="185"/>
        <v>-0.4187018321764357</v>
      </c>
      <c r="Q1516">
        <f t="shared" si="186"/>
        <v>98.544473706891381</v>
      </c>
      <c r="R1516">
        <f t="shared" si="187"/>
        <v>-0.41876504056165376</v>
      </c>
      <c r="S1516">
        <f t="shared" si="188"/>
        <v>0.67543472022045181</v>
      </c>
      <c r="T1516">
        <f t="shared" si="189"/>
        <v>6.420951640425571E-5</v>
      </c>
      <c r="U1516">
        <f t="shared" si="190"/>
        <v>-1.1329777066218591E-2</v>
      </c>
    </row>
    <row r="1517" spans="10:21" x14ac:dyDescent="0.35">
      <c r="J1517">
        <f t="shared" si="191"/>
        <v>1514</v>
      </c>
      <c r="K1517">
        <f>demanda!D1515</f>
        <v>1</v>
      </c>
      <c r="L1517">
        <f>demanda!I1515</f>
        <v>10</v>
      </c>
      <c r="M1517">
        <v>11.786175589530247</v>
      </c>
      <c r="N1517">
        <f t="shared" si="184"/>
        <v>-1.7861755895302469</v>
      </c>
      <c r="O1517">
        <v>5.2058796926701797E-4</v>
      </c>
      <c r="P1517">
        <f t="shared" si="185"/>
        <v>-0.17997050925876307</v>
      </c>
      <c r="Q1517">
        <f t="shared" si="186"/>
        <v>98.551819423146526</v>
      </c>
      <c r="R1517">
        <f t="shared" si="187"/>
        <v>-0.17997198233721365</v>
      </c>
      <c r="S1517">
        <f t="shared" si="188"/>
        <v>0.85719356553697068</v>
      </c>
      <c r="T1517">
        <f t="shared" si="189"/>
        <v>8.4395466396640202E-6</v>
      </c>
      <c r="U1517">
        <f t="shared" si="190"/>
        <v>-4.1073814527258093E-3</v>
      </c>
    </row>
    <row r="1518" spans="10:21" x14ac:dyDescent="0.35">
      <c r="J1518">
        <f t="shared" si="191"/>
        <v>1515</v>
      </c>
      <c r="K1518">
        <f>demanda!D1516</f>
        <v>0</v>
      </c>
      <c r="L1518">
        <f>demanda!I1516</f>
        <v>19</v>
      </c>
      <c r="M1518">
        <v>14.416809279416043</v>
      </c>
      <c r="N1518">
        <f t="shared" si="184"/>
        <v>4.583190720583957</v>
      </c>
      <c r="O1518">
        <v>7.4087557083441532E-4</v>
      </c>
      <c r="P1518">
        <f t="shared" si="185"/>
        <v>0.46179063964840078</v>
      </c>
      <c r="Q1518">
        <f t="shared" si="186"/>
        <v>98.542523736866301</v>
      </c>
      <c r="R1518">
        <f t="shared" si="187"/>
        <v>0.46186710097403588</v>
      </c>
      <c r="S1518">
        <f t="shared" si="188"/>
        <v>0.64422898084639124</v>
      </c>
      <c r="T1518">
        <f t="shared" si="189"/>
        <v>7.9113260840960322E-5</v>
      </c>
      <c r="U1518">
        <f t="shared" si="190"/>
        <v>1.2576233855106329E-2</v>
      </c>
    </row>
    <row r="1519" spans="10:21" x14ac:dyDescent="0.35">
      <c r="J1519">
        <f t="shared" si="191"/>
        <v>1516</v>
      </c>
      <c r="K1519">
        <f>demanda!D1517</f>
        <v>0</v>
      </c>
      <c r="L1519">
        <f>demanda!I1517</f>
        <v>4</v>
      </c>
      <c r="M1519">
        <v>14.416809279416043</v>
      </c>
      <c r="N1519">
        <f t="shared" si="184"/>
        <v>-10.416809279416043</v>
      </c>
      <c r="O1519">
        <v>7.4087557083441532E-4</v>
      </c>
      <c r="P1519">
        <f t="shared" si="185"/>
        <v>-1.0495712078121913</v>
      </c>
      <c r="Q1519">
        <f t="shared" si="186"/>
        <v>98.49686724248096</v>
      </c>
      <c r="R1519">
        <f t="shared" si="187"/>
        <v>-1.049988258586362</v>
      </c>
      <c r="S1519">
        <f t="shared" si="188"/>
        <v>0.29385572056513598</v>
      </c>
      <c r="T1519">
        <f t="shared" si="189"/>
        <v>4.0867949778204384E-4</v>
      </c>
      <c r="U1519">
        <f t="shared" si="190"/>
        <v>-2.8590254333443563E-2</v>
      </c>
    </row>
    <row r="1520" spans="10:21" x14ac:dyDescent="0.35">
      <c r="J1520">
        <f t="shared" si="191"/>
        <v>1517</v>
      </c>
      <c r="K1520">
        <f>demanda!D1518</f>
        <v>3</v>
      </c>
      <c r="L1520">
        <f>demanda!I1518</f>
        <v>4</v>
      </c>
      <c r="M1520">
        <v>6.5249082097586548</v>
      </c>
      <c r="N1520">
        <f t="shared" si="184"/>
        <v>-2.5249082097586548</v>
      </c>
      <c r="O1520">
        <v>1.3734589687128761E-3</v>
      </c>
      <c r="P1520">
        <f t="shared" si="185"/>
        <v>-0.2544033291046171</v>
      </c>
      <c r="Q1520">
        <f t="shared" si="186"/>
        <v>98.550155270625524</v>
      </c>
      <c r="R1520">
        <f t="shared" si="187"/>
        <v>-0.25451617384299874</v>
      </c>
      <c r="S1520">
        <f t="shared" si="188"/>
        <v>0.79912408038987892</v>
      </c>
      <c r="T1520">
        <f t="shared" si="189"/>
        <v>4.4568197050885148E-5</v>
      </c>
      <c r="U1520">
        <f t="shared" si="190"/>
        <v>-9.4389063786870474E-3</v>
      </c>
    </row>
    <row r="1521" spans="10:21" x14ac:dyDescent="0.35">
      <c r="J1521">
        <f t="shared" si="191"/>
        <v>1518</v>
      </c>
      <c r="K1521">
        <f>demanda!D1519</f>
        <v>1</v>
      </c>
      <c r="L1521">
        <f>demanda!I1519</f>
        <v>4</v>
      </c>
      <c r="M1521">
        <v>11.786175589530247</v>
      </c>
      <c r="N1521">
        <f t="shared" si="184"/>
        <v>-7.7861755895302469</v>
      </c>
      <c r="O1521">
        <v>5.2058796926701797E-4</v>
      </c>
      <c r="P1521">
        <f t="shared" si="185"/>
        <v>-0.7845152482429999</v>
      </c>
      <c r="Q1521">
        <f t="shared" si="186"/>
        <v>98.52185903620547</v>
      </c>
      <c r="R1521">
        <f t="shared" si="187"/>
        <v>-0.784640946599786</v>
      </c>
      <c r="S1521">
        <f t="shared" si="188"/>
        <v>0.43276096337473069</v>
      </c>
      <c r="T1521">
        <f t="shared" si="189"/>
        <v>1.6036855085321727E-4</v>
      </c>
      <c r="U1521">
        <f t="shared" si="190"/>
        <v>-1.7907341071981879E-2</v>
      </c>
    </row>
    <row r="1522" spans="10:21" x14ac:dyDescent="0.35">
      <c r="J1522">
        <f t="shared" si="191"/>
        <v>1519</v>
      </c>
      <c r="K1522">
        <f>demanda!D1520</f>
        <v>0</v>
      </c>
      <c r="L1522">
        <f>demanda!I1520</f>
        <v>15</v>
      </c>
      <c r="M1522">
        <v>14.416809279416043</v>
      </c>
      <c r="N1522">
        <f t="shared" si="184"/>
        <v>0.58319072058395705</v>
      </c>
      <c r="O1522">
        <v>7.4087557083441532E-4</v>
      </c>
      <c r="P1522">
        <f t="shared" si="185"/>
        <v>5.8760813658909554E-2</v>
      </c>
      <c r="Q1522">
        <f t="shared" si="186"/>
        <v>98.553306243487526</v>
      </c>
      <c r="R1522">
        <f t="shared" si="187"/>
        <v>5.8767327956256402E-2</v>
      </c>
      <c r="S1522">
        <f t="shared" si="188"/>
        <v>0.95314355069247325</v>
      </c>
      <c r="T1522">
        <f t="shared" si="189"/>
        <v>1.2809572488725558E-6</v>
      </c>
      <c r="U1522">
        <f t="shared" si="190"/>
        <v>1.6001825154010173E-3</v>
      </c>
    </row>
    <row r="1523" spans="10:21" x14ac:dyDescent="0.35">
      <c r="J1523">
        <f t="shared" si="191"/>
        <v>1520</v>
      </c>
      <c r="K1523">
        <f>demanda!D1521</f>
        <v>1</v>
      </c>
      <c r="L1523">
        <f>demanda!I1521</f>
        <v>4</v>
      </c>
      <c r="M1523">
        <v>11.786175589530247</v>
      </c>
      <c r="N1523">
        <f t="shared" si="184"/>
        <v>-7.7861755895302469</v>
      </c>
      <c r="O1523">
        <v>5.2058796926701797E-4</v>
      </c>
      <c r="P1523">
        <f t="shared" si="185"/>
        <v>-0.7845152482429999</v>
      </c>
      <c r="Q1523">
        <f t="shared" si="186"/>
        <v>98.52185903620547</v>
      </c>
      <c r="R1523">
        <f t="shared" si="187"/>
        <v>-0.784640946599786</v>
      </c>
      <c r="S1523">
        <f t="shared" si="188"/>
        <v>0.43276096337473069</v>
      </c>
      <c r="T1523">
        <f t="shared" si="189"/>
        <v>1.6036855085321727E-4</v>
      </c>
      <c r="U1523">
        <f t="shared" si="190"/>
        <v>-1.7907341071981879E-2</v>
      </c>
    </row>
    <row r="1524" spans="10:21" x14ac:dyDescent="0.35">
      <c r="J1524">
        <f t="shared" si="191"/>
        <v>1521</v>
      </c>
      <c r="K1524">
        <f>demanda!D1522</f>
        <v>4</v>
      </c>
      <c r="L1524">
        <f>demanda!I1522</f>
        <v>2</v>
      </c>
      <c r="M1524">
        <v>3.8942745198728588</v>
      </c>
      <c r="N1524">
        <f t="shared" si="184"/>
        <v>-1.8942745198728588</v>
      </c>
      <c r="O1524">
        <v>2.4466175697261316E-3</v>
      </c>
      <c r="P1524">
        <f t="shared" si="185"/>
        <v>-0.19086228253017132</v>
      </c>
      <c r="Q1524">
        <f t="shared" si="186"/>
        <v>98.551608270054842</v>
      </c>
      <c r="R1524">
        <f t="shared" si="187"/>
        <v>-0.19104821608300357</v>
      </c>
      <c r="S1524">
        <f t="shared" si="188"/>
        <v>0.84850802764464628</v>
      </c>
      <c r="T1524">
        <f t="shared" si="189"/>
        <v>4.4782056131641625E-5</v>
      </c>
      <c r="U1524">
        <f t="shared" si="190"/>
        <v>-9.4614556750527434E-3</v>
      </c>
    </row>
    <row r="1525" spans="10:21" x14ac:dyDescent="0.35">
      <c r="J1525">
        <f t="shared" si="191"/>
        <v>1522</v>
      </c>
      <c r="K1525">
        <f>demanda!D1523</f>
        <v>2</v>
      </c>
      <c r="L1525">
        <f>demanda!I1523</f>
        <v>3</v>
      </c>
      <c r="M1525">
        <v>9.1555418996444509</v>
      </c>
      <c r="N1525">
        <f t="shared" si="184"/>
        <v>-6.1555418996444509</v>
      </c>
      <c r="O1525">
        <v>7.3144910189317154E-4</v>
      </c>
      <c r="P1525">
        <f t="shared" si="185"/>
        <v>-0.62021674517118131</v>
      </c>
      <c r="Q1525">
        <f t="shared" si="186"/>
        <v>98.533713924458709</v>
      </c>
      <c r="R1525">
        <f t="shared" si="187"/>
        <v>-0.62034424251421916</v>
      </c>
      <c r="S1525">
        <f t="shared" si="188"/>
        <v>0.53510483257501296</v>
      </c>
      <c r="T1525">
        <f t="shared" si="189"/>
        <v>1.4088885884323287E-4</v>
      </c>
      <c r="U1525">
        <f t="shared" si="190"/>
        <v>-1.6783545165498539E-2</v>
      </c>
    </row>
    <row r="1526" spans="10:21" x14ac:dyDescent="0.35">
      <c r="J1526">
        <f t="shared" si="191"/>
        <v>1523</v>
      </c>
      <c r="K1526">
        <f>demanda!D1524</f>
        <v>0</v>
      </c>
      <c r="L1526">
        <f>demanda!I1524</f>
        <v>12</v>
      </c>
      <c r="M1526">
        <v>14.416809279416043</v>
      </c>
      <c r="N1526">
        <f t="shared" si="184"/>
        <v>-2.416809279416043</v>
      </c>
      <c r="O1526">
        <v>7.4087557083441532E-4</v>
      </c>
      <c r="P1526">
        <f t="shared" si="185"/>
        <v>-0.24351155583320885</v>
      </c>
      <c r="Q1526">
        <f t="shared" si="186"/>
        <v>98.55043610055337</v>
      </c>
      <c r="R1526">
        <f t="shared" si="187"/>
        <v>-0.24354209816225414</v>
      </c>
      <c r="S1526">
        <f t="shared" si="188"/>
        <v>0.80761150818210881</v>
      </c>
      <c r="T1526">
        <f t="shared" si="189"/>
        <v>2.199875915262289E-5</v>
      </c>
      <c r="U1526">
        <f t="shared" si="190"/>
        <v>-6.6314365617133417E-3</v>
      </c>
    </row>
    <row r="1527" spans="10:21" x14ac:dyDescent="0.35">
      <c r="J1527">
        <f t="shared" si="191"/>
        <v>1524</v>
      </c>
      <c r="K1527">
        <f>demanda!D1525</f>
        <v>2</v>
      </c>
      <c r="L1527">
        <f>demanda!I1525</f>
        <v>5</v>
      </c>
      <c r="M1527">
        <v>9.1555418996444509</v>
      </c>
      <c r="N1527">
        <f t="shared" si="184"/>
        <v>-4.1555418996444509</v>
      </c>
      <c r="O1527">
        <v>7.3144910189317154E-4</v>
      </c>
      <c r="P1527">
        <f t="shared" si="185"/>
        <v>-0.4187018321764357</v>
      </c>
      <c r="Q1527">
        <f t="shared" si="186"/>
        <v>98.544473706891381</v>
      </c>
      <c r="R1527">
        <f t="shared" si="187"/>
        <v>-0.41876504056165376</v>
      </c>
      <c r="S1527">
        <f t="shared" si="188"/>
        <v>0.67543472022045181</v>
      </c>
      <c r="T1527">
        <f t="shared" si="189"/>
        <v>6.420951640425571E-5</v>
      </c>
      <c r="U1527">
        <f t="shared" si="190"/>
        <v>-1.1329777066218591E-2</v>
      </c>
    </row>
    <row r="1528" spans="10:21" x14ac:dyDescent="0.35">
      <c r="J1528">
        <f t="shared" si="191"/>
        <v>1525</v>
      </c>
      <c r="K1528">
        <f>demanda!D1526</f>
        <v>1</v>
      </c>
      <c r="L1528">
        <f>demanda!I1526</f>
        <v>10</v>
      </c>
      <c r="M1528">
        <v>11.786175589530247</v>
      </c>
      <c r="N1528">
        <f t="shared" si="184"/>
        <v>-1.7861755895302469</v>
      </c>
      <c r="O1528">
        <v>5.2058796926701797E-4</v>
      </c>
      <c r="P1528">
        <f t="shared" si="185"/>
        <v>-0.17997050925876307</v>
      </c>
      <c r="Q1528">
        <f t="shared" si="186"/>
        <v>98.551819423146526</v>
      </c>
      <c r="R1528">
        <f t="shared" si="187"/>
        <v>-0.17997198233721365</v>
      </c>
      <c r="S1528">
        <f t="shared" si="188"/>
        <v>0.85719356553697068</v>
      </c>
      <c r="T1528">
        <f t="shared" si="189"/>
        <v>8.4395466396640202E-6</v>
      </c>
      <c r="U1528">
        <f t="shared" si="190"/>
        <v>-4.1073814527258093E-3</v>
      </c>
    </row>
    <row r="1529" spans="10:21" x14ac:dyDescent="0.35">
      <c r="J1529">
        <f t="shared" si="191"/>
        <v>1526</v>
      </c>
      <c r="K1529">
        <f>demanda!D1527</f>
        <v>0</v>
      </c>
      <c r="L1529">
        <f>demanda!I1527</f>
        <v>15</v>
      </c>
      <c r="M1529">
        <v>14.416809279416043</v>
      </c>
      <c r="N1529">
        <f t="shared" si="184"/>
        <v>0.58319072058395705</v>
      </c>
      <c r="O1529">
        <v>7.4087557083441532E-4</v>
      </c>
      <c r="P1529">
        <f t="shared" si="185"/>
        <v>5.8760813658909554E-2</v>
      </c>
      <c r="Q1529">
        <f t="shared" si="186"/>
        <v>98.553306243487526</v>
      </c>
      <c r="R1529">
        <f t="shared" si="187"/>
        <v>5.8767327956256402E-2</v>
      </c>
      <c r="S1529">
        <f t="shared" si="188"/>
        <v>0.95314355069247325</v>
      </c>
      <c r="T1529">
        <f t="shared" si="189"/>
        <v>1.2809572488725558E-6</v>
      </c>
      <c r="U1529">
        <f t="shared" si="190"/>
        <v>1.6001825154010173E-3</v>
      </c>
    </row>
    <row r="1530" spans="10:21" x14ac:dyDescent="0.35">
      <c r="J1530">
        <f t="shared" si="191"/>
        <v>1527</v>
      </c>
      <c r="K1530">
        <f>demanda!D1528</f>
        <v>1</v>
      </c>
      <c r="L1530">
        <f>demanda!I1528</f>
        <v>13</v>
      </c>
      <c r="M1530">
        <v>11.786175589530247</v>
      </c>
      <c r="N1530">
        <f t="shared" si="184"/>
        <v>1.2138244104697531</v>
      </c>
      <c r="O1530">
        <v>5.2058796926701797E-4</v>
      </c>
      <c r="P1530">
        <f t="shared" si="185"/>
        <v>0.12230186023335533</v>
      </c>
      <c r="Q1530">
        <f t="shared" si="186"/>
        <v>98.552715120685733</v>
      </c>
      <c r="R1530">
        <f t="shared" si="187"/>
        <v>0.12230230551078146</v>
      </c>
      <c r="S1530">
        <f t="shared" si="188"/>
        <v>0.90267241210292171</v>
      </c>
      <c r="T1530">
        <f t="shared" si="189"/>
        <v>3.8974679450726784E-6</v>
      </c>
      <c r="U1530">
        <f t="shared" si="190"/>
        <v>2.7912245826094769E-3</v>
      </c>
    </row>
    <row r="1531" spans="10:21" x14ac:dyDescent="0.35">
      <c r="J1531">
        <f t="shared" si="191"/>
        <v>1528</v>
      </c>
      <c r="K1531">
        <f>demanda!D1529</f>
        <v>0</v>
      </c>
      <c r="L1531">
        <f>demanda!I1529</f>
        <v>15</v>
      </c>
      <c r="M1531">
        <v>14.416809279416043</v>
      </c>
      <c r="N1531">
        <f t="shared" si="184"/>
        <v>0.58319072058395705</v>
      </c>
      <c r="O1531">
        <v>7.4087557083441532E-4</v>
      </c>
      <c r="P1531">
        <f t="shared" si="185"/>
        <v>5.8760813658909554E-2</v>
      </c>
      <c r="Q1531">
        <f t="shared" si="186"/>
        <v>98.553306243487526</v>
      </c>
      <c r="R1531">
        <f t="shared" si="187"/>
        <v>5.8767327956256402E-2</v>
      </c>
      <c r="S1531">
        <f t="shared" si="188"/>
        <v>0.95314355069247325</v>
      </c>
      <c r="T1531">
        <f t="shared" si="189"/>
        <v>1.2809572488725558E-6</v>
      </c>
      <c r="U1531">
        <f t="shared" si="190"/>
        <v>1.6001825154010173E-3</v>
      </c>
    </row>
    <row r="1532" spans="10:21" x14ac:dyDescent="0.35">
      <c r="J1532">
        <f t="shared" si="191"/>
        <v>1529</v>
      </c>
      <c r="K1532">
        <f>demanda!D1530</f>
        <v>0</v>
      </c>
      <c r="L1532">
        <f>demanda!I1530</f>
        <v>15</v>
      </c>
      <c r="M1532">
        <v>14.416809279416043</v>
      </c>
      <c r="N1532">
        <f t="shared" si="184"/>
        <v>0.58319072058395705</v>
      </c>
      <c r="O1532">
        <v>7.4087557083441532E-4</v>
      </c>
      <c r="P1532">
        <f t="shared" si="185"/>
        <v>5.8760813658909554E-2</v>
      </c>
      <c r="Q1532">
        <f t="shared" si="186"/>
        <v>98.553306243487526</v>
      </c>
      <c r="R1532">
        <f t="shared" si="187"/>
        <v>5.8767327956256402E-2</v>
      </c>
      <c r="S1532">
        <f t="shared" si="188"/>
        <v>0.95314355069247325</v>
      </c>
      <c r="T1532">
        <f t="shared" si="189"/>
        <v>1.2809572488725558E-6</v>
      </c>
      <c r="U1532">
        <f t="shared" si="190"/>
        <v>1.6001825154010173E-3</v>
      </c>
    </row>
    <row r="1533" spans="10:21" x14ac:dyDescent="0.35">
      <c r="J1533">
        <f t="shared" si="191"/>
        <v>1530</v>
      </c>
      <c r="K1533">
        <f>demanda!D1531</f>
        <v>0</v>
      </c>
      <c r="L1533">
        <f>demanda!I1531</f>
        <v>15</v>
      </c>
      <c r="M1533">
        <v>14.416809279416043</v>
      </c>
      <c r="N1533">
        <f t="shared" si="184"/>
        <v>0.58319072058395705</v>
      </c>
      <c r="O1533">
        <v>7.4087557083441532E-4</v>
      </c>
      <c r="P1533">
        <f t="shared" si="185"/>
        <v>5.8760813658909554E-2</v>
      </c>
      <c r="Q1533">
        <f t="shared" si="186"/>
        <v>98.553306243487526</v>
      </c>
      <c r="R1533">
        <f t="shared" si="187"/>
        <v>5.8767327956256402E-2</v>
      </c>
      <c r="S1533">
        <f t="shared" si="188"/>
        <v>0.95314355069247325</v>
      </c>
      <c r="T1533">
        <f t="shared" si="189"/>
        <v>1.2809572488725558E-6</v>
      </c>
      <c r="U1533">
        <f t="shared" si="190"/>
        <v>1.6001825154010173E-3</v>
      </c>
    </row>
    <row r="1534" spans="10:21" x14ac:dyDescent="0.35">
      <c r="J1534">
        <f t="shared" si="191"/>
        <v>1531</v>
      </c>
      <c r="K1534">
        <f>demanda!D1532</f>
        <v>0</v>
      </c>
      <c r="L1534">
        <f>demanda!I1532</f>
        <v>15</v>
      </c>
      <c r="M1534">
        <v>14.416809279416043</v>
      </c>
      <c r="N1534">
        <f t="shared" si="184"/>
        <v>0.58319072058395705</v>
      </c>
      <c r="O1534">
        <v>7.4087557083441532E-4</v>
      </c>
      <c r="P1534">
        <f t="shared" si="185"/>
        <v>5.8760813658909554E-2</v>
      </c>
      <c r="Q1534">
        <f t="shared" si="186"/>
        <v>98.553306243487526</v>
      </c>
      <c r="R1534">
        <f t="shared" si="187"/>
        <v>5.8767327956256402E-2</v>
      </c>
      <c r="S1534">
        <f t="shared" si="188"/>
        <v>0.95314355069247325</v>
      </c>
      <c r="T1534">
        <f t="shared" si="189"/>
        <v>1.2809572488725558E-6</v>
      </c>
      <c r="U1534">
        <f t="shared" si="190"/>
        <v>1.6001825154010173E-3</v>
      </c>
    </row>
    <row r="1535" spans="10:21" x14ac:dyDescent="0.35">
      <c r="J1535">
        <f t="shared" si="191"/>
        <v>1532</v>
      </c>
      <c r="K1535">
        <f>demanda!D1533</f>
        <v>0</v>
      </c>
      <c r="L1535">
        <f>demanda!I1533</f>
        <v>15</v>
      </c>
      <c r="M1535">
        <v>14.416809279416043</v>
      </c>
      <c r="N1535">
        <f t="shared" si="184"/>
        <v>0.58319072058395705</v>
      </c>
      <c r="O1535">
        <v>7.4087557083441532E-4</v>
      </c>
      <c r="P1535">
        <f t="shared" si="185"/>
        <v>5.8760813658909554E-2</v>
      </c>
      <c r="Q1535">
        <f t="shared" si="186"/>
        <v>98.553306243487526</v>
      </c>
      <c r="R1535">
        <f t="shared" si="187"/>
        <v>5.8767327956256402E-2</v>
      </c>
      <c r="S1535">
        <f t="shared" si="188"/>
        <v>0.95314355069247325</v>
      </c>
      <c r="T1535">
        <f t="shared" si="189"/>
        <v>1.2809572488725558E-6</v>
      </c>
      <c r="U1535">
        <f t="shared" si="190"/>
        <v>1.6001825154010173E-3</v>
      </c>
    </row>
    <row r="1536" spans="10:21" x14ac:dyDescent="0.35">
      <c r="J1536">
        <f t="shared" si="191"/>
        <v>1533</v>
      </c>
      <c r="K1536">
        <f>demanda!D1534</f>
        <v>0</v>
      </c>
      <c r="L1536">
        <f>demanda!I1534</f>
        <v>15</v>
      </c>
      <c r="M1536">
        <v>14.416809279416043</v>
      </c>
      <c r="N1536">
        <f t="shared" si="184"/>
        <v>0.58319072058395705</v>
      </c>
      <c r="O1536">
        <v>7.4087557083441532E-4</v>
      </c>
      <c r="P1536">
        <f t="shared" si="185"/>
        <v>5.8760813658909554E-2</v>
      </c>
      <c r="Q1536">
        <f t="shared" si="186"/>
        <v>98.553306243487526</v>
      </c>
      <c r="R1536">
        <f t="shared" si="187"/>
        <v>5.8767327956256402E-2</v>
      </c>
      <c r="S1536">
        <f t="shared" si="188"/>
        <v>0.95314355069247325</v>
      </c>
      <c r="T1536">
        <f t="shared" si="189"/>
        <v>1.2809572488725558E-6</v>
      </c>
      <c r="U1536">
        <f t="shared" si="190"/>
        <v>1.6001825154010173E-3</v>
      </c>
    </row>
    <row r="1537" spans="10:21" x14ac:dyDescent="0.35">
      <c r="J1537">
        <f t="shared" si="191"/>
        <v>1534</v>
      </c>
      <c r="K1537">
        <f>demanda!D1535</f>
        <v>0</v>
      </c>
      <c r="L1537">
        <f>demanda!I1535</f>
        <v>15</v>
      </c>
      <c r="M1537">
        <v>14.416809279416043</v>
      </c>
      <c r="N1537">
        <f t="shared" si="184"/>
        <v>0.58319072058395705</v>
      </c>
      <c r="O1537">
        <v>7.4087557083441532E-4</v>
      </c>
      <c r="P1537">
        <f t="shared" si="185"/>
        <v>5.8760813658909554E-2</v>
      </c>
      <c r="Q1537">
        <f t="shared" si="186"/>
        <v>98.553306243487526</v>
      </c>
      <c r="R1537">
        <f t="shared" si="187"/>
        <v>5.8767327956256402E-2</v>
      </c>
      <c r="S1537">
        <f t="shared" si="188"/>
        <v>0.95314355069247325</v>
      </c>
      <c r="T1537">
        <f t="shared" si="189"/>
        <v>1.2809572488725558E-6</v>
      </c>
      <c r="U1537">
        <f t="shared" si="190"/>
        <v>1.6001825154010173E-3</v>
      </c>
    </row>
    <row r="1538" spans="10:21" x14ac:dyDescent="0.35">
      <c r="J1538">
        <f t="shared" si="191"/>
        <v>1535</v>
      </c>
      <c r="K1538">
        <f>demanda!D1536</f>
        <v>0</v>
      </c>
      <c r="L1538">
        <f>demanda!I1536</f>
        <v>15</v>
      </c>
      <c r="M1538">
        <v>14.416809279416043</v>
      </c>
      <c r="N1538">
        <f t="shared" si="184"/>
        <v>0.58319072058395705</v>
      </c>
      <c r="O1538">
        <v>7.4087557083441532E-4</v>
      </c>
      <c r="P1538">
        <f t="shared" si="185"/>
        <v>5.8760813658909554E-2</v>
      </c>
      <c r="Q1538">
        <f t="shared" si="186"/>
        <v>98.553306243487526</v>
      </c>
      <c r="R1538">
        <f t="shared" si="187"/>
        <v>5.8767327956256402E-2</v>
      </c>
      <c r="S1538">
        <f t="shared" si="188"/>
        <v>0.95314355069247325</v>
      </c>
      <c r="T1538">
        <f t="shared" si="189"/>
        <v>1.2809572488725558E-6</v>
      </c>
      <c r="U1538">
        <f t="shared" si="190"/>
        <v>1.6001825154010173E-3</v>
      </c>
    </row>
    <row r="1539" spans="10:21" x14ac:dyDescent="0.35">
      <c r="J1539">
        <f t="shared" si="191"/>
        <v>1536</v>
      </c>
      <c r="K1539">
        <f>demanda!D1537</f>
        <v>0</v>
      </c>
      <c r="L1539">
        <f>demanda!I1537</f>
        <v>15</v>
      </c>
      <c r="M1539">
        <v>14.416809279416043</v>
      </c>
      <c r="N1539">
        <f t="shared" si="184"/>
        <v>0.58319072058395705</v>
      </c>
      <c r="O1539">
        <v>7.4087557083441532E-4</v>
      </c>
      <c r="P1539">
        <f t="shared" si="185"/>
        <v>5.8760813658909554E-2</v>
      </c>
      <c r="Q1539">
        <f t="shared" si="186"/>
        <v>98.553306243487526</v>
      </c>
      <c r="R1539">
        <f t="shared" si="187"/>
        <v>5.8767327956256402E-2</v>
      </c>
      <c r="S1539">
        <f t="shared" si="188"/>
        <v>0.95314355069247325</v>
      </c>
      <c r="T1539">
        <f t="shared" si="189"/>
        <v>1.2809572488725558E-6</v>
      </c>
      <c r="U1539">
        <f t="shared" si="190"/>
        <v>1.6001825154010173E-3</v>
      </c>
    </row>
    <row r="1540" spans="10:21" x14ac:dyDescent="0.35">
      <c r="J1540">
        <f t="shared" si="191"/>
        <v>1537</v>
      </c>
      <c r="K1540">
        <f>demanda!D1538</f>
        <v>0</v>
      </c>
      <c r="L1540">
        <f>demanda!I1538</f>
        <v>15</v>
      </c>
      <c r="M1540">
        <v>14.416809279416043</v>
      </c>
      <c r="N1540">
        <f t="shared" si="184"/>
        <v>0.58319072058395705</v>
      </c>
      <c r="O1540">
        <v>7.4087557083441532E-4</v>
      </c>
      <c r="P1540">
        <f t="shared" si="185"/>
        <v>5.8760813658909554E-2</v>
      </c>
      <c r="Q1540">
        <f t="shared" si="186"/>
        <v>98.553306243487526</v>
      </c>
      <c r="R1540">
        <f t="shared" si="187"/>
        <v>5.8767327956256402E-2</v>
      </c>
      <c r="S1540">
        <f t="shared" si="188"/>
        <v>0.95314355069247325</v>
      </c>
      <c r="T1540">
        <f t="shared" si="189"/>
        <v>1.2809572488725558E-6</v>
      </c>
      <c r="U1540">
        <f t="shared" si="190"/>
        <v>1.6001825154010173E-3</v>
      </c>
    </row>
    <row r="1541" spans="10:21" x14ac:dyDescent="0.35">
      <c r="J1541">
        <f t="shared" si="191"/>
        <v>1538</v>
      </c>
      <c r="K1541">
        <f>demanda!D1539</f>
        <v>0</v>
      </c>
      <c r="L1541">
        <f>demanda!I1539</f>
        <v>15</v>
      </c>
      <c r="M1541">
        <v>14.416809279416043</v>
      </c>
      <c r="N1541">
        <f t="shared" ref="N1541:N1604" si="192">L1541-M1541</f>
        <v>0.58319072058395705</v>
      </c>
      <c r="O1541">
        <v>7.4087557083441532E-4</v>
      </c>
      <c r="P1541">
        <f t="shared" ref="P1541:P1604" si="193">N1541/SQRT($X$6)</f>
        <v>5.8760813658909554E-2</v>
      </c>
      <c r="Q1541">
        <f t="shared" ref="Q1541:Q1604" si="194">($X$6-N1541^2/((1-O1541)*$X$5))*$X$5/($X$5-1)</f>
        <v>98.553306243487526</v>
      </c>
      <c r="R1541">
        <f t="shared" ref="R1541:R1604" si="195">N1541/SQRT(Q1541*(1-O1541))</f>
        <v>5.8767327956256402E-2</v>
      </c>
      <c r="S1541">
        <f t="shared" ref="S1541:S1604" si="196">_xlfn.T.DIST.2T(ABS(R1541),$X$5)</f>
        <v>0.95314355069247325</v>
      </c>
      <c r="T1541">
        <f t="shared" ref="T1541:T1604" si="197">(N1541^2/$X$6)*(O1541/(1-O1541)^2)/($X$7+1)</f>
        <v>1.2809572488725558E-6</v>
      </c>
      <c r="U1541">
        <f t="shared" ref="U1541:U1604" si="198">R1541*SQRT(O1541/(1-O1541))</f>
        <v>1.6001825154010173E-3</v>
      </c>
    </row>
    <row r="1542" spans="10:21" x14ac:dyDescent="0.35">
      <c r="J1542">
        <f t="shared" ref="J1542:J1605" si="199">J1541+1</f>
        <v>1539</v>
      </c>
      <c r="K1542">
        <f>demanda!D1540</f>
        <v>0</v>
      </c>
      <c r="L1542">
        <f>demanda!I1540</f>
        <v>15</v>
      </c>
      <c r="M1542">
        <v>14.416809279416043</v>
      </c>
      <c r="N1542">
        <f t="shared" si="192"/>
        <v>0.58319072058395705</v>
      </c>
      <c r="O1542">
        <v>7.4087557083441532E-4</v>
      </c>
      <c r="P1542">
        <f t="shared" si="193"/>
        <v>5.8760813658909554E-2</v>
      </c>
      <c r="Q1542">
        <f t="shared" si="194"/>
        <v>98.553306243487526</v>
      </c>
      <c r="R1542">
        <f t="shared" si="195"/>
        <v>5.8767327956256402E-2</v>
      </c>
      <c r="S1542">
        <f t="shared" si="196"/>
        <v>0.95314355069247325</v>
      </c>
      <c r="T1542">
        <f t="shared" si="197"/>
        <v>1.2809572488725558E-6</v>
      </c>
      <c r="U1542">
        <f t="shared" si="198"/>
        <v>1.6001825154010173E-3</v>
      </c>
    </row>
    <row r="1543" spans="10:21" x14ac:dyDescent="0.35">
      <c r="J1543">
        <f t="shared" si="199"/>
        <v>1540</v>
      </c>
      <c r="K1543">
        <f>demanda!D1541</f>
        <v>0</v>
      </c>
      <c r="L1543">
        <f>demanda!I1541</f>
        <v>15</v>
      </c>
      <c r="M1543">
        <v>14.416809279416043</v>
      </c>
      <c r="N1543">
        <f t="shared" si="192"/>
        <v>0.58319072058395705</v>
      </c>
      <c r="O1543">
        <v>7.4087557083441532E-4</v>
      </c>
      <c r="P1543">
        <f t="shared" si="193"/>
        <v>5.8760813658909554E-2</v>
      </c>
      <c r="Q1543">
        <f t="shared" si="194"/>
        <v>98.553306243487526</v>
      </c>
      <c r="R1543">
        <f t="shared" si="195"/>
        <v>5.8767327956256402E-2</v>
      </c>
      <c r="S1543">
        <f t="shared" si="196"/>
        <v>0.95314355069247325</v>
      </c>
      <c r="T1543">
        <f t="shared" si="197"/>
        <v>1.2809572488725558E-6</v>
      </c>
      <c r="U1543">
        <f t="shared" si="198"/>
        <v>1.6001825154010173E-3</v>
      </c>
    </row>
    <row r="1544" spans="10:21" x14ac:dyDescent="0.35">
      <c r="J1544">
        <f t="shared" si="199"/>
        <v>1541</v>
      </c>
      <c r="K1544">
        <f>demanda!D1542</f>
        <v>0</v>
      </c>
      <c r="L1544">
        <f>demanda!I1542</f>
        <v>15</v>
      </c>
      <c r="M1544">
        <v>14.416809279416043</v>
      </c>
      <c r="N1544">
        <f t="shared" si="192"/>
        <v>0.58319072058395705</v>
      </c>
      <c r="O1544">
        <v>7.4087557083441532E-4</v>
      </c>
      <c r="P1544">
        <f t="shared" si="193"/>
        <v>5.8760813658909554E-2</v>
      </c>
      <c r="Q1544">
        <f t="shared" si="194"/>
        <v>98.553306243487526</v>
      </c>
      <c r="R1544">
        <f t="shared" si="195"/>
        <v>5.8767327956256402E-2</v>
      </c>
      <c r="S1544">
        <f t="shared" si="196"/>
        <v>0.95314355069247325</v>
      </c>
      <c r="T1544">
        <f t="shared" si="197"/>
        <v>1.2809572488725558E-6</v>
      </c>
      <c r="U1544">
        <f t="shared" si="198"/>
        <v>1.6001825154010173E-3</v>
      </c>
    </row>
    <row r="1545" spans="10:21" x14ac:dyDescent="0.35">
      <c r="J1545">
        <f t="shared" si="199"/>
        <v>1542</v>
      </c>
      <c r="K1545">
        <f>demanda!D1543</f>
        <v>0</v>
      </c>
      <c r="L1545">
        <f>demanda!I1543</f>
        <v>15</v>
      </c>
      <c r="M1545">
        <v>14.416809279416043</v>
      </c>
      <c r="N1545">
        <f t="shared" si="192"/>
        <v>0.58319072058395705</v>
      </c>
      <c r="O1545">
        <v>7.4087557083441532E-4</v>
      </c>
      <c r="P1545">
        <f t="shared" si="193"/>
        <v>5.8760813658909554E-2</v>
      </c>
      <c r="Q1545">
        <f t="shared" si="194"/>
        <v>98.553306243487526</v>
      </c>
      <c r="R1545">
        <f t="shared" si="195"/>
        <v>5.8767327956256402E-2</v>
      </c>
      <c r="S1545">
        <f t="shared" si="196"/>
        <v>0.95314355069247325</v>
      </c>
      <c r="T1545">
        <f t="shared" si="197"/>
        <v>1.2809572488725558E-6</v>
      </c>
      <c r="U1545">
        <f t="shared" si="198"/>
        <v>1.6001825154010173E-3</v>
      </c>
    </row>
    <row r="1546" spans="10:21" x14ac:dyDescent="0.35">
      <c r="J1546">
        <f t="shared" si="199"/>
        <v>1543</v>
      </c>
      <c r="K1546">
        <f>demanda!D1544</f>
        <v>0</v>
      </c>
      <c r="L1546">
        <f>demanda!I1544</f>
        <v>15</v>
      </c>
      <c r="M1546">
        <v>14.416809279416043</v>
      </c>
      <c r="N1546">
        <f t="shared" si="192"/>
        <v>0.58319072058395705</v>
      </c>
      <c r="O1546">
        <v>7.4087557083441532E-4</v>
      </c>
      <c r="P1546">
        <f t="shared" si="193"/>
        <v>5.8760813658909554E-2</v>
      </c>
      <c r="Q1546">
        <f t="shared" si="194"/>
        <v>98.553306243487526</v>
      </c>
      <c r="R1546">
        <f t="shared" si="195"/>
        <v>5.8767327956256402E-2</v>
      </c>
      <c r="S1546">
        <f t="shared" si="196"/>
        <v>0.95314355069247325</v>
      </c>
      <c r="T1546">
        <f t="shared" si="197"/>
        <v>1.2809572488725558E-6</v>
      </c>
      <c r="U1546">
        <f t="shared" si="198"/>
        <v>1.6001825154010173E-3</v>
      </c>
    </row>
    <row r="1547" spans="10:21" x14ac:dyDescent="0.35">
      <c r="J1547">
        <f t="shared" si="199"/>
        <v>1544</v>
      </c>
      <c r="K1547">
        <f>demanda!D1545</f>
        <v>0</v>
      </c>
      <c r="L1547">
        <f>demanda!I1545</f>
        <v>15</v>
      </c>
      <c r="M1547">
        <v>14.416809279416043</v>
      </c>
      <c r="N1547">
        <f t="shared" si="192"/>
        <v>0.58319072058395705</v>
      </c>
      <c r="O1547">
        <v>7.4087557083441532E-4</v>
      </c>
      <c r="P1547">
        <f t="shared" si="193"/>
        <v>5.8760813658909554E-2</v>
      </c>
      <c r="Q1547">
        <f t="shared" si="194"/>
        <v>98.553306243487526</v>
      </c>
      <c r="R1547">
        <f t="shared" si="195"/>
        <v>5.8767327956256402E-2</v>
      </c>
      <c r="S1547">
        <f t="shared" si="196"/>
        <v>0.95314355069247325</v>
      </c>
      <c r="T1547">
        <f t="shared" si="197"/>
        <v>1.2809572488725558E-6</v>
      </c>
      <c r="U1547">
        <f t="shared" si="198"/>
        <v>1.6001825154010173E-3</v>
      </c>
    </row>
    <row r="1548" spans="10:21" x14ac:dyDescent="0.35">
      <c r="J1548">
        <f t="shared" si="199"/>
        <v>1545</v>
      </c>
      <c r="K1548">
        <f>demanda!D1546</f>
        <v>0</v>
      </c>
      <c r="L1548">
        <f>demanda!I1546</f>
        <v>15</v>
      </c>
      <c r="M1548">
        <v>14.416809279416043</v>
      </c>
      <c r="N1548">
        <f t="shared" si="192"/>
        <v>0.58319072058395705</v>
      </c>
      <c r="O1548">
        <v>7.4087557083441532E-4</v>
      </c>
      <c r="P1548">
        <f t="shared" si="193"/>
        <v>5.8760813658909554E-2</v>
      </c>
      <c r="Q1548">
        <f t="shared" si="194"/>
        <v>98.553306243487526</v>
      </c>
      <c r="R1548">
        <f t="shared" si="195"/>
        <v>5.8767327956256402E-2</v>
      </c>
      <c r="S1548">
        <f t="shared" si="196"/>
        <v>0.95314355069247325</v>
      </c>
      <c r="T1548">
        <f t="shared" si="197"/>
        <v>1.2809572488725558E-6</v>
      </c>
      <c r="U1548">
        <f t="shared" si="198"/>
        <v>1.6001825154010173E-3</v>
      </c>
    </row>
    <row r="1549" spans="10:21" x14ac:dyDescent="0.35">
      <c r="J1549">
        <f t="shared" si="199"/>
        <v>1546</v>
      </c>
      <c r="K1549">
        <f>demanda!D1547</f>
        <v>0</v>
      </c>
      <c r="L1549">
        <f>demanda!I1547</f>
        <v>14</v>
      </c>
      <c r="M1549">
        <v>14.416809279416043</v>
      </c>
      <c r="N1549">
        <f t="shared" si="192"/>
        <v>-0.41680927941604295</v>
      </c>
      <c r="O1549">
        <v>7.4087557083441532E-4</v>
      </c>
      <c r="P1549">
        <f t="shared" si="193"/>
        <v>-4.1996642838463258E-2</v>
      </c>
      <c r="Q1549">
        <f t="shared" si="194"/>
        <v>98.553393055166637</v>
      </c>
      <c r="R1549">
        <f t="shared" si="195"/>
        <v>-4.2001280140228352E-2</v>
      </c>
      <c r="S1549">
        <f t="shared" si="196"/>
        <v>0.96650204701357412</v>
      </c>
      <c r="T1549">
        <f t="shared" si="197"/>
        <v>6.5431696937827154E-7</v>
      </c>
      <c r="U1549">
        <f t="shared" si="198"/>
        <v>-1.1436578187608104E-3</v>
      </c>
    </row>
    <row r="1550" spans="10:21" x14ac:dyDescent="0.35">
      <c r="J1550">
        <f t="shared" si="199"/>
        <v>1547</v>
      </c>
      <c r="K1550">
        <f>demanda!D1548</f>
        <v>0</v>
      </c>
      <c r="L1550">
        <f>demanda!I1548</f>
        <v>15</v>
      </c>
      <c r="M1550">
        <v>14.416809279416043</v>
      </c>
      <c r="N1550">
        <f t="shared" si="192"/>
        <v>0.58319072058395705</v>
      </c>
      <c r="O1550">
        <v>7.4087557083441532E-4</v>
      </c>
      <c r="P1550">
        <f t="shared" si="193"/>
        <v>5.8760813658909554E-2</v>
      </c>
      <c r="Q1550">
        <f t="shared" si="194"/>
        <v>98.553306243487526</v>
      </c>
      <c r="R1550">
        <f t="shared" si="195"/>
        <v>5.8767327956256402E-2</v>
      </c>
      <c r="S1550">
        <f t="shared" si="196"/>
        <v>0.95314355069247325</v>
      </c>
      <c r="T1550">
        <f t="shared" si="197"/>
        <v>1.2809572488725558E-6</v>
      </c>
      <c r="U1550">
        <f t="shared" si="198"/>
        <v>1.6001825154010173E-3</v>
      </c>
    </row>
    <row r="1551" spans="10:21" x14ac:dyDescent="0.35">
      <c r="J1551">
        <f t="shared" si="199"/>
        <v>1548</v>
      </c>
      <c r="K1551">
        <f>demanda!D1549</f>
        <v>0</v>
      </c>
      <c r="L1551">
        <f>demanda!I1549</f>
        <v>15</v>
      </c>
      <c r="M1551">
        <v>14.416809279416043</v>
      </c>
      <c r="N1551">
        <f t="shared" si="192"/>
        <v>0.58319072058395705</v>
      </c>
      <c r="O1551">
        <v>7.4087557083441532E-4</v>
      </c>
      <c r="P1551">
        <f t="shared" si="193"/>
        <v>5.8760813658909554E-2</v>
      </c>
      <c r="Q1551">
        <f t="shared" si="194"/>
        <v>98.553306243487526</v>
      </c>
      <c r="R1551">
        <f t="shared" si="195"/>
        <v>5.8767327956256402E-2</v>
      </c>
      <c r="S1551">
        <f t="shared" si="196"/>
        <v>0.95314355069247325</v>
      </c>
      <c r="T1551">
        <f t="shared" si="197"/>
        <v>1.2809572488725558E-6</v>
      </c>
      <c r="U1551">
        <f t="shared" si="198"/>
        <v>1.6001825154010173E-3</v>
      </c>
    </row>
    <row r="1552" spans="10:21" x14ac:dyDescent="0.35">
      <c r="J1552">
        <f t="shared" si="199"/>
        <v>1549</v>
      </c>
      <c r="K1552">
        <f>demanda!D1550</f>
        <v>0</v>
      </c>
      <c r="L1552">
        <f>demanda!I1550</f>
        <v>14</v>
      </c>
      <c r="M1552">
        <v>14.416809279416043</v>
      </c>
      <c r="N1552">
        <f t="shared" si="192"/>
        <v>-0.41680927941604295</v>
      </c>
      <c r="O1552">
        <v>7.4087557083441532E-4</v>
      </c>
      <c r="P1552">
        <f t="shared" si="193"/>
        <v>-4.1996642838463258E-2</v>
      </c>
      <c r="Q1552">
        <f t="shared" si="194"/>
        <v>98.553393055166637</v>
      </c>
      <c r="R1552">
        <f t="shared" si="195"/>
        <v>-4.2001280140228352E-2</v>
      </c>
      <c r="S1552">
        <f t="shared" si="196"/>
        <v>0.96650204701357412</v>
      </c>
      <c r="T1552">
        <f t="shared" si="197"/>
        <v>6.5431696937827154E-7</v>
      </c>
      <c r="U1552">
        <f t="shared" si="198"/>
        <v>-1.1436578187608104E-3</v>
      </c>
    </row>
    <row r="1553" spans="10:21" x14ac:dyDescent="0.35">
      <c r="J1553">
        <f t="shared" si="199"/>
        <v>1550</v>
      </c>
      <c r="K1553">
        <f>demanda!D1551</f>
        <v>1</v>
      </c>
      <c r="L1553">
        <f>demanda!I1551</f>
        <v>15</v>
      </c>
      <c r="M1553">
        <v>11.786175589530247</v>
      </c>
      <c r="N1553">
        <f t="shared" si="192"/>
        <v>3.2138244104697531</v>
      </c>
      <c r="O1553">
        <v>5.2058796926701797E-4</v>
      </c>
      <c r="P1553">
        <f t="shared" si="193"/>
        <v>0.32381677322810093</v>
      </c>
      <c r="Q1553">
        <f t="shared" si="194"/>
        <v>98.548095772403954</v>
      </c>
      <c r="R1553">
        <f t="shared" si="195"/>
        <v>0.3238255414227269</v>
      </c>
      <c r="S1553">
        <f t="shared" si="196"/>
        <v>0.74610540567370975</v>
      </c>
      <c r="T1553">
        <f t="shared" si="197"/>
        <v>2.7322164893932259E-5</v>
      </c>
      <c r="U1553">
        <f t="shared" si="198"/>
        <v>7.390456033686617E-3</v>
      </c>
    </row>
    <row r="1554" spans="10:21" x14ac:dyDescent="0.35">
      <c r="J1554">
        <f t="shared" si="199"/>
        <v>1551</v>
      </c>
      <c r="K1554">
        <f>demanda!D1552</f>
        <v>0</v>
      </c>
      <c r="L1554">
        <f>demanda!I1552</f>
        <v>6</v>
      </c>
      <c r="M1554">
        <v>14.416809279416043</v>
      </c>
      <c r="N1554">
        <f t="shared" si="192"/>
        <v>-8.416809279416043</v>
      </c>
      <c r="O1554">
        <v>7.4087557083441532E-4</v>
      </c>
      <c r="P1554">
        <f t="shared" si="193"/>
        <v>-0.84805629481744571</v>
      </c>
      <c r="Q1554">
        <f t="shared" si="194"/>
        <v>98.51652061294196</v>
      </c>
      <c r="R1554">
        <f t="shared" si="195"/>
        <v>-0.8483086443975183</v>
      </c>
      <c r="S1554">
        <f t="shared" si="196"/>
        <v>0.39637190285902191</v>
      </c>
      <c r="T1554">
        <f t="shared" si="197"/>
        <v>2.6681386764022222E-4</v>
      </c>
      <c r="U1554">
        <f t="shared" si="198"/>
        <v>-2.3098696293268058E-2</v>
      </c>
    </row>
    <row r="1555" spans="10:21" x14ac:dyDescent="0.35">
      <c r="J1555">
        <f t="shared" si="199"/>
        <v>1552</v>
      </c>
      <c r="K1555">
        <f>demanda!D1553</f>
        <v>3</v>
      </c>
      <c r="L1555">
        <f>demanda!I1553</f>
        <v>3</v>
      </c>
      <c r="M1555">
        <v>6.5249082097586548</v>
      </c>
      <c r="N1555">
        <f t="shared" si="192"/>
        <v>-3.5249082097586548</v>
      </c>
      <c r="O1555">
        <v>1.3734589687128761E-3</v>
      </c>
      <c r="P1555">
        <f t="shared" si="193"/>
        <v>-0.35516078560198994</v>
      </c>
      <c r="Q1555">
        <f t="shared" si="194"/>
        <v>98.546996700749531</v>
      </c>
      <c r="R1555">
        <f t="shared" si="195"/>
        <v>-0.35532401713098288</v>
      </c>
      <c r="S1555">
        <f t="shared" si="196"/>
        <v>0.72238591463660118</v>
      </c>
      <c r="T1555">
        <f t="shared" si="197"/>
        <v>8.6861935283639592E-5</v>
      </c>
      <c r="U1555">
        <f t="shared" si="198"/>
        <v>-1.3177434192717408E-2</v>
      </c>
    </row>
    <row r="1556" spans="10:21" x14ac:dyDescent="0.35">
      <c r="J1556">
        <f t="shared" si="199"/>
        <v>1553</v>
      </c>
      <c r="K1556">
        <f>demanda!D1554</f>
        <v>2</v>
      </c>
      <c r="L1556">
        <f>demanda!I1554</f>
        <v>2</v>
      </c>
      <c r="M1556">
        <v>9.1555418996444509</v>
      </c>
      <c r="N1556">
        <f t="shared" si="192"/>
        <v>-7.1555418996444509</v>
      </c>
      <c r="O1556">
        <v>7.3144910189317154E-4</v>
      </c>
      <c r="P1556">
        <f t="shared" si="193"/>
        <v>-0.72097420166855408</v>
      </c>
      <c r="Q1556">
        <f t="shared" si="194"/>
        <v>98.526768759022602</v>
      </c>
      <c r="R1556">
        <f t="shared" si="195"/>
        <v>-0.72114782718324122</v>
      </c>
      <c r="S1556">
        <f t="shared" si="196"/>
        <v>0.47090641241117204</v>
      </c>
      <c r="T1556">
        <f t="shared" si="197"/>
        <v>1.9038342084795563E-4</v>
      </c>
      <c r="U1556">
        <f t="shared" si="198"/>
        <v>-1.9510807546913981E-2</v>
      </c>
    </row>
    <row r="1557" spans="10:21" x14ac:dyDescent="0.35">
      <c r="J1557">
        <f t="shared" si="199"/>
        <v>1554</v>
      </c>
      <c r="K1557">
        <f>demanda!D1555</f>
        <v>2</v>
      </c>
      <c r="L1557">
        <f>demanda!I1555</f>
        <v>2</v>
      </c>
      <c r="M1557">
        <v>9.1555418996444509</v>
      </c>
      <c r="N1557">
        <f t="shared" si="192"/>
        <v>-7.1555418996444509</v>
      </c>
      <c r="O1557">
        <v>7.3144910189317154E-4</v>
      </c>
      <c r="P1557">
        <f t="shared" si="193"/>
        <v>-0.72097420166855408</v>
      </c>
      <c r="Q1557">
        <f t="shared" si="194"/>
        <v>98.526768759022602</v>
      </c>
      <c r="R1557">
        <f t="shared" si="195"/>
        <v>-0.72114782718324122</v>
      </c>
      <c r="S1557">
        <f t="shared" si="196"/>
        <v>0.47090641241117204</v>
      </c>
      <c r="T1557">
        <f t="shared" si="197"/>
        <v>1.9038342084795563E-4</v>
      </c>
      <c r="U1557">
        <f t="shared" si="198"/>
        <v>-1.9510807546913981E-2</v>
      </c>
    </row>
    <row r="1558" spans="10:21" x14ac:dyDescent="0.35">
      <c r="J1558">
        <f t="shared" si="199"/>
        <v>1555</v>
      </c>
      <c r="K1558">
        <f>demanda!D1556</f>
        <v>0</v>
      </c>
      <c r="L1558">
        <f>demanda!I1556</f>
        <v>16</v>
      </c>
      <c r="M1558">
        <v>14.416809279416043</v>
      </c>
      <c r="N1558">
        <f t="shared" si="192"/>
        <v>1.583190720583957</v>
      </c>
      <c r="O1558">
        <v>7.4087557083441532E-4</v>
      </c>
      <c r="P1558">
        <f t="shared" si="193"/>
        <v>0.15951827015628237</v>
      </c>
      <c r="Q1558">
        <f t="shared" si="194"/>
        <v>98.552175905817947</v>
      </c>
      <c r="R1558">
        <f t="shared" si="195"/>
        <v>0.1595368694422851</v>
      </c>
      <c r="S1558">
        <f t="shared" si="196"/>
        <v>0.87326270170878273</v>
      </c>
      <c r="T1558">
        <f t="shared" si="197"/>
        <v>9.440171775777902E-6</v>
      </c>
      <c r="U1558">
        <f t="shared" si="198"/>
        <v>4.3440482649370034E-3</v>
      </c>
    </row>
    <row r="1559" spans="10:21" x14ac:dyDescent="0.35">
      <c r="J1559">
        <f t="shared" si="199"/>
        <v>1556</v>
      </c>
      <c r="K1559">
        <f>demanda!D1557</f>
        <v>3</v>
      </c>
      <c r="L1559">
        <f>demanda!I1557</f>
        <v>4</v>
      </c>
      <c r="M1559">
        <v>6.5249082097586548</v>
      </c>
      <c r="N1559">
        <f t="shared" si="192"/>
        <v>-2.5249082097586548</v>
      </c>
      <c r="O1559">
        <v>1.3734589687128761E-3</v>
      </c>
      <c r="P1559">
        <f t="shared" si="193"/>
        <v>-0.2544033291046171</v>
      </c>
      <c r="Q1559">
        <f t="shared" si="194"/>
        <v>98.550155270625524</v>
      </c>
      <c r="R1559">
        <f t="shared" si="195"/>
        <v>-0.25451617384299874</v>
      </c>
      <c r="S1559">
        <f t="shared" si="196"/>
        <v>0.79912408038987892</v>
      </c>
      <c r="T1559">
        <f t="shared" si="197"/>
        <v>4.4568197050885148E-5</v>
      </c>
      <c r="U1559">
        <f t="shared" si="198"/>
        <v>-9.4389063786870474E-3</v>
      </c>
    </row>
    <row r="1560" spans="10:21" x14ac:dyDescent="0.35">
      <c r="J1560">
        <f t="shared" si="199"/>
        <v>1557</v>
      </c>
      <c r="K1560">
        <f>demanda!D1558</f>
        <v>2</v>
      </c>
      <c r="L1560">
        <f>demanda!I1558</f>
        <v>2</v>
      </c>
      <c r="M1560">
        <v>9.1555418996444509</v>
      </c>
      <c r="N1560">
        <f t="shared" si="192"/>
        <v>-7.1555418996444509</v>
      </c>
      <c r="O1560">
        <v>7.3144910189317154E-4</v>
      </c>
      <c r="P1560">
        <f t="shared" si="193"/>
        <v>-0.72097420166855408</v>
      </c>
      <c r="Q1560">
        <f t="shared" si="194"/>
        <v>98.526768759022602</v>
      </c>
      <c r="R1560">
        <f t="shared" si="195"/>
        <v>-0.72114782718324122</v>
      </c>
      <c r="S1560">
        <f t="shared" si="196"/>
        <v>0.47090641241117204</v>
      </c>
      <c r="T1560">
        <f t="shared" si="197"/>
        <v>1.9038342084795563E-4</v>
      </c>
      <c r="U1560">
        <f t="shared" si="198"/>
        <v>-1.9510807546913981E-2</v>
      </c>
    </row>
    <row r="1561" spans="10:21" x14ac:dyDescent="0.35">
      <c r="J1561">
        <f t="shared" si="199"/>
        <v>1558</v>
      </c>
      <c r="K1561">
        <f>demanda!D1559</f>
        <v>0</v>
      </c>
      <c r="L1561">
        <f>demanda!I1559</f>
        <v>4</v>
      </c>
      <c r="M1561">
        <v>14.416809279416043</v>
      </c>
      <c r="N1561">
        <f t="shared" si="192"/>
        <v>-10.416809279416043</v>
      </c>
      <c r="O1561">
        <v>7.4087557083441532E-4</v>
      </c>
      <c r="P1561">
        <f t="shared" si="193"/>
        <v>-1.0495712078121913</v>
      </c>
      <c r="Q1561">
        <f t="shared" si="194"/>
        <v>98.49686724248096</v>
      </c>
      <c r="R1561">
        <f t="shared" si="195"/>
        <v>-1.049988258586362</v>
      </c>
      <c r="S1561">
        <f t="shared" si="196"/>
        <v>0.29385572056513598</v>
      </c>
      <c r="T1561">
        <f t="shared" si="197"/>
        <v>4.0867949778204384E-4</v>
      </c>
      <c r="U1561">
        <f t="shared" si="198"/>
        <v>-2.8590254333443563E-2</v>
      </c>
    </row>
    <row r="1562" spans="10:21" x14ac:dyDescent="0.35">
      <c r="J1562">
        <f t="shared" si="199"/>
        <v>1559</v>
      </c>
      <c r="K1562">
        <f>demanda!D1560</f>
        <v>0</v>
      </c>
      <c r="L1562">
        <f>demanda!I1560</f>
        <v>16</v>
      </c>
      <c r="M1562">
        <v>14.416809279416043</v>
      </c>
      <c r="N1562">
        <f t="shared" si="192"/>
        <v>1.583190720583957</v>
      </c>
      <c r="O1562">
        <v>7.4087557083441532E-4</v>
      </c>
      <c r="P1562">
        <f t="shared" si="193"/>
        <v>0.15951827015628237</v>
      </c>
      <c r="Q1562">
        <f t="shared" si="194"/>
        <v>98.552175905817947</v>
      </c>
      <c r="R1562">
        <f t="shared" si="195"/>
        <v>0.1595368694422851</v>
      </c>
      <c r="S1562">
        <f t="shared" si="196"/>
        <v>0.87326270170878273</v>
      </c>
      <c r="T1562">
        <f t="shared" si="197"/>
        <v>9.440171775777902E-6</v>
      </c>
      <c r="U1562">
        <f t="shared" si="198"/>
        <v>4.3440482649370034E-3</v>
      </c>
    </row>
    <row r="1563" spans="10:21" x14ac:dyDescent="0.35">
      <c r="J1563">
        <f t="shared" si="199"/>
        <v>1560</v>
      </c>
      <c r="K1563">
        <f>demanda!D1561</f>
        <v>1</v>
      </c>
      <c r="L1563">
        <f>demanda!I1561</f>
        <v>13</v>
      </c>
      <c r="M1563">
        <v>11.786175589530247</v>
      </c>
      <c r="N1563">
        <f t="shared" si="192"/>
        <v>1.2138244104697531</v>
      </c>
      <c r="O1563">
        <v>5.2058796926701797E-4</v>
      </c>
      <c r="P1563">
        <f t="shared" si="193"/>
        <v>0.12230186023335533</v>
      </c>
      <c r="Q1563">
        <f t="shared" si="194"/>
        <v>98.552715120685733</v>
      </c>
      <c r="R1563">
        <f t="shared" si="195"/>
        <v>0.12230230551078146</v>
      </c>
      <c r="S1563">
        <f t="shared" si="196"/>
        <v>0.90267241210292171</v>
      </c>
      <c r="T1563">
        <f t="shared" si="197"/>
        <v>3.8974679450726784E-6</v>
      </c>
      <c r="U1563">
        <f t="shared" si="198"/>
        <v>2.7912245826094769E-3</v>
      </c>
    </row>
    <row r="1564" spans="10:21" x14ac:dyDescent="0.35">
      <c r="J1564">
        <f t="shared" si="199"/>
        <v>1561</v>
      </c>
      <c r="K1564">
        <f>demanda!D1562</f>
        <v>1</v>
      </c>
      <c r="L1564">
        <f>demanda!I1562</f>
        <v>10</v>
      </c>
      <c r="M1564">
        <v>11.786175589530247</v>
      </c>
      <c r="N1564">
        <f t="shared" si="192"/>
        <v>-1.7861755895302469</v>
      </c>
      <c r="O1564">
        <v>5.2058796926701797E-4</v>
      </c>
      <c r="P1564">
        <f t="shared" si="193"/>
        <v>-0.17997050925876307</v>
      </c>
      <c r="Q1564">
        <f t="shared" si="194"/>
        <v>98.551819423146526</v>
      </c>
      <c r="R1564">
        <f t="shared" si="195"/>
        <v>-0.17997198233721365</v>
      </c>
      <c r="S1564">
        <f t="shared" si="196"/>
        <v>0.85719356553697068</v>
      </c>
      <c r="T1564">
        <f t="shared" si="197"/>
        <v>8.4395466396640202E-6</v>
      </c>
      <c r="U1564">
        <f t="shared" si="198"/>
        <v>-4.1073814527258093E-3</v>
      </c>
    </row>
    <row r="1565" spans="10:21" x14ac:dyDescent="0.35">
      <c r="J1565">
        <f t="shared" si="199"/>
        <v>1562</v>
      </c>
      <c r="K1565">
        <f>demanda!D1563</f>
        <v>1</v>
      </c>
      <c r="L1565">
        <f>demanda!I1563</f>
        <v>5</v>
      </c>
      <c r="M1565">
        <v>11.786175589530247</v>
      </c>
      <c r="N1565">
        <f t="shared" si="192"/>
        <v>-6.7861755895302469</v>
      </c>
      <c r="O1565">
        <v>5.2058796926701797E-4</v>
      </c>
      <c r="P1565">
        <f t="shared" si="193"/>
        <v>-0.68375779174562712</v>
      </c>
      <c r="Q1565">
        <f t="shared" si="194"/>
        <v>98.529460674016264</v>
      </c>
      <c r="R1565">
        <f t="shared" si="195"/>
        <v>-0.68384096531208116</v>
      </c>
      <c r="S1565">
        <f t="shared" si="196"/>
        <v>0.49415815943295716</v>
      </c>
      <c r="T1565">
        <f t="shared" si="197"/>
        <v>1.2182067544499816E-4</v>
      </c>
      <c r="U1565">
        <f t="shared" si="198"/>
        <v>-1.560684980551091E-2</v>
      </c>
    </row>
    <row r="1566" spans="10:21" x14ac:dyDescent="0.35">
      <c r="J1566">
        <f t="shared" si="199"/>
        <v>1563</v>
      </c>
      <c r="K1566">
        <f>demanda!D1564</f>
        <v>0</v>
      </c>
      <c r="L1566">
        <f>demanda!I1564</f>
        <v>26</v>
      </c>
      <c r="M1566">
        <v>14.416809279416043</v>
      </c>
      <c r="N1566">
        <f t="shared" si="192"/>
        <v>11.583190720583957</v>
      </c>
      <c r="O1566">
        <v>7.4087557083441532E-4</v>
      </c>
      <c r="P1566">
        <f t="shared" si="193"/>
        <v>1.1670928351300105</v>
      </c>
      <c r="Q1566">
        <f t="shared" si="194"/>
        <v>98.483478599645508</v>
      </c>
      <c r="R1566">
        <f t="shared" si="195"/>
        <v>1.1676359443906161</v>
      </c>
      <c r="S1566">
        <f t="shared" si="196"/>
        <v>0.24309869943124471</v>
      </c>
      <c r="T1566">
        <f t="shared" si="197"/>
        <v>5.0532390065243979E-4</v>
      </c>
      <c r="U1566">
        <f t="shared" si="198"/>
        <v>3.1793697068520609E-2</v>
      </c>
    </row>
    <row r="1567" spans="10:21" x14ac:dyDescent="0.35">
      <c r="J1567">
        <f t="shared" si="199"/>
        <v>1564</v>
      </c>
      <c r="K1567">
        <f>demanda!D1565</f>
        <v>2</v>
      </c>
      <c r="L1567">
        <f>demanda!I1565</f>
        <v>4</v>
      </c>
      <c r="M1567">
        <v>9.1555418996444509</v>
      </c>
      <c r="N1567">
        <f t="shared" si="192"/>
        <v>-5.1555418996444509</v>
      </c>
      <c r="O1567">
        <v>7.3144910189317154E-4</v>
      </c>
      <c r="P1567">
        <f t="shared" si="193"/>
        <v>-0.51945928867380853</v>
      </c>
      <c r="Q1567">
        <f t="shared" si="194"/>
        <v>98.539615573748293</v>
      </c>
      <c r="R1567">
        <f t="shared" si="195"/>
        <v>-0.51955051447259837</v>
      </c>
      <c r="S1567">
        <f t="shared" si="196"/>
        <v>0.60343681513546954</v>
      </c>
      <c r="T1567">
        <f t="shared" si="197"/>
        <v>9.8830890695332879E-5</v>
      </c>
      <c r="U1567">
        <f t="shared" si="198"/>
        <v>-1.4056549457229766E-2</v>
      </c>
    </row>
    <row r="1568" spans="10:21" x14ac:dyDescent="0.35">
      <c r="J1568">
        <f t="shared" si="199"/>
        <v>1565</v>
      </c>
      <c r="K1568">
        <f>demanda!D1566</f>
        <v>4</v>
      </c>
      <c r="L1568">
        <f>demanda!I1566</f>
        <v>4</v>
      </c>
      <c r="M1568">
        <v>3.8942745198728588</v>
      </c>
      <c r="N1568">
        <f t="shared" si="192"/>
        <v>0.10572548012714122</v>
      </c>
      <c r="O1568">
        <v>2.4466175697261316E-3</v>
      </c>
      <c r="P1568">
        <f t="shared" si="193"/>
        <v>1.0652630464574285E-2</v>
      </c>
      <c r="Q1568">
        <f t="shared" si="194"/>
        <v>98.553477858863673</v>
      </c>
      <c r="R1568">
        <f t="shared" si="195"/>
        <v>1.0662906866275572E-2</v>
      </c>
      <c r="S1568">
        <f t="shared" si="196"/>
        <v>0.99149350080457299</v>
      </c>
      <c r="T1568">
        <f t="shared" si="197"/>
        <v>1.3950106623021426E-7</v>
      </c>
      <c r="U1568">
        <f t="shared" si="198"/>
        <v>5.2806889669490694E-4</v>
      </c>
    </row>
    <row r="1569" spans="10:21" x14ac:dyDescent="0.35">
      <c r="J1569">
        <f t="shared" si="199"/>
        <v>1566</v>
      </c>
      <c r="K1569">
        <f>demanda!D1567</f>
        <v>4</v>
      </c>
      <c r="L1569">
        <f>demanda!I1567</f>
        <v>4</v>
      </c>
      <c r="M1569">
        <v>3.8942745198728588</v>
      </c>
      <c r="N1569">
        <f t="shared" si="192"/>
        <v>0.10572548012714122</v>
      </c>
      <c r="O1569">
        <v>2.4466175697261316E-3</v>
      </c>
      <c r="P1569">
        <f t="shared" si="193"/>
        <v>1.0652630464574285E-2</v>
      </c>
      <c r="Q1569">
        <f t="shared" si="194"/>
        <v>98.553477858863673</v>
      </c>
      <c r="R1569">
        <f t="shared" si="195"/>
        <v>1.0662906866275572E-2</v>
      </c>
      <c r="S1569">
        <f t="shared" si="196"/>
        <v>0.99149350080457299</v>
      </c>
      <c r="T1569">
        <f t="shared" si="197"/>
        <v>1.3950106623021426E-7</v>
      </c>
      <c r="U1569">
        <f t="shared" si="198"/>
        <v>5.2806889669490694E-4</v>
      </c>
    </row>
    <row r="1570" spans="10:21" x14ac:dyDescent="0.35">
      <c r="J1570">
        <f t="shared" si="199"/>
        <v>1567</v>
      </c>
      <c r="K1570">
        <f>demanda!D1568</f>
        <v>1</v>
      </c>
      <c r="L1570">
        <f>demanda!I1568</f>
        <v>11</v>
      </c>
      <c r="M1570">
        <v>11.786175589530247</v>
      </c>
      <c r="N1570">
        <f t="shared" si="192"/>
        <v>-0.78617558953024691</v>
      </c>
      <c r="O1570">
        <v>5.2058796926701797E-4</v>
      </c>
      <c r="P1570">
        <f t="shared" si="193"/>
        <v>-7.9213052761390276E-2</v>
      </c>
      <c r="Q1570">
        <f t="shared" si="194"/>
        <v>98.553161284987851</v>
      </c>
      <c r="R1570">
        <f t="shared" si="195"/>
        <v>-7.9213161855515926E-2</v>
      </c>
      <c r="S1570">
        <f t="shared" si="196"/>
        <v>0.93687133485398588</v>
      </c>
      <c r="T1570">
        <f t="shared" si="197"/>
        <v>1.6349705257494771E-6</v>
      </c>
      <c r="U1570">
        <f t="shared" si="198"/>
        <v>-1.8078295720913319E-3</v>
      </c>
    </row>
    <row r="1571" spans="10:21" x14ac:dyDescent="0.35">
      <c r="J1571">
        <f t="shared" si="199"/>
        <v>1568</v>
      </c>
      <c r="K1571">
        <f>demanda!D1569</f>
        <v>2</v>
      </c>
      <c r="L1571">
        <f>demanda!I1569</f>
        <v>2</v>
      </c>
      <c r="M1571">
        <v>9.1555418996444509</v>
      </c>
      <c r="N1571">
        <f t="shared" si="192"/>
        <v>-7.1555418996444509</v>
      </c>
      <c r="O1571">
        <v>7.3144910189317154E-4</v>
      </c>
      <c r="P1571">
        <f t="shared" si="193"/>
        <v>-0.72097420166855408</v>
      </c>
      <c r="Q1571">
        <f t="shared" si="194"/>
        <v>98.526768759022602</v>
      </c>
      <c r="R1571">
        <f t="shared" si="195"/>
        <v>-0.72114782718324122</v>
      </c>
      <c r="S1571">
        <f t="shared" si="196"/>
        <v>0.47090641241117204</v>
      </c>
      <c r="T1571">
        <f t="shared" si="197"/>
        <v>1.9038342084795563E-4</v>
      </c>
      <c r="U1571">
        <f t="shared" si="198"/>
        <v>-1.9510807546913981E-2</v>
      </c>
    </row>
    <row r="1572" spans="10:21" x14ac:dyDescent="0.35">
      <c r="J1572">
        <f t="shared" si="199"/>
        <v>1569</v>
      </c>
      <c r="K1572">
        <f>demanda!D1570</f>
        <v>0</v>
      </c>
      <c r="L1572">
        <f>demanda!I1570</f>
        <v>3</v>
      </c>
      <c r="M1572">
        <v>14.416809279416043</v>
      </c>
      <c r="N1572">
        <f t="shared" si="192"/>
        <v>-11.416809279416043</v>
      </c>
      <c r="O1572">
        <v>7.4087557083441532E-4</v>
      </c>
      <c r="P1572">
        <f t="shared" si="193"/>
        <v>-1.150328664309564</v>
      </c>
      <c r="Q1572">
        <f t="shared" si="194"/>
        <v>98.485475268264722</v>
      </c>
      <c r="R1572">
        <f t="shared" si="195"/>
        <v>-1.1508523061099405</v>
      </c>
      <c r="S1572">
        <f t="shared" si="196"/>
        <v>0.24993638008158123</v>
      </c>
      <c r="T1572">
        <f t="shared" si="197"/>
        <v>4.9091117422407117E-4</v>
      </c>
      <c r="U1572">
        <f t="shared" si="198"/>
        <v>-3.1336693399040466E-2</v>
      </c>
    </row>
    <row r="1573" spans="10:21" x14ac:dyDescent="0.35">
      <c r="J1573">
        <f t="shared" si="199"/>
        <v>1570</v>
      </c>
      <c r="K1573">
        <f>demanda!D1571</f>
        <v>1</v>
      </c>
      <c r="L1573">
        <f>demanda!I1571</f>
        <v>7</v>
      </c>
      <c r="M1573">
        <v>11.786175589530247</v>
      </c>
      <c r="N1573">
        <f t="shared" si="192"/>
        <v>-4.7861755895302469</v>
      </c>
      <c r="O1573">
        <v>5.2058796926701797E-4</v>
      </c>
      <c r="P1573">
        <f t="shared" si="193"/>
        <v>-0.48224287875088151</v>
      </c>
      <c r="Q1573">
        <f t="shared" si="194"/>
        <v>98.54153406165311</v>
      </c>
      <c r="R1573">
        <f t="shared" si="195"/>
        <v>-0.48227199277900268</v>
      </c>
      <c r="S1573">
        <f t="shared" si="196"/>
        <v>0.62966774184084362</v>
      </c>
      <c r="T1573">
        <f t="shared" si="197"/>
        <v>6.0596574275712224E-5</v>
      </c>
      <c r="U1573">
        <f t="shared" si="198"/>
        <v>-1.10065745377968E-2</v>
      </c>
    </row>
    <row r="1574" spans="10:21" x14ac:dyDescent="0.35">
      <c r="J1574">
        <f t="shared" si="199"/>
        <v>1571</v>
      </c>
      <c r="K1574">
        <f>demanda!D1572</f>
        <v>0</v>
      </c>
      <c r="L1574">
        <f>demanda!I1572</f>
        <v>4</v>
      </c>
      <c r="M1574">
        <v>14.416809279416043</v>
      </c>
      <c r="N1574">
        <f t="shared" si="192"/>
        <v>-10.416809279416043</v>
      </c>
      <c r="O1574">
        <v>7.4087557083441532E-4</v>
      </c>
      <c r="P1574">
        <f t="shared" si="193"/>
        <v>-1.0495712078121913</v>
      </c>
      <c r="Q1574">
        <f t="shared" si="194"/>
        <v>98.49686724248096</v>
      </c>
      <c r="R1574">
        <f t="shared" si="195"/>
        <v>-1.049988258586362</v>
      </c>
      <c r="S1574">
        <f t="shared" si="196"/>
        <v>0.29385572056513598</v>
      </c>
      <c r="T1574">
        <f t="shared" si="197"/>
        <v>4.0867949778204384E-4</v>
      </c>
      <c r="U1574">
        <f t="shared" si="198"/>
        <v>-2.8590254333443563E-2</v>
      </c>
    </row>
    <row r="1575" spans="10:21" x14ac:dyDescent="0.35">
      <c r="J1575">
        <f t="shared" si="199"/>
        <v>1572</v>
      </c>
      <c r="K1575">
        <f>demanda!D1573</f>
        <v>1</v>
      </c>
      <c r="L1575">
        <f>demanda!I1573</f>
        <v>4</v>
      </c>
      <c r="M1575">
        <v>11.786175589530247</v>
      </c>
      <c r="N1575">
        <f t="shared" si="192"/>
        <v>-7.7861755895302469</v>
      </c>
      <c r="O1575">
        <v>5.2058796926701797E-4</v>
      </c>
      <c r="P1575">
        <f t="shared" si="193"/>
        <v>-0.7845152482429999</v>
      </c>
      <c r="Q1575">
        <f t="shared" si="194"/>
        <v>98.52185903620547</v>
      </c>
      <c r="R1575">
        <f t="shared" si="195"/>
        <v>-0.784640946599786</v>
      </c>
      <c r="S1575">
        <f t="shared" si="196"/>
        <v>0.43276096337473069</v>
      </c>
      <c r="T1575">
        <f t="shared" si="197"/>
        <v>1.6036855085321727E-4</v>
      </c>
      <c r="U1575">
        <f t="shared" si="198"/>
        <v>-1.7907341071981879E-2</v>
      </c>
    </row>
    <row r="1576" spans="10:21" x14ac:dyDescent="0.35">
      <c r="J1576">
        <f t="shared" si="199"/>
        <v>1573</v>
      </c>
      <c r="K1576">
        <f>demanda!D1574</f>
        <v>2</v>
      </c>
      <c r="L1576">
        <f>demanda!I1574</f>
        <v>17</v>
      </c>
      <c r="M1576">
        <v>9.1555418996444509</v>
      </c>
      <c r="N1576">
        <f t="shared" si="192"/>
        <v>7.8444581003555491</v>
      </c>
      <c r="O1576">
        <v>7.3144910189317154E-4</v>
      </c>
      <c r="P1576">
        <f t="shared" si="193"/>
        <v>0.79038764579203791</v>
      </c>
      <c r="Q1576">
        <f t="shared" si="194"/>
        <v>98.521377045179804</v>
      </c>
      <c r="R1576">
        <f t="shared" si="195"/>
        <v>0.79059961992295735</v>
      </c>
      <c r="S1576">
        <f t="shared" si="196"/>
        <v>0.42927535941602513</v>
      </c>
      <c r="T1576">
        <f t="shared" si="197"/>
        <v>2.2880734574350968E-4</v>
      </c>
      <c r="U1576">
        <f t="shared" si="198"/>
        <v>2.1389840542444929E-2</v>
      </c>
    </row>
    <row r="1577" spans="10:21" x14ac:dyDescent="0.35">
      <c r="J1577">
        <f t="shared" si="199"/>
        <v>1574</v>
      </c>
      <c r="K1577">
        <f>demanda!D1575</f>
        <v>2</v>
      </c>
      <c r="L1577">
        <f>demanda!I1575</f>
        <v>9</v>
      </c>
      <c r="M1577">
        <v>9.1555418996444509</v>
      </c>
      <c r="N1577">
        <f t="shared" si="192"/>
        <v>-0.15554189964445087</v>
      </c>
      <c r="O1577">
        <v>7.3144910189317154E-4</v>
      </c>
      <c r="P1577">
        <f t="shared" si="193"/>
        <v>-1.5672006186944486E-2</v>
      </c>
      <c r="Q1577">
        <f t="shared" si="194"/>
        <v>98.553471077998481</v>
      </c>
      <c r="R1577">
        <f t="shared" si="195"/>
        <v>-1.5673656569471353E-2</v>
      </c>
      <c r="S1577">
        <f t="shared" si="196"/>
        <v>0.98749637272587987</v>
      </c>
      <c r="T1577">
        <f t="shared" si="197"/>
        <v>8.9957808175279303E-8</v>
      </c>
      <c r="U1577">
        <f t="shared" si="198"/>
        <v>-4.2405410563023908E-4</v>
      </c>
    </row>
    <row r="1578" spans="10:21" x14ac:dyDescent="0.35">
      <c r="J1578">
        <f t="shared" si="199"/>
        <v>1575</v>
      </c>
      <c r="K1578">
        <f>demanda!D1576</f>
        <v>2</v>
      </c>
      <c r="L1578">
        <f>demanda!I1576</f>
        <v>13</v>
      </c>
      <c r="M1578">
        <v>9.1555418996444509</v>
      </c>
      <c r="N1578">
        <f t="shared" si="192"/>
        <v>3.8444581003555491</v>
      </c>
      <c r="O1578">
        <v>7.3144910189317154E-4</v>
      </c>
      <c r="P1578">
        <f t="shared" si="193"/>
        <v>0.38735781980254674</v>
      </c>
      <c r="Q1578">
        <f t="shared" si="194"/>
        <v>98.545772190761269</v>
      </c>
      <c r="R1578">
        <f t="shared" si="195"/>
        <v>0.3874137440140889</v>
      </c>
      <c r="S1578">
        <f t="shared" si="196"/>
        <v>0.69849289283451077</v>
      </c>
      <c r="T1578">
        <f t="shared" si="197"/>
        <v>5.4955900921259929E-5</v>
      </c>
      <c r="U1578">
        <f t="shared" si="198"/>
        <v>1.0481561082992258E-2</v>
      </c>
    </row>
    <row r="1579" spans="10:21" x14ac:dyDescent="0.35">
      <c r="J1579">
        <f t="shared" si="199"/>
        <v>1576</v>
      </c>
      <c r="K1579">
        <f>demanda!D1577</f>
        <v>0</v>
      </c>
      <c r="L1579">
        <f>demanda!I1577</f>
        <v>5</v>
      </c>
      <c r="M1579">
        <v>14.416809279416043</v>
      </c>
      <c r="N1579">
        <f t="shared" si="192"/>
        <v>-9.416809279416043</v>
      </c>
      <c r="O1579">
        <v>7.4087557083441532E-4</v>
      </c>
      <c r="P1579">
        <f t="shared" si="193"/>
        <v>-0.94881375131481849</v>
      </c>
      <c r="Q1579">
        <f t="shared" si="194"/>
        <v>98.507215690706701</v>
      </c>
      <c r="R1579">
        <f t="shared" si="195"/>
        <v>-0.94914090693055775</v>
      </c>
      <c r="S1579">
        <f t="shared" si="196"/>
        <v>0.34266846368408377</v>
      </c>
      <c r="T1579">
        <f t="shared" si="197"/>
        <v>3.339803955874275E-4</v>
      </c>
      <c r="U1579">
        <f t="shared" si="198"/>
        <v>-2.5844269881602652E-2</v>
      </c>
    </row>
    <row r="1580" spans="10:21" x14ac:dyDescent="0.35">
      <c r="J1580">
        <f t="shared" si="199"/>
        <v>1577</v>
      </c>
      <c r="K1580">
        <f>demanda!D1578</f>
        <v>1</v>
      </c>
      <c r="L1580">
        <f>demanda!I1578</f>
        <v>3</v>
      </c>
      <c r="M1580">
        <v>11.786175589530247</v>
      </c>
      <c r="N1580">
        <f t="shared" si="192"/>
        <v>-8.7861755895302469</v>
      </c>
      <c r="O1580">
        <v>5.2058796926701797E-4</v>
      </c>
      <c r="P1580">
        <f t="shared" si="193"/>
        <v>-0.88527270474037267</v>
      </c>
      <c r="Q1580">
        <f t="shared" si="194"/>
        <v>98.513214102399758</v>
      </c>
      <c r="R1580">
        <f t="shared" si="195"/>
        <v>-0.88545339538896362</v>
      </c>
      <c r="S1580">
        <f t="shared" si="196"/>
        <v>0.37602308055069167</v>
      </c>
      <c r="T1580">
        <f t="shared" si="197"/>
        <v>2.0420697614382047E-4</v>
      </c>
      <c r="U1580">
        <f t="shared" si="198"/>
        <v>-2.0208116875988336E-2</v>
      </c>
    </row>
    <row r="1581" spans="10:21" x14ac:dyDescent="0.35">
      <c r="J1581">
        <f t="shared" si="199"/>
        <v>1578</v>
      </c>
      <c r="K1581">
        <f>demanda!D1579</f>
        <v>3</v>
      </c>
      <c r="L1581">
        <f>demanda!I1579</f>
        <v>3</v>
      </c>
      <c r="M1581">
        <v>6.5249082097586548</v>
      </c>
      <c r="N1581">
        <f t="shared" si="192"/>
        <v>-3.5249082097586548</v>
      </c>
      <c r="O1581">
        <v>1.3734589687128761E-3</v>
      </c>
      <c r="P1581">
        <f t="shared" si="193"/>
        <v>-0.35516078560198994</v>
      </c>
      <c r="Q1581">
        <f t="shared" si="194"/>
        <v>98.546996700749531</v>
      </c>
      <c r="R1581">
        <f t="shared" si="195"/>
        <v>-0.35532401713098288</v>
      </c>
      <c r="S1581">
        <f t="shared" si="196"/>
        <v>0.72238591463660118</v>
      </c>
      <c r="T1581">
        <f t="shared" si="197"/>
        <v>8.6861935283639592E-5</v>
      </c>
      <c r="U1581">
        <f t="shared" si="198"/>
        <v>-1.3177434192717408E-2</v>
      </c>
    </row>
    <row r="1582" spans="10:21" x14ac:dyDescent="0.35">
      <c r="J1582">
        <f t="shared" si="199"/>
        <v>1579</v>
      </c>
      <c r="K1582">
        <f>demanda!D1580</f>
        <v>1</v>
      </c>
      <c r="L1582">
        <f>demanda!I1580</f>
        <v>29</v>
      </c>
      <c r="M1582">
        <v>11.786175589530247</v>
      </c>
      <c r="N1582">
        <f t="shared" si="192"/>
        <v>17.213824410469755</v>
      </c>
      <c r="O1582">
        <v>5.2058796926701797E-4</v>
      </c>
      <c r="P1582">
        <f t="shared" si="193"/>
        <v>1.7344211641913203</v>
      </c>
      <c r="Q1582">
        <f t="shared" si="194"/>
        <v>98.398911183001218</v>
      </c>
      <c r="R1582">
        <f t="shared" si="195"/>
        <v>1.7357824614362596</v>
      </c>
      <c r="S1582">
        <f t="shared" si="196"/>
        <v>8.2762820151286123E-2</v>
      </c>
      <c r="T1582">
        <f t="shared" si="197"/>
        <v>7.8383663036296809E-4</v>
      </c>
      <c r="U1582">
        <f t="shared" si="198"/>
        <v>3.9614614427658283E-2</v>
      </c>
    </row>
    <row r="1583" spans="10:21" x14ac:dyDescent="0.35">
      <c r="J1583">
        <f t="shared" si="199"/>
        <v>1580</v>
      </c>
      <c r="K1583">
        <f>demanda!D1581</f>
        <v>4</v>
      </c>
      <c r="L1583">
        <f>demanda!I1581</f>
        <v>3</v>
      </c>
      <c r="M1583">
        <v>3.8942745198728588</v>
      </c>
      <c r="N1583">
        <f t="shared" si="192"/>
        <v>-0.89427451987285878</v>
      </c>
      <c r="O1583">
        <v>2.4466175697261316E-3</v>
      </c>
      <c r="P1583">
        <f t="shared" si="193"/>
        <v>-9.0104826032798527E-2</v>
      </c>
      <c r="Q1583">
        <f t="shared" si="194"/>
        <v>98.553065719630368</v>
      </c>
      <c r="R1583">
        <f t="shared" si="195"/>
        <v>-9.0191937130002245E-2</v>
      </c>
      <c r="S1583">
        <f t="shared" si="196"/>
        <v>0.92814410376796586</v>
      </c>
      <c r="T1583">
        <f t="shared" si="197"/>
        <v>9.9806748742546123E-6</v>
      </c>
      <c r="U1583">
        <f t="shared" si="198"/>
        <v>-4.4666578568412878E-3</v>
      </c>
    </row>
    <row r="1584" spans="10:21" x14ac:dyDescent="0.35">
      <c r="J1584">
        <f t="shared" si="199"/>
        <v>1581</v>
      </c>
      <c r="K1584">
        <f>demanda!D1582</f>
        <v>0</v>
      </c>
      <c r="L1584">
        <f>demanda!I1582</f>
        <v>3</v>
      </c>
      <c r="M1584">
        <v>14.416809279416043</v>
      </c>
      <c r="N1584">
        <f t="shared" si="192"/>
        <v>-11.416809279416043</v>
      </c>
      <c r="O1584">
        <v>7.4087557083441532E-4</v>
      </c>
      <c r="P1584">
        <f t="shared" si="193"/>
        <v>-1.150328664309564</v>
      </c>
      <c r="Q1584">
        <f t="shared" si="194"/>
        <v>98.485475268264722</v>
      </c>
      <c r="R1584">
        <f t="shared" si="195"/>
        <v>-1.1508523061099405</v>
      </c>
      <c r="S1584">
        <f t="shared" si="196"/>
        <v>0.24993638008158123</v>
      </c>
      <c r="T1584">
        <f t="shared" si="197"/>
        <v>4.9091117422407117E-4</v>
      </c>
      <c r="U1584">
        <f t="shared" si="198"/>
        <v>-3.1336693399040466E-2</v>
      </c>
    </row>
    <row r="1585" spans="10:21" x14ac:dyDescent="0.35">
      <c r="J1585">
        <f t="shared" si="199"/>
        <v>1582</v>
      </c>
      <c r="K1585">
        <f>demanda!D1583</f>
        <v>0</v>
      </c>
      <c r="L1585">
        <f>demanda!I1583</f>
        <v>4</v>
      </c>
      <c r="M1585">
        <v>14.416809279416043</v>
      </c>
      <c r="N1585">
        <f t="shared" si="192"/>
        <v>-10.416809279416043</v>
      </c>
      <c r="O1585">
        <v>7.4087557083441532E-4</v>
      </c>
      <c r="P1585">
        <f t="shared" si="193"/>
        <v>-1.0495712078121913</v>
      </c>
      <c r="Q1585">
        <f t="shared" si="194"/>
        <v>98.49686724248096</v>
      </c>
      <c r="R1585">
        <f t="shared" si="195"/>
        <v>-1.049988258586362</v>
      </c>
      <c r="S1585">
        <f t="shared" si="196"/>
        <v>0.29385572056513598</v>
      </c>
      <c r="T1585">
        <f t="shared" si="197"/>
        <v>4.0867949778204384E-4</v>
      </c>
      <c r="U1585">
        <f t="shared" si="198"/>
        <v>-2.8590254333443563E-2</v>
      </c>
    </row>
    <row r="1586" spans="10:21" x14ac:dyDescent="0.35">
      <c r="J1586">
        <f t="shared" si="199"/>
        <v>1583</v>
      </c>
      <c r="K1586">
        <f>demanda!D1584</f>
        <v>0</v>
      </c>
      <c r="L1586">
        <f>demanda!I1584</f>
        <v>2</v>
      </c>
      <c r="M1586">
        <v>14.416809279416043</v>
      </c>
      <c r="N1586">
        <f t="shared" si="192"/>
        <v>-12.416809279416043</v>
      </c>
      <c r="O1586">
        <v>7.4087557083441532E-4</v>
      </c>
      <c r="P1586">
        <f t="shared" si="193"/>
        <v>-1.2510861208069368</v>
      </c>
      <c r="Q1586">
        <f t="shared" si="194"/>
        <v>98.473039768058015</v>
      </c>
      <c r="R1586">
        <f t="shared" si="195"/>
        <v>-1.2517346575747474</v>
      </c>
      <c r="S1586">
        <f t="shared" si="196"/>
        <v>0.21081911987933932</v>
      </c>
      <c r="T1586">
        <f t="shared" si="197"/>
        <v>5.8067542491350977E-4</v>
      </c>
      <c r="U1586">
        <f t="shared" si="198"/>
        <v>-3.4083630864815417E-2</v>
      </c>
    </row>
    <row r="1587" spans="10:21" x14ac:dyDescent="0.35">
      <c r="J1587">
        <f t="shared" si="199"/>
        <v>1584</v>
      </c>
      <c r="K1587">
        <f>demanda!D1585</f>
        <v>3</v>
      </c>
      <c r="L1587">
        <f>demanda!I1585</f>
        <v>5</v>
      </c>
      <c r="M1587">
        <v>6.5249082097586548</v>
      </c>
      <c r="N1587">
        <f t="shared" si="192"/>
        <v>-1.5249082097586548</v>
      </c>
      <c r="O1587">
        <v>1.3734589687128761E-3</v>
      </c>
      <c r="P1587">
        <f t="shared" si="193"/>
        <v>-0.1536458726072443</v>
      </c>
      <c r="Q1587">
        <f t="shared" si="194"/>
        <v>98.552269653485908</v>
      </c>
      <c r="R1587">
        <f t="shared" si="195"/>
        <v>-0.15371237580313085</v>
      </c>
      <c r="S1587">
        <f t="shared" si="196"/>
        <v>0.8778526883286133</v>
      </c>
      <c r="T1587">
        <f t="shared" si="197"/>
        <v>1.625628414965998E-5</v>
      </c>
      <c r="U1587">
        <f t="shared" si="198"/>
        <v>-5.7005285854497502E-3</v>
      </c>
    </row>
    <row r="1588" spans="10:21" x14ac:dyDescent="0.35">
      <c r="J1588">
        <f t="shared" si="199"/>
        <v>1585</v>
      </c>
      <c r="K1588">
        <f>demanda!D1586</f>
        <v>0</v>
      </c>
      <c r="L1588">
        <f>demanda!I1586</f>
        <v>20</v>
      </c>
      <c r="M1588">
        <v>14.416809279416043</v>
      </c>
      <c r="N1588">
        <f t="shared" si="192"/>
        <v>5.583190720583957</v>
      </c>
      <c r="O1588">
        <v>7.4087557083441532E-4</v>
      </c>
      <c r="P1588">
        <f t="shared" si="193"/>
        <v>0.56254809614577361</v>
      </c>
      <c r="Q1588">
        <f t="shared" si="194"/>
        <v>98.537219295234792</v>
      </c>
      <c r="R1588">
        <f t="shared" si="195"/>
        <v>0.56265638426953379</v>
      </c>
      <c r="S1588">
        <f t="shared" si="196"/>
        <v>0.57373461200688847</v>
      </c>
      <c r="T1588">
        <f t="shared" si="197"/>
        <v>1.1740277235750991E-4</v>
      </c>
      <c r="U1588">
        <f t="shared" si="198"/>
        <v>1.5320637156704552E-2</v>
      </c>
    </row>
    <row r="1589" spans="10:21" x14ac:dyDescent="0.35">
      <c r="J1589">
        <f t="shared" si="199"/>
        <v>1586</v>
      </c>
      <c r="K1589">
        <f>demanda!D1587</f>
        <v>0</v>
      </c>
      <c r="L1589">
        <f>demanda!I1587</f>
        <v>9</v>
      </c>
      <c r="M1589">
        <v>14.416809279416043</v>
      </c>
      <c r="N1589">
        <f t="shared" si="192"/>
        <v>-5.416809279416043</v>
      </c>
      <c r="O1589">
        <v>7.4087557083441532E-4</v>
      </c>
      <c r="P1589">
        <f t="shared" si="193"/>
        <v>-0.54578392532532727</v>
      </c>
      <c r="Q1589">
        <f t="shared" si="194"/>
        <v>98.538174223704843</v>
      </c>
      <c r="R1589">
        <f t="shared" si="195"/>
        <v>-0.54588634131956315</v>
      </c>
      <c r="S1589">
        <f t="shared" si="196"/>
        <v>0.58520751823074413</v>
      </c>
      <c r="T1589">
        <f t="shared" si="197"/>
        <v>1.1050972928307278E-4</v>
      </c>
      <c r="U1589">
        <f t="shared" si="198"/>
        <v>-1.4864003676090257E-2</v>
      </c>
    </row>
    <row r="1590" spans="10:21" x14ac:dyDescent="0.35">
      <c r="J1590">
        <f t="shared" si="199"/>
        <v>1587</v>
      </c>
      <c r="K1590">
        <f>demanda!D1588</f>
        <v>0</v>
      </c>
      <c r="L1590">
        <f>demanda!I1588</f>
        <v>12</v>
      </c>
      <c r="M1590">
        <v>14.416809279416043</v>
      </c>
      <c r="N1590">
        <f t="shared" si="192"/>
        <v>-2.416809279416043</v>
      </c>
      <c r="O1590">
        <v>7.4087557083441532E-4</v>
      </c>
      <c r="P1590">
        <f t="shared" si="193"/>
        <v>-0.24351155583320885</v>
      </c>
      <c r="Q1590">
        <f t="shared" si="194"/>
        <v>98.55043610055337</v>
      </c>
      <c r="R1590">
        <f t="shared" si="195"/>
        <v>-0.24354209816225414</v>
      </c>
      <c r="S1590">
        <f t="shared" si="196"/>
        <v>0.80761150818210881</v>
      </c>
      <c r="T1590">
        <f t="shared" si="197"/>
        <v>2.199875915262289E-5</v>
      </c>
      <c r="U1590">
        <f t="shared" si="198"/>
        <v>-6.6314365617133417E-3</v>
      </c>
    </row>
    <row r="1591" spans="10:21" x14ac:dyDescent="0.35">
      <c r="J1591">
        <f t="shared" si="199"/>
        <v>1588</v>
      </c>
      <c r="K1591">
        <f>demanda!D1589</f>
        <v>1</v>
      </c>
      <c r="L1591">
        <f>demanda!I1589</f>
        <v>24</v>
      </c>
      <c r="M1591">
        <v>11.786175589530247</v>
      </c>
      <c r="N1591">
        <f t="shared" si="192"/>
        <v>12.213824410469753</v>
      </c>
      <c r="O1591">
        <v>5.2058796926701797E-4</v>
      </c>
      <c r="P1591">
        <f t="shared" si="193"/>
        <v>1.2306338817044562</v>
      </c>
      <c r="Q1591">
        <f t="shared" si="194"/>
        <v>98.475665553387771</v>
      </c>
      <c r="R1591">
        <f t="shared" si="195"/>
        <v>1.2311197075839402</v>
      </c>
      <c r="S1591">
        <f t="shared" si="196"/>
        <v>0.21842895613878141</v>
      </c>
      <c r="T1591">
        <f t="shared" si="197"/>
        <v>3.9461552034181306E-4</v>
      </c>
      <c r="U1591">
        <f t="shared" si="198"/>
        <v>2.8097030367431282E-2</v>
      </c>
    </row>
    <row r="1592" spans="10:21" x14ac:dyDescent="0.35">
      <c r="J1592">
        <f t="shared" si="199"/>
        <v>1589</v>
      </c>
      <c r="K1592">
        <f>demanda!D1590</f>
        <v>0</v>
      </c>
      <c r="L1592">
        <f>demanda!I1590</f>
        <v>52</v>
      </c>
      <c r="M1592">
        <v>14.416809279416043</v>
      </c>
      <c r="N1592">
        <f t="shared" si="192"/>
        <v>37.583190720583957</v>
      </c>
      <c r="O1592">
        <v>7.4087557083441532E-4</v>
      </c>
      <c r="P1592">
        <f t="shared" si="193"/>
        <v>3.7867867040617034</v>
      </c>
      <c r="Q1592">
        <f t="shared" si="194"/>
        <v>97.816495440050517</v>
      </c>
      <c r="R1592">
        <f t="shared" si="195"/>
        <v>3.8014434743940182</v>
      </c>
      <c r="S1592">
        <f t="shared" si="196"/>
        <v>1.4834610452783365E-4</v>
      </c>
      <c r="T1592">
        <f t="shared" si="197"/>
        <v>5.3198663435201372E-3</v>
      </c>
      <c r="U1592">
        <f t="shared" si="198"/>
        <v>0.10350995344791754</v>
      </c>
    </row>
    <row r="1593" spans="10:21" x14ac:dyDescent="0.35">
      <c r="J1593">
        <f t="shared" si="199"/>
        <v>1590</v>
      </c>
      <c r="K1593">
        <f>demanda!D1591</f>
        <v>0</v>
      </c>
      <c r="L1593">
        <f>demanda!I1591</f>
        <v>26</v>
      </c>
      <c r="M1593">
        <v>14.416809279416043</v>
      </c>
      <c r="N1593">
        <f t="shared" si="192"/>
        <v>11.583190720583957</v>
      </c>
      <c r="O1593">
        <v>7.4087557083441532E-4</v>
      </c>
      <c r="P1593">
        <f t="shared" si="193"/>
        <v>1.1670928351300105</v>
      </c>
      <c r="Q1593">
        <f t="shared" si="194"/>
        <v>98.483478599645508</v>
      </c>
      <c r="R1593">
        <f t="shared" si="195"/>
        <v>1.1676359443906161</v>
      </c>
      <c r="S1593">
        <f t="shared" si="196"/>
        <v>0.24309869943124471</v>
      </c>
      <c r="T1593">
        <f t="shared" si="197"/>
        <v>5.0532390065243979E-4</v>
      </c>
      <c r="U1593">
        <f t="shared" si="198"/>
        <v>3.1793697068520609E-2</v>
      </c>
    </row>
    <row r="1594" spans="10:21" x14ac:dyDescent="0.35">
      <c r="J1594">
        <f t="shared" si="199"/>
        <v>1591</v>
      </c>
      <c r="K1594">
        <f>demanda!D1592</f>
        <v>0</v>
      </c>
      <c r="L1594">
        <f>demanda!I1592</f>
        <v>30</v>
      </c>
      <c r="M1594">
        <v>14.416809279416043</v>
      </c>
      <c r="N1594">
        <f t="shared" si="192"/>
        <v>15.583190720583957</v>
      </c>
      <c r="O1594">
        <v>7.4087557083441532E-4</v>
      </c>
      <c r="P1594">
        <f t="shared" si="193"/>
        <v>1.5701226611195016</v>
      </c>
      <c r="Q1594">
        <f t="shared" si="194"/>
        <v>98.426780949442986</v>
      </c>
      <c r="R1594">
        <f t="shared" si="195"/>
        <v>1.5713056923486881</v>
      </c>
      <c r="S1594">
        <f t="shared" si="196"/>
        <v>0.11627651321307192</v>
      </c>
      <c r="T1594">
        <f t="shared" si="197"/>
        <v>9.1458947113061428E-4</v>
      </c>
      <c r="U1594">
        <f t="shared" si="198"/>
        <v>4.2785268323209155E-2</v>
      </c>
    </row>
    <row r="1595" spans="10:21" x14ac:dyDescent="0.35">
      <c r="J1595">
        <f t="shared" si="199"/>
        <v>1592</v>
      </c>
      <c r="K1595">
        <f>demanda!D1593</f>
        <v>0</v>
      </c>
      <c r="L1595">
        <f>demanda!I1593</f>
        <v>12</v>
      </c>
      <c r="M1595">
        <v>14.416809279416043</v>
      </c>
      <c r="N1595">
        <f t="shared" si="192"/>
        <v>-2.416809279416043</v>
      </c>
      <c r="O1595">
        <v>7.4087557083441532E-4</v>
      </c>
      <c r="P1595">
        <f t="shared" si="193"/>
        <v>-0.24351155583320885</v>
      </c>
      <c r="Q1595">
        <f t="shared" si="194"/>
        <v>98.55043610055337</v>
      </c>
      <c r="R1595">
        <f t="shared" si="195"/>
        <v>-0.24354209816225414</v>
      </c>
      <c r="S1595">
        <f t="shared" si="196"/>
        <v>0.80761150818210881</v>
      </c>
      <c r="T1595">
        <f t="shared" si="197"/>
        <v>2.199875915262289E-5</v>
      </c>
      <c r="U1595">
        <f t="shared" si="198"/>
        <v>-6.6314365617133417E-3</v>
      </c>
    </row>
    <row r="1596" spans="10:21" x14ac:dyDescent="0.35">
      <c r="J1596">
        <f t="shared" si="199"/>
        <v>1593</v>
      </c>
      <c r="K1596">
        <f>demanda!D1594</f>
        <v>0</v>
      </c>
      <c r="L1596">
        <f>demanda!I1594</f>
        <v>78</v>
      </c>
      <c r="M1596">
        <v>14.416809279416043</v>
      </c>
      <c r="N1596">
        <f t="shared" si="192"/>
        <v>63.583190720583957</v>
      </c>
      <c r="O1596">
        <v>7.4087557083441532E-4</v>
      </c>
      <c r="P1596">
        <f t="shared" si="193"/>
        <v>6.406480572993396</v>
      </c>
      <c r="Q1596">
        <f t="shared" si="194"/>
        <v>96.444088710888181</v>
      </c>
      <c r="R1596">
        <f t="shared" si="195"/>
        <v>6.4768740172671269</v>
      </c>
      <c r="S1596">
        <f t="shared" si="196"/>
        <v>1.1864755678684789E-10</v>
      </c>
      <c r="T1596">
        <f t="shared" si="197"/>
        <v>1.5226428977637714E-2</v>
      </c>
      <c r="U1596">
        <f t="shared" si="198"/>
        <v>0.17635956776187961</v>
      </c>
    </row>
    <row r="1597" spans="10:21" x14ac:dyDescent="0.35">
      <c r="J1597">
        <f t="shared" si="199"/>
        <v>1594</v>
      </c>
      <c r="K1597">
        <f>demanda!D1595</f>
        <v>2</v>
      </c>
      <c r="L1597">
        <f>demanda!I1595</f>
        <v>20</v>
      </c>
      <c r="M1597">
        <v>9.1555418996444509</v>
      </c>
      <c r="N1597">
        <f t="shared" si="192"/>
        <v>10.844458100355549</v>
      </c>
      <c r="O1597">
        <v>7.3144910189317154E-4</v>
      </c>
      <c r="P1597">
        <f t="shared" si="193"/>
        <v>1.0926600152841563</v>
      </c>
      <c r="Q1597">
        <f t="shared" si="194"/>
        <v>98.492123766455236</v>
      </c>
      <c r="R1597">
        <f t="shared" si="195"/>
        <v>1.0931153535495117</v>
      </c>
      <c r="S1597">
        <f t="shared" si="196"/>
        <v>0.27448035657163777</v>
      </c>
      <c r="T1597">
        <f t="shared" si="197"/>
        <v>4.3728016485683658E-4</v>
      </c>
      <c r="U1597">
        <f t="shared" si="198"/>
        <v>2.9574467932581176E-2</v>
      </c>
    </row>
    <row r="1598" spans="10:21" x14ac:dyDescent="0.35">
      <c r="J1598">
        <f t="shared" si="199"/>
        <v>1595</v>
      </c>
      <c r="K1598">
        <f>demanda!D1596</f>
        <v>0</v>
      </c>
      <c r="L1598">
        <f>demanda!I1596</f>
        <v>4</v>
      </c>
      <c r="M1598">
        <v>14.416809279416043</v>
      </c>
      <c r="N1598">
        <f t="shared" si="192"/>
        <v>-10.416809279416043</v>
      </c>
      <c r="O1598">
        <v>7.4087557083441532E-4</v>
      </c>
      <c r="P1598">
        <f t="shared" si="193"/>
        <v>-1.0495712078121913</v>
      </c>
      <c r="Q1598">
        <f t="shared" si="194"/>
        <v>98.49686724248096</v>
      </c>
      <c r="R1598">
        <f t="shared" si="195"/>
        <v>-1.049988258586362</v>
      </c>
      <c r="S1598">
        <f t="shared" si="196"/>
        <v>0.29385572056513598</v>
      </c>
      <c r="T1598">
        <f t="shared" si="197"/>
        <v>4.0867949778204384E-4</v>
      </c>
      <c r="U1598">
        <f t="shared" si="198"/>
        <v>-2.8590254333443563E-2</v>
      </c>
    </row>
    <row r="1599" spans="10:21" x14ac:dyDescent="0.35">
      <c r="J1599">
        <f t="shared" si="199"/>
        <v>1596</v>
      </c>
      <c r="K1599">
        <f>demanda!D1597</f>
        <v>1</v>
      </c>
      <c r="L1599">
        <f>demanda!I1597</f>
        <v>4</v>
      </c>
      <c r="M1599">
        <v>11.786175589530247</v>
      </c>
      <c r="N1599">
        <f t="shared" si="192"/>
        <v>-7.7861755895302469</v>
      </c>
      <c r="O1599">
        <v>5.2058796926701797E-4</v>
      </c>
      <c r="P1599">
        <f t="shared" si="193"/>
        <v>-0.7845152482429999</v>
      </c>
      <c r="Q1599">
        <f t="shared" si="194"/>
        <v>98.52185903620547</v>
      </c>
      <c r="R1599">
        <f t="shared" si="195"/>
        <v>-0.784640946599786</v>
      </c>
      <c r="S1599">
        <f t="shared" si="196"/>
        <v>0.43276096337473069</v>
      </c>
      <c r="T1599">
        <f t="shared" si="197"/>
        <v>1.6036855085321727E-4</v>
      </c>
      <c r="U1599">
        <f t="shared" si="198"/>
        <v>-1.7907341071981879E-2</v>
      </c>
    </row>
    <row r="1600" spans="10:21" x14ac:dyDescent="0.35">
      <c r="J1600">
        <f t="shared" si="199"/>
        <v>1597</v>
      </c>
      <c r="K1600">
        <f>demanda!D1598</f>
        <v>0</v>
      </c>
      <c r="L1600">
        <f>demanda!I1598</f>
        <v>14</v>
      </c>
      <c r="M1600">
        <v>14.416809279416043</v>
      </c>
      <c r="N1600">
        <f t="shared" si="192"/>
        <v>-0.41680927941604295</v>
      </c>
      <c r="O1600">
        <v>7.4087557083441532E-4</v>
      </c>
      <c r="P1600">
        <f t="shared" si="193"/>
        <v>-4.1996642838463258E-2</v>
      </c>
      <c r="Q1600">
        <f t="shared" si="194"/>
        <v>98.553393055166637</v>
      </c>
      <c r="R1600">
        <f t="shared" si="195"/>
        <v>-4.2001280140228352E-2</v>
      </c>
      <c r="S1600">
        <f t="shared" si="196"/>
        <v>0.96650204701357412</v>
      </c>
      <c r="T1600">
        <f t="shared" si="197"/>
        <v>6.5431696937827154E-7</v>
      </c>
      <c r="U1600">
        <f t="shared" si="198"/>
        <v>-1.1436578187608104E-3</v>
      </c>
    </row>
    <row r="1601" spans="10:21" x14ac:dyDescent="0.35">
      <c r="J1601">
        <f t="shared" si="199"/>
        <v>1598</v>
      </c>
      <c r="K1601">
        <f>demanda!D1599</f>
        <v>3</v>
      </c>
      <c r="L1601">
        <f>demanda!I1599</f>
        <v>3</v>
      </c>
      <c r="M1601">
        <v>6.5249082097586548</v>
      </c>
      <c r="N1601">
        <f t="shared" si="192"/>
        <v>-3.5249082097586548</v>
      </c>
      <c r="O1601">
        <v>1.3734589687128761E-3</v>
      </c>
      <c r="P1601">
        <f t="shared" si="193"/>
        <v>-0.35516078560198994</v>
      </c>
      <c r="Q1601">
        <f t="shared" si="194"/>
        <v>98.546996700749531</v>
      </c>
      <c r="R1601">
        <f t="shared" si="195"/>
        <v>-0.35532401713098288</v>
      </c>
      <c r="S1601">
        <f t="shared" si="196"/>
        <v>0.72238591463660118</v>
      </c>
      <c r="T1601">
        <f t="shared" si="197"/>
        <v>8.6861935283639592E-5</v>
      </c>
      <c r="U1601">
        <f t="shared" si="198"/>
        <v>-1.3177434192717408E-2</v>
      </c>
    </row>
    <row r="1602" spans="10:21" x14ac:dyDescent="0.35">
      <c r="J1602">
        <f t="shared" si="199"/>
        <v>1599</v>
      </c>
      <c r="K1602">
        <f>demanda!D1600</f>
        <v>1</v>
      </c>
      <c r="L1602">
        <f>demanda!I1600</f>
        <v>4</v>
      </c>
      <c r="M1602">
        <v>11.786175589530247</v>
      </c>
      <c r="N1602">
        <f t="shared" si="192"/>
        <v>-7.7861755895302469</v>
      </c>
      <c r="O1602">
        <v>5.2058796926701797E-4</v>
      </c>
      <c r="P1602">
        <f t="shared" si="193"/>
        <v>-0.7845152482429999</v>
      </c>
      <c r="Q1602">
        <f t="shared" si="194"/>
        <v>98.52185903620547</v>
      </c>
      <c r="R1602">
        <f t="shared" si="195"/>
        <v>-0.784640946599786</v>
      </c>
      <c r="S1602">
        <f t="shared" si="196"/>
        <v>0.43276096337473069</v>
      </c>
      <c r="T1602">
        <f t="shared" si="197"/>
        <v>1.6036855085321727E-4</v>
      </c>
      <c r="U1602">
        <f t="shared" si="198"/>
        <v>-1.7907341071981879E-2</v>
      </c>
    </row>
    <row r="1603" spans="10:21" x14ac:dyDescent="0.35">
      <c r="J1603">
        <f t="shared" si="199"/>
        <v>1600</v>
      </c>
      <c r="K1603">
        <f>demanda!D1601</f>
        <v>2</v>
      </c>
      <c r="L1603">
        <f>demanda!I1601</f>
        <v>2</v>
      </c>
      <c r="M1603">
        <v>9.1555418996444509</v>
      </c>
      <c r="N1603">
        <f t="shared" si="192"/>
        <v>-7.1555418996444509</v>
      </c>
      <c r="O1603">
        <v>7.3144910189317154E-4</v>
      </c>
      <c r="P1603">
        <f t="shared" si="193"/>
        <v>-0.72097420166855408</v>
      </c>
      <c r="Q1603">
        <f t="shared" si="194"/>
        <v>98.526768759022602</v>
      </c>
      <c r="R1603">
        <f t="shared" si="195"/>
        <v>-0.72114782718324122</v>
      </c>
      <c r="S1603">
        <f t="shared" si="196"/>
        <v>0.47090641241117204</v>
      </c>
      <c r="T1603">
        <f t="shared" si="197"/>
        <v>1.9038342084795563E-4</v>
      </c>
      <c r="U1603">
        <f t="shared" si="198"/>
        <v>-1.9510807546913981E-2</v>
      </c>
    </row>
    <row r="1604" spans="10:21" x14ac:dyDescent="0.35">
      <c r="J1604">
        <f t="shared" si="199"/>
        <v>1601</v>
      </c>
      <c r="K1604">
        <f>demanda!D1602</f>
        <v>4</v>
      </c>
      <c r="L1604">
        <f>demanda!I1602</f>
        <v>2</v>
      </c>
      <c r="M1604">
        <v>3.8942745198728588</v>
      </c>
      <c r="N1604">
        <f t="shared" si="192"/>
        <v>-1.8942745198728588</v>
      </c>
      <c r="O1604">
        <v>2.4466175697261316E-3</v>
      </c>
      <c r="P1604">
        <f t="shared" si="193"/>
        <v>-0.19086228253017132</v>
      </c>
      <c r="Q1604">
        <f t="shared" si="194"/>
        <v>98.551608270054842</v>
      </c>
      <c r="R1604">
        <f t="shared" si="195"/>
        <v>-0.19104821608300357</v>
      </c>
      <c r="S1604">
        <f t="shared" si="196"/>
        <v>0.84850802764464628</v>
      </c>
      <c r="T1604">
        <f t="shared" si="197"/>
        <v>4.4782056131641625E-5</v>
      </c>
      <c r="U1604">
        <f t="shared" si="198"/>
        <v>-9.4614556750527434E-3</v>
      </c>
    </row>
    <row r="1605" spans="10:21" x14ac:dyDescent="0.35">
      <c r="J1605">
        <f t="shared" si="199"/>
        <v>1602</v>
      </c>
      <c r="K1605">
        <f>demanda!D1603</f>
        <v>0</v>
      </c>
      <c r="L1605">
        <f>demanda!I1603</f>
        <v>12</v>
      </c>
      <c r="M1605">
        <v>14.416809279416043</v>
      </c>
      <c r="N1605">
        <f t="shared" ref="N1605:N1668" si="200">L1605-M1605</f>
        <v>-2.416809279416043</v>
      </c>
      <c r="O1605">
        <v>7.4087557083441532E-4</v>
      </c>
      <c r="P1605">
        <f t="shared" ref="P1605:P1668" si="201">N1605/SQRT($X$6)</f>
        <v>-0.24351155583320885</v>
      </c>
      <c r="Q1605">
        <f t="shared" ref="Q1605:Q1668" si="202">($X$6-N1605^2/((1-O1605)*$X$5))*$X$5/($X$5-1)</f>
        <v>98.55043610055337</v>
      </c>
      <c r="R1605">
        <f t="shared" ref="R1605:R1668" si="203">N1605/SQRT(Q1605*(1-O1605))</f>
        <v>-0.24354209816225414</v>
      </c>
      <c r="S1605">
        <f t="shared" ref="S1605:S1668" si="204">_xlfn.T.DIST.2T(ABS(R1605),$X$5)</f>
        <v>0.80761150818210881</v>
      </c>
      <c r="T1605">
        <f t="shared" ref="T1605:T1668" si="205">(N1605^2/$X$6)*(O1605/(1-O1605)^2)/($X$7+1)</f>
        <v>2.199875915262289E-5</v>
      </c>
      <c r="U1605">
        <f t="shared" ref="U1605:U1668" si="206">R1605*SQRT(O1605/(1-O1605))</f>
        <v>-6.6314365617133417E-3</v>
      </c>
    </row>
    <row r="1606" spans="10:21" x14ac:dyDescent="0.35">
      <c r="J1606">
        <f t="shared" ref="J1606:J1669" si="207">J1605+1</f>
        <v>1603</v>
      </c>
      <c r="K1606">
        <f>demanda!D1604</f>
        <v>0</v>
      </c>
      <c r="L1606">
        <f>demanda!I1604</f>
        <v>5</v>
      </c>
      <c r="M1606">
        <v>14.416809279416043</v>
      </c>
      <c r="N1606">
        <f t="shared" si="200"/>
        <v>-9.416809279416043</v>
      </c>
      <c r="O1606">
        <v>7.4087557083441532E-4</v>
      </c>
      <c r="P1606">
        <f t="shared" si="201"/>
        <v>-0.94881375131481849</v>
      </c>
      <c r="Q1606">
        <f t="shared" si="202"/>
        <v>98.507215690706701</v>
      </c>
      <c r="R1606">
        <f t="shared" si="203"/>
        <v>-0.94914090693055775</v>
      </c>
      <c r="S1606">
        <f t="shared" si="204"/>
        <v>0.34266846368408377</v>
      </c>
      <c r="T1606">
        <f t="shared" si="205"/>
        <v>3.339803955874275E-4</v>
      </c>
      <c r="U1606">
        <f t="shared" si="206"/>
        <v>-2.5844269881602652E-2</v>
      </c>
    </row>
    <row r="1607" spans="10:21" x14ac:dyDescent="0.35">
      <c r="J1607">
        <f t="shared" si="207"/>
        <v>1604</v>
      </c>
      <c r="K1607">
        <f>demanda!D1605</f>
        <v>1</v>
      </c>
      <c r="L1607">
        <f>demanda!I1605</f>
        <v>13</v>
      </c>
      <c r="M1607">
        <v>11.786175589530247</v>
      </c>
      <c r="N1607">
        <f t="shared" si="200"/>
        <v>1.2138244104697531</v>
      </c>
      <c r="O1607">
        <v>5.2058796926701797E-4</v>
      </c>
      <c r="P1607">
        <f t="shared" si="201"/>
        <v>0.12230186023335533</v>
      </c>
      <c r="Q1607">
        <f t="shared" si="202"/>
        <v>98.552715120685733</v>
      </c>
      <c r="R1607">
        <f t="shared" si="203"/>
        <v>0.12230230551078146</v>
      </c>
      <c r="S1607">
        <f t="shared" si="204"/>
        <v>0.90267241210292171</v>
      </c>
      <c r="T1607">
        <f t="shared" si="205"/>
        <v>3.8974679450726784E-6</v>
      </c>
      <c r="U1607">
        <f t="shared" si="206"/>
        <v>2.7912245826094769E-3</v>
      </c>
    </row>
    <row r="1608" spans="10:21" x14ac:dyDescent="0.35">
      <c r="J1608">
        <f t="shared" si="207"/>
        <v>1605</v>
      </c>
      <c r="K1608">
        <f>demanda!D1606</f>
        <v>3</v>
      </c>
      <c r="L1608">
        <f>demanda!I1606</f>
        <v>22</v>
      </c>
      <c r="M1608">
        <v>6.5249082097586548</v>
      </c>
      <c r="N1608">
        <f t="shared" si="200"/>
        <v>15.475091790241345</v>
      </c>
      <c r="O1608">
        <v>1.3734589687128761E-3</v>
      </c>
      <c r="P1608">
        <f t="shared" si="201"/>
        <v>1.5592308878480934</v>
      </c>
      <c r="Q1608">
        <f t="shared" si="202"/>
        <v>98.428453548727063</v>
      </c>
      <c r="R1608">
        <f t="shared" si="203"/>
        <v>1.5608865941635277</v>
      </c>
      <c r="S1608">
        <f t="shared" si="204"/>
        <v>0.11871539886831325</v>
      </c>
      <c r="T1608">
        <f t="shared" si="205"/>
        <v>1.6741730405528119E-3</v>
      </c>
      <c r="U1608">
        <f t="shared" si="206"/>
        <v>5.7886546884621491E-2</v>
      </c>
    </row>
    <row r="1609" spans="10:21" x14ac:dyDescent="0.35">
      <c r="J1609">
        <f t="shared" si="207"/>
        <v>1606</v>
      </c>
      <c r="K1609">
        <f>demanda!D1607</f>
        <v>1</v>
      </c>
      <c r="L1609">
        <f>demanda!I1607</f>
        <v>12</v>
      </c>
      <c r="M1609">
        <v>11.786175589530247</v>
      </c>
      <c r="N1609">
        <f t="shared" si="200"/>
        <v>0.21382441046975309</v>
      </c>
      <c r="O1609">
        <v>5.2058796926701797E-4</v>
      </c>
      <c r="P1609">
        <f t="shared" si="201"/>
        <v>2.1544403735982532E-2</v>
      </c>
      <c r="Q1609">
        <f t="shared" si="202"/>
        <v>98.55345985083423</v>
      </c>
      <c r="R1609">
        <f t="shared" si="203"/>
        <v>2.1544400773202785E-2</v>
      </c>
      <c r="S1609">
        <f t="shared" si="204"/>
        <v>0.98281362479024093</v>
      </c>
      <c r="T1609">
        <f t="shared" si="205"/>
        <v>1.2094429421903031E-7</v>
      </c>
      <c r="U1609">
        <f t="shared" si="206"/>
        <v>4.9169360139701592E-4</v>
      </c>
    </row>
    <row r="1610" spans="10:21" x14ac:dyDescent="0.35">
      <c r="J1610">
        <f t="shared" si="207"/>
        <v>1607</v>
      </c>
      <c r="K1610">
        <f>demanda!D1608</f>
        <v>0</v>
      </c>
      <c r="L1610">
        <f>demanda!I1608</f>
        <v>5</v>
      </c>
      <c r="M1610">
        <v>14.416809279416043</v>
      </c>
      <c r="N1610">
        <f t="shared" si="200"/>
        <v>-9.416809279416043</v>
      </c>
      <c r="O1610">
        <v>7.4087557083441532E-4</v>
      </c>
      <c r="P1610">
        <f t="shared" si="201"/>
        <v>-0.94881375131481849</v>
      </c>
      <c r="Q1610">
        <f t="shared" si="202"/>
        <v>98.507215690706701</v>
      </c>
      <c r="R1610">
        <f t="shared" si="203"/>
        <v>-0.94914090693055775</v>
      </c>
      <c r="S1610">
        <f t="shared" si="204"/>
        <v>0.34266846368408377</v>
      </c>
      <c r="T1610">
        <f t="shared" si="205"/>
        <v>3.339803955874275E-4</v>
      </c>
      <c r="U1610">
        <f t="shared" si="206"/>
        <v>-2.5844269881602652E-2</v>
      </c>
    </row>
    <row r="1611" spans="10:21" x14ac:dyDescent="0.35">
      <c r="J1611">
        <f t="shared" si="207"/>
        <v>1608</v>
      </c>
      <c r="K1611">
        <f>demanda!D1609</f>
        <v>0</v>
      </c>
      <c r="L1611">
        <f>demanda!I1609</f>
        <v>15</v>
      </c>
      <c r="M1611">
        <v>14.416809279416043</v>
      </c>
      <c r="N1611">
        <f t="shared" si="200"/>
        <v>0.58319072058395705</v>
      </c>
      <c r="O1611">
        <v>7.4087557083441532E-4</v>
      </c>
      <c r="P1611">
        <f t="shared" si="201"/>
        <v>5.8760813658909554E-2</v>
      </c>
      <c r="Q1611">
        <f t="shared" si="202"/>
        <v>98.553306243487526</v>
      </c>
      <c r="R1611">
        <f t="shared" si="203"/>
        <v>5.8767327956256402E-2</v>
      </c>
      <c r="S1611">
        <f t="shared" si="204"/>
        <v>0.95314355069247325</v>
      </c>
      <c r="T1611">
        <f t="shared" si="205"/>
        <v>1.2809572488725558E-6</v>
      </c>
      <c r="U1611">
        <f t="shared" si="206"/>
        <v>1.6001825154010173E-3</v>
      </c>
    </row>
    <row r="1612" spans="10:21" x14ac:dyDescent="0.35">
      <c r="J1612">
        <f t="shared" si="207"/>
        <v>1609</v>
      </c>
      <c r="K1612">
        <f>demanda!D1610</f>
        <v>0</v>
      </c>
      <c r="L1612">
        <f>demanda!I1610</f>
        <v>3</v>
      </c>
      <c r="M1612">
        <v>14.416809279416043</v>
      </c>
      <c r="N1612">
        <f t="shared" si="200"/>
        <v>-11.416809279416043</v>
      </c>
      <c r="O1612">
        <v>7.4087557083441532E-4</v>
      </c>
      <c r="P1612">
        <f t="shared" si="201"/>
        <v>-1.150328664309564</v>
      </c>
      <c r="Q1612">
        <f t="shared" si="202"/>
        <v>98.485475268264722</v>
      </c>
      <c r="R1612">
        <f t="shared" si="203"/>
        <v>-1.1508523061099405</v>
      </c>
      <c r="S1612">
        <f t="shared" si="204"/>
        <v>0.24993638008158123</v>
      </c>
      <c r="T1612">
        <f t="shared" si="205"/>
        <v>4.9091117422407117E-4</v>
      </c>
      <c r="U1612">
        <f t="shared" si="206"/>
        <v>-3.1336693399040466E-2</v>
      </c>
    </row>
    <row r="1613" spans="10:21" x14ac:dyDescent="0.35">
      <c r="J1613">
        <f t="shared" si="207"/>
        <v>1610</v>
      </c>
      <c r="K1613">
        <f>demanda!D1611</f>
        <v>2</v>
      </c>
      <c r="L1613">
        <f>demanda!I1611</f>
        <v>3</v>
      </c>
      <c r="M1613">
        <v>9.1555418996444509</v>
      </c>
      <c r="N1613">
        <f t="shared" si="200"/>
        <v>-6.1555418996444509</v>
      </c>
      <c r="O1613">
        <v>7.3144910189317154E-4</v>
      </c>
      <c r="P1613">
        <f t="shared" si="201"/>
        <v>-0.62021674517118131</v>
      </c>
      <c r="Q1613">
        <f t="shared" si="202"/>
        <v>98.533713924458709</v>
      </c>
      <c r="R1613">
        <f t="shared" si="203"/>
        <v>-0.62034424251421916</v>
      </c>
      <c r="S1613">
        <f t="shared" si="204"/>
        <v>0.53510483257501296</v>
      </c>
      <c r="T1613">
        <f t="shared" si="205"/>
        <v>1.4088885884323287E-4</v>
      </c>
      <c r="U1613">
        <f t="shared" si="206"/>
        <v>-1.6783545165498539E-2</v>
      </c>
    </row>
    <row r="1614" spans="10:21" x14ac:dyDescent="0.35">
      <c r="J1614">
        <f t="shared" si="207"/>
        <v>1611</v>
      </c>
      <c r="K1614">
        <f>demanda!D1612</f>
        <v>0</v>
      </c>
      <c r="L1614">
        <f>demanda!I1612</f>
        <v>4</v>
      </c>
      <c r="M1614">
        <v>14.416809279416043</v>
      </c>
      <c r="N1614">
        <f t="shared" si="200"/>
        <v>-10.416809279416043</v>
      </c>
      <c r="O1614">
        <v>7.4087557083441532E-4</v>
      </c>
      <c r="P1614">
        <f t="shared" si="201"/>
        <v>-1.0495712078121913</v>
      </c>
      <c r="Q1614">
        <f t="shared" si="202"/>
        <v>98.49686724248096</v>
      </c>
      <c r="R1614">
        <f t="shared" si="203"/>
        <v>-1.049988258586362</v>
      </c>
      <c r="S1614">
        <f t="shared" si="204"/>
        <v>0.29385572056513598</v>
      </c>
      <c r="T1614">
        <f t="shared" si="205"/>
        <v>4.0867949778204384E-4</v>
      </c>
      <c r="U1614">
        <f t="shared" si="206"/>
        <v>-2.8590254333443563E-2</v>
      </c>
    </row>
    <row r="1615" spans="10:21" x14ac:dyDescent="0.35">
      <c r="J1615">
        <f t="shared" si="207"/>
        <v>1612</v>
      </c>
      <c r="K1615">
        <f>demanda!D1613</f>
        <v>0</v>
      </c>
      <c r="L1615">
        <f>demanda!I1613</f>
        <v>13</v>
      </c>
      <c r="M1615">
        <v>14.416809279416043</v>
      </c>
      <c r="N1615">
        <f t="shared" si="200"/>
        <v>-1.416809279416043</v>
      </c>
      <c r="O1615">
        <v>7.4087557083441532E-4</v>
      </c>
      <c r="P1615">
        <f t="shared" si="201"/>
        <v>-0.14275409933583605</v>
      </c>
      <c r="Q1615">
        <f t="shared" si="202"/>
        <v>98.552436340855238</v>
      </c>
      <c r="R1615">
        <f t="shared" si="203"/>
        <v>-0.14277055533334676</v>
      </c>
      <c r="S1615">
        <f t="shared" si="204"/>
        <v>0.88648638054980111</v>
      </c>
      <c r="T1615">
        <f t="shared" si="205"/>
        <v>7.5602509372950483E-6</v>
      </c>
      <c r="U1615">
        <f t="shared" si="206"/>
        <v>-3.8875163173756836E-3</v>
      </c>
    </row>
    <row r="1616" spans="10:21" x14ac:dyDescent="0.35">
      <c r="J1616">
        <f t="shared" si="207"/>
        <v>1613</v>
      </c>
      <c r="K1616">
        <f>demanda!D1614</f>
        <v>1</v>
      </c>
      <c r="L1616">
        <f>demanda!I1614</f>
        <v>3</v>
      </c>
      <c r="M1616">
        <v>11.786175589530247</v>
      </c>
      <c r="N1616">
        <f t="shared" si="200"/>
        <v>-8.7861755895302469</v>
      </c>
      <c r="O1616">
        <v>5.2058796926701797E-4</v>
      </c>
      <c r="P1616">
        <f t="shared" si="201"/>
        <v>-0.88527270474037267</v>
      </c>
      <c r="Q1616">
        <f t="shared" si="202"/>
        <v>98.513214102399758</v>
      </c>
      <c r="R1616">
        <f t="shared" si="203"/>
        <v>-0.88545339538896362</v>
      </c>
      <c r="S1616">
        <f t="shared" si="204"/>
        <v>0.37602308055069167</v>
      </c>
      <c r="T1616">
        <f t="shared" si="205"/>
        <v>2.0420697614382047E-4</v>
      </c>
      <c r="U1616">
        <f t="shared" si="206"/>
        <v>-2.0208116875988336E-2</v>
      </c>
    </row>
    <row r="1617" spans="10:21" x14ac:dyDescent="0.35">
      <c r="J1617">
        <f t="shared" si="207"/>
        <v>1614</v>
      </c>
      <c r="K1617">
        <f>demanda!D1615</f>
        <v>2</v>
      </c>
      <c r="L1617">
        <f>demanda!I1615</f>
        <v>3</v>
      </c>
      <c r="M1617">
        <v>9.1555418996444509</v>
      </c>
      <c r="N1617">
        <f t="shared" si="200"/>
        <v>-6.1555418996444509</v>
      </c>
      <c r="O1617">
        <v>7.3144910189317154E-4</v>
      </c>
      <c r="P1617">
        <f t="shared" si="201"/>
        <v>-0.62021674517118131</v>
      </c>
      <c r="Q1617">
        <f t="shared" si="202"/>
        <v>98.533713924458709</v>
      </c>
      <c r="R1617">
        <f t="shared" si="203"/>
        <v>-0.62034424251421916</v>
      </c>
      <c r="S1617">
        <f t="shared" si="204"/>
        <v>0.53510483257501296</v>
      </c>
      <c r="T1617">
        <f t="shared" si="205"/>
        <v>1.4088885884323287E-4</v>
      </c>
      <c r="U1617">
        <f t="shared" si="206"/>
        <v>-1.6783545165498539E-2</v>
      </c>
    </row>
    <row r="1618" spans="10:21" x14ac:dyDescent="0.35">
      <c r="J1618">
        <f t="shared" si="207"/>
        <v>1615</v>
      </c>
      <c r="K1618">
        <f>demanda!D1616</f>
        <v>1</v>
      </c>
      <c r="L1618">
        <f>demanda!I1616</f>
        <v>3</v>
      </c>
      <c r="M1618">
        <v>11.786175589530247</v>
      </c>
      <c r="N1618">
        <f t="shared" si="200"/>
        <v>-8.7861755895302469</v>
      </c>
      <c r="O1618">
        <v>5.2058796926701797E-4</v>
      </c>
      <c r="P1618">
        <f t="shared" si="201"/>
        <v>-0.88527270474037267</v>
      </c>
      <c r="Q1618">
        <f t="shared" si="202"/>
        <v>98.513214102399758</v>
      </c>
      <c r="R1618">
        <f t="shared" si="203"/>
        <v>-0.88545339538896362</v>
      </c>
      <c r="S1618">
        <f t="shared" si="204"/>
        <v>0.37602308055069167</v>
      </c>
      <c r="T1618">
        <f t="shared" si="205"/>
        <v>2.0420697614382047E-4</v>
      </c>
      <c r="U1618">
        <f t="shared" si="206"/>
        <v>-2.0208116875988336E-2</v>
      </c>
    </row>
    <row r="1619" spans="10:21" x14ac:dyDescent="0.35">
      <c r="J1619">
        <f t="shared" si="207"/>
        <v>1616</v>
      </c>
      <c r="K1619">
        <f>demanda!D1617</f>
        <v>1</v>
      </c>
      <c r="L1619">
        <f>demanda!I1617</f>
        <v>14</v>
      </c>
      <c r="M1619">
        <v>11.786175589530247</v>
      </c>
      <c r="N1619">
        <f t="shared" si="200"/>
        <v>2.2138244104697531</v>
      </c>
      <c r="O1619">
        <v>5.2058796926701797E-4</v>
      </c>
      <c r="P1619">
        <f t="shared" si="201"/>
        <v>0.22305931673072815</v>
      </c>
      <c r="Q1619">
        <f t="shared" si="202"/>
        <v>98.550927094542288</v>
      </c>
      <c r="R1619">
        <f t="shared" si="203"/>
        <v>0.2230621523462217</v>
      </c>
      <c r="S1619">
        <f t="shared" si="204"/>
        <v>0.82351087455410243</v>
      </c>
      <c r="T1619">
        <f t="shared" si="205"/>
        <v>1.2964541478310422E-5</v>
      </c>
      <c r="U1619">
        <f t="shared" si="206"/>
        <v>5.0907998870362093E-3</v>
      </c>
    </row>
    <row r="1620" spans="10:21" x14ac:dyDescent="0.35">
      <c r="J1620">
        <f t="shared" si="207"/>
        <v>1617</v>
      </c>
      <c r="K1620">
        <f>demanda!D1618</f>
        <v>0</v>
      </c>
      <c r="L1620">
        <f>demanda!I1618</f>
        <v>6</v>
      </c>
      <c r="M1620">
        <v>14.416809279416043</v>
      </c>
      <c r="N1620">
        <f t="shared" si="200"/>
        <v>-8.416809279416043</v>
      </c>
      <c r="O1620">
        <v>7.4087557083441532E-4</v>
      </c>
      <c r="P1620">
        <f t="shared" si="201"/>
        <v>-0.84805629481744571</v>
      </c>
      <c r="Q1620">
        <f t="shared" si="202"/>
        <v>98.51652061294196</v>
      </c>
      <c r="R1620">
        <f t="shared" si="203"/>
        <v>-0.8483086443975183</v>
      </c>
      <c r="S1620">
        <f t="shared" si="204"/>
        <v>0.39637190285902191</v>
      </c>
      <c r="T1620">
        <f t="shared" si="205"/>
        <v>2.6681386764022222E-4</v>
      </c>
      <c r="U1620">
        <f t="shared" si="206"/>
        <v>-2.3098696293268058E-2</v>
      </c>
    </row>
    <row r="1621" spans="10:21" x14ac:dyDescent="0.35">
      <c r="J1621">
        <f t="shared" si="207"/>
        <v>1618</v>
      </c>
      <c r="K1621">
        <f>demanda!D1619</f>
        <v>2</v>
      </c>
      <c r="L1621">
        <f>demanda!I1619</f>
        <v>10</v>
      </c>
      <c r="M1621">
        <v>9.1555418996444509</v>
      </c>
      <c r="N1621">
        <f t="shared" si="200"/>
        <v>0.84445810035554913</v>
      </c>
      <c r="O1621">
        <v>7.3144910189317154E-4</v>
      </c>
      <c r="P1621">
        <f t="shared" si="201"/>
        <v>8.5085450310428315E-2</v>
      </c>
      <c r="Q1621">
        <f t="shared" si="202"/>
        <v>98.553111630408949</v>
      </c>
      <c r="R1621">
        <f t="shared" si="203"/>
        <v>8.5094565641383624E-2</v>
      </c>
      <c r="S1621">
        <f t="shared" si="204"/>
        <v>0.9321950870824135</v>
      </c>
      <c r="T1621">
        <f t="shared" si="205"/>
        <v>2.6515528012122139E-6</v>
      </c>
      <c r="U1621">
        <f t="shared" si="206"/>
        <v>2.3022515369728867E-3</v>
      </c>
    </row>
    <row r="1622" spans="10:21" x14ac:dyDescent="0.35">
      <c r="J1622">
        <f t="shared" si="207"/>
        <v>1619</v>
      </c>
      <c r="K1622">
        <f>demanda!D1620</f>
        <v>0</v>
      </c>
      <c r="L1622">
        <f>demanda!I1620</f>
        <v>15</v>
      </c>
      <c r="M1622">
        <v>14.416809279416043</v>
      </c>
      <c r="N1622">
        <f t="shared" si="200"/>
        <v>0.58319072058395705</v>
      </c>
      <c r="O1622">
        <v>7.4087557083441532E-4</v>
      </c>
      <c r="P1622">
        <f t="shared" si="201"/>
        <v>5.8760813658909554E-2</v>
      </c>
      <c r="Q1622">
        <f t="shared" si="202"/>
        <v>98.553306243487526</v>
      </c>
      <c r="R1622">
        <f t="shared" si="203"/>
        <v>5.8767327956256402E-2</v>
      </c>
      <c r="S1622">
        <f t="shared" si="204"/>
        <v>0.95314355069247325</v>
      </c>
      <c r="T1622">
        <f t="shared" si="205"/>
        <v>1.2809572488725558E-6</v>
      </c>
      <c r="U1622">
        <f t="shared" si="206"/>
        <v>1.6001825154010173E-3</v>
      </c>
    </row>
    <row r="1623" spans="10:21" x14ac:dyDescent="0.35">
      <c r="J1623">
        <f t="shared" si="207"/>
        <v>1620</v>
      </c>
      <c r="K1623">
        <f>demanda!D1621</f>
        <v>1</v>
      </c>
      <c r="L1623">
        <f>demanda!I1621</f>
        <v>12</v>
      </c>
      <c r="M1623">
        <v>11.786175589530247</v>
      </c>
      <c r="N1623">
        <f t="shared" si="200"/>
        <v>0.21382441046975309</v>
      </c>
      <c r="O1623">
        <v>5.2058796926701797E-4</v>
      </c>
      <c r="P1623">
        <f t="shared" si="201"/>
        <v>2.1544403735982532E-2</v>
      </c>
      <c r="Q1623">
        <f t="shared" si="202"/>
        <v>98.55345985083423</v>
      </c>
      <c r="R1623">
        <f t="shared" si="203"/>
        <v>2.1544400773202785E-2</v>
      </c>
      <c r="S1623">
        <f t="shared" si="204"/>
        <v>0.98281362479024093</v>
      </c>
      <c r="T1623">
        <f t="shared" si="205"/>
        <v>1.2094429421903031E-7</v>
      </c>
      <c r="U1623">
        <f t="shared" si="206"/>
        <v>4.9169360139701592E-4</v>
      </c>
    </row>
    <row r="1624" spans="10:21" x14ac:dyDescent="0.35">
      <c r="J1624">
        <f t="shared" si="207"/>
        <v>1621</v>
      </c>
      <c r="K1624">
        <f>demanda!D1622</f>
        <v>0</v>
      </c>
      <c r="L1624">
        <f>demanda!I1622</f>
        <v>12</v>
      </c>
      <c r="M1624">
        <v>14.416809279416043</v>
      </c>
      <c r="N1624">
        <f t="shared" si="200"/>
        <v>-2.416809279416043</v>
      </c>
      <c r="O1624">
        <v>7.4087557083441532E-4</v>
      </c>
      <c r="P1624">
        <f t="shared" si="201"/>
        <v>-0.24351155583320885</v>
      </c>
      <c r="Q1624">
        <f t="shared" si="202"/>
        <v>98.55043610055337</v>
      </c>
      <c r="R1624">
        <f t="shared" si="203"/>
        <v>-0.24354209816225414</v>
      </c>
      <c r="S1624">
        <f t="shared" si="204"/>
        <v>0.80761150818210881</v>
      </c>
      <c r="T1624">
        <f t="shared" si="205"/>
        <v>2.199875915262289E-5</v>
      </c>
      <c r="U1624">
        <f t="shared" si="206"/>
        <v>-6.6314365617133417E-3</v>
      </c>
    </row>
    <row r="1625" spans="10:21" x14ac:dyDescent="0.35">
      <c r="J1625">
        <f t="shared" si="207"/>
        <v>1622</v>
      </c>
      <c r="K1625">
        <f>demanda!D1623</f>
        <v>0</v>
      </c>
      <c r="L1625">
        <f>demanda!I1623</f>
        <v>15</v>
      </c>
      <c r="M1625">
        <v>14.416809279416043</v>
      </c>
      <c r="N1625">
        <f t="shared" si="200"/>
        <v>0.58319072058395705</v>
      </c>
      <c r="O1625">
        <v>7.4087557083441532E-4</v>
      </c>
      <c r="P1625">
        <f t="shared" si="201"/>
        <v>5.8760813658909554E-2</v>
      </c>
      <c r="Q1625">
        <f t="shared" si="202"/>
        <v>98.553306243487526</v>
      </c>
      <c r="R1625">
        <f t="shared" si="203"/>
        <v>5.8767327956256402E-2</v>
      </c>
      <c r="S1625">
        <f t="shared" si="204"/>
        <v>0.95314355069247325</v>
      </c>
      <c r="T1625">
        <f t="shared" si="205"/>
        <v>1.2809572488725558E-6</v>
      </c>
      <c r="U1625">
        <f t="shared" si="206"/>
        <v>1.6001825154010173E-3</v>
      </c>
    </row>
    <row r="1626" spans="10:21" x14ac:dyDescent="0.35">
      <c r="J1626">
        <f t="shared" si="207"/>
        <v>1623</v>
      </c>
      <c r="K1626">
        <f>demanda!D1624</f>
        <v>1</v>
      </c>
      <c r="L1626">
        <f>demanda!I1624</f>
        <v>15</v>
      </c>
      <c r="M1626">
        <v>11.786175589530247</v>
      </c>
      <c r="N1626">
        <f t="shared" si="200"/>
        <v>3.2138244104697531</v>
      </c>
      <c r="O1626">
        <v>5.2058796926701797E-4</v>
      </c>
      <c r="P1626">
        <f t="shared" si="201"/>
        <v>0.32381677322810093</v>
      </c>
      <c r="Q1626">
        <f t="shared" si="202"/>
        <v>98.548095772403954</v>
      </c>
      <c r="R1626">
        <f t="shared" si="203"/>
        <v>0.3238255414227269</v>
      </c>
      <c r="S1626">
        <f t="shared" si="204"/>
        <v>0.74610540567370975</v>
      </c>
      <c r="T1626">
        <f t="shared" si="205"/>
        <v>2.7322164893932259E-5</v>
      </c>
      <c r="U1626">
        <f t="shared" si="206"/>
        <v>7.390456033686617E-3</v>
      </c>
    </row>
    <row r="1627" spans="10:21" x14ac:dyDescent="0.35">
      <c r="J1627">
        <f t="shared" si="207"/>
        <v>1624</v>
      </c>
      <c r="K1627">
        <f>demanda!D1625</f>
        <v>0</v>
      </c>
      <c r="L1627">
        <f>demanda!I1625</f>
        <v>15</v>
      </c>
      <c r="M1627">
        <v>14.416809279416043</v>
      </c>
      <c r="N1627">
        <f t="shared" si="200"/>
        <v>0.58319072058395705</v>
      </c>
      <c r="O1627">
        <v>7.4087557083441532E-4</v>
      </c>
      <c r="P1627">
        <f t="shared" si="201"/>
        <v>5.8760813658909554E-2</v>
      </c>
      <c r="Q1627">
        <f t="shared" si="202"/>
        <v>98.553306243487526</v>
      </c>
      <c r="R1627">
        <f t="shared" si="203"/>
        <v>5.8767327956256402E-2</v>
      </c>
      <c r="S1627">
        <f t="shared" si="204"/>
        <v>0.95314355069247325</v>
      </c>
      <c r="T1627">
        <f t="shared" si="205"/>
        <v>1.2809572488725558E-6</v>
      </c>
      <c r="U1627">
        <f t="shared" si="206"/>
        <v>1.6001825154010173E-3</v>
      </c>
    </row>
    <row r="1628" spans="10:21" x14ac:dyDescent="0.35">
      <c r="J1628">
        <f t="shared" si="207"/>
        <v>1625</v>
      </c>
      <c r="K1628">
        <f>demanda!D1626</f>
        <v>0</v>
      </c>
      <c r="L1628">
        <f>demanda!I1626</f>
        <v>15</v>
      </c>
      <c r="M1628">
        <v>14.416809279416043</v>
      </c>
      <c r="N1628">
        <f t="shared" si="200"/>
        <v>0.58319072058395705</v>
      </c>
      <c r="O1628">
        <v>7.4087557083441532E-4</v>
      </c>
      <c r="P1628">
        <f t="shared" si="201"/>
        <v>5.8760813658909554E-2</v>
      </c>
      <c r="Q1628">
        <f t="shared" si="202"/>
        <v>98.553306243487526</v>
      </c>
      <c r="R1628">
        <f t="shared" si="203"/>
        <v>5.8767327956256402E-2</v>
      </c>
      <c r="S1628">
        <f t="shared" si="204"/>
        <v>0.95314355069247325</v>
      </c>
      <c r="T1628">
        <f t="shared" si="205"/>
        <v>1.2809572488725558E-6</v>
      </c>
      <c r="U1628">
        <f t="shared" si="206"/>
        <v>1.6001825154010173E-3</v>
      </c>
    </row>
    <row r="1629" spans="10:21" x14ac:dyDescent="0.35">
      <c r="J1629">
        <f t="shared" si="207"/>
        <v>1626</v>
      </c>
      <c r="K1629">
        <f>demanda!D1627</f>
        <v>0</v>
      </c>
      <c r="L1629">
        <f>demanda!I1627</f>
        <v>15</v>
      </c>
      <c r="M1629">
        <v>14.416809279416043</v>
      </c>
      <c r="N1629">
        <f t="shared" si="200"/>
        <v>0.58319072058395705</v>
      </c>
      <c r="O1629">
        <v>7.4087557083441532E-4</v>
      </c>
      <c r="P1629">
        <f t="shared" si="201"/>
        <v>5.8760813658909554E-2</v>
      </c>
      <c r="Q1629">
        <f t="shared" si="202"/>
        <v>98.553306243487526</v>
      </c>
      <c r="R1629">
        <f t="shared" si="203"/>
        <v>5.8767327956256402E-2</v>
      </c>
      <c r="S1629">
        <f t="shared" si="204"/>
        <v>0.95314355069247325</v>
      </c>
      <c r="T1629">
        <f t="shared" si="205"/>
        <v>1.2809572488725558E-6</v>
      </c>
      <c r="U1629">
        <f t="shared" si="206"/>
        <v>1.6001825154010173E-3</v>
      </c>
    </row>
    <row r="1630" spans="10:21" x14ac:dyDescent="0.35">
      <c r="J1630">
        <f t="shared" si="207"/>
        <v>1627</v>
      </c>
      <c r="K1630">
        <f>demanda!D1628</f>
        <v>0</v>
      </c>
      <c r="L1630">
        <f>demanda!I1628</f>
        <v>9</v>
      </c>
      <c r="M1630">
        <v>14.416809279416043</v>
      </c>
      <c r="N1630">
        <f t="shared" si="200"/>
        <v>-5.416809279416043</v>
      </c>
      <c r="O1630">
        <v>7.4087557083441532E-4</v>
      </c>
      <c r="P1630">
        <f t="shared" si="201"/>
        <v>-0.54578392532532727</v>
      </c>
      <c r="Q1630">
        <f t="shared" si="202"/>
        <v>98.538174223704843</v>
      </c>
      <c r="R1630">
        <f t="shared" si="203"/>
        <v>-0.54588634131956315</v>
      </c>
      <c r="S1630">
        <f t="shared" si="204"/>
        <v>0.58520751823074413</v>
      </c>
      <c r="T1630">
        <f t="shared" si="205"/>
        <v>1.1050972928307278E-4</v>
      </c>
      <c r="U1630">
        <f t="shared" si="206"/>
        <v>-1.4864003676090257E-2</v>
      </c>
    </row>
    <row r="1631" spans="10:21" x14ac:dyDescent="0.35">
      <c r="J1631">
        <f t="shared" si="207"/>
        <v>1628</v>
      </c>
      <c r="K1631">
        <f>demanda!D1629</f>
        <v>0</v>
      </c>
      <c r="L1631">
        <f>demanda!I1629</f>
        <v>15</v>
      </c>
      <c r="M1631">
        <v>14.416809279416043</v>
      </c>
      <c r="N1631">
        <f t="shared" si="200"/>
        <v>0.58319072058395705</v>
      </c>
      <c r="O1631">
        <v>7.4087557083441532E-4</v>
      </c>
      <c r="P1631">
        <f t="shared" si="201"/>
        <v>5.8760813658909554E-2</v>
      </c>
      <c r="Q1631">
        <f t="shared" si="202"/>
        <v>98.553306243487526</v>
      </c>
      <c r="R1631">
        <f t="shared" si="203"/>
        <v>5.8767327956256402E-2</v>
      </c>
      <c r="S1631">
        <f t="shared" si="204"/>
        <v>0.95314355069247325</v>
      </c>
      <c r="T1631">
        <f t="shared" si="205"/>
        <v>1.2809572488725558E-6</v>
      </c>
      <c r="U1631">
        <f t="shared" si="206"/>
        <v>1.6001825154010173E-3</v>
      </c>
    </row>
    <row r="1632" spans="10:21" x14ac:dyDescent="0.35">
      <c r="J1632">
        <f t="shared" si="207"/>
        <v>1629</v>
      </c>
      <c r="K1632">
        <f>demanda!D1630</f>
        <v>0</v>
      </c>
      <c r="L1632">
        <f>demanda!I1630</f>
        <v>15</v>
      </c>
      <c r="M1632">
        <v>14.416809279416043</v>
      </c>
      <c r="N1632">
        <f t="shared" si="200"/>
        <v>0.58319072058395705</v>
      </c>
      <c r="O1632">
        <v>7.4087557083441532E-4</v>
      </c>
      <c r="P1632">
        <f t="shared" si="201"/>
        <v>5.8760813658909554E-2</v>
      </c>
      <c r="Q1632">
        <f t="shared" si="202"/>
        <v>98.553306243487526</v>
      </c>
      <c r="R1632">
        <f t="shared" si="203"/>
        <v>5.8767327956256402E-2</v>
      </c>
      <c r="S1632">
        <f t="shared" si="204"/>
        <v>0.95314355069247325</v>
      </c>
      <c r="T1632">
        <f t="shared" si="205"/>
        <v>1.2809572488725558E-6</v>
      </c>
      <c r="U1632">
        <f t="shared" si="206"/>
        <v>1.6001825154010173E-3</v>
      </c>
    </row>
    <row r="1633" spans="10:21" x14ac:dyDescent="0.35">
      <c r="J1633">
        <f t="shared" si="207"/>
        <v>1630</v>
      </c>
      <c r="K1633">
        <f>demanda!D1631</f>
        <v>0</v>
      </c>
      <c r="L1633">
        <f>demanda!I1631</f>
        <v>15</v>
      </c>
      <c r="M1633">
        <v>14.416809279416043</v>
      </c>
      <c r="N1633">
        <f t="shared" si="200"/>
        <v>0.58319072058395705</v>
      </c>
      <c r="O1633">
        <v>7.4087557083441532E-4</v>
      </c>
      <c r="P1633">
        <f t="shared" si="201"/>
        <v>5.8760813658909554E-2</v>
      </c>
      <c r="Q1633">
        <f t="shared" si="202"/>
        <v>98.553306243487526</v>
      </c>
      <c r="R1633">
        <f t="shared" si="203"/>
        <v>5.8767327956256402E-2</v>
      </c>
      <c r="S1633">
        <f t="shared" si="204"/>
        <v>0.95314355069247325</v>
      </c>
      <c r="T1633">
        <f t="shared" si="205"/>
        <v>1.2809572488725558E-6</v>
      </c>
      <c r="U1633">
        <f t="shared" si="206"/>
        <v>1.6001825154010173E-3</v>
      </c>
    </row>
    <row r="1634" spans="10:21" x14ac:dyDescent="0.35">
      <c r="J1634">
        <f t="shared" si="207"/>
        <v>1631</v>
      </c>
      <c r="K1634">
        <f>demanda!D1632</f>
        <v>0</v>
      </c>
      <c r="L1634">
        <f>demanda!I1632</f>
        <v>15</v>
      </c>
      <c r="M1634">
        <v>14.416809279416043</v>
      </c>
      <c r="N1634">
        <f t="shared" si="200"/>
        <v>0.58319072058395705</v>
      </c>
      <c r="O1634">
        <v>7.4087557083441532E-4</v>
      </c>
      <c r="P1634">
        <f t="shared" si="201"/>
        <v>5.8760813658909554E-2</v>
      </c>
      <c r="Q1634">
        <f t="shared" si="202"/>
        <v>98.553306243487526</v>
      </c>
      <c r="R1634">
        <f t="shared" si="203"/>
        <v>5.8767327956256402E-2</v>
      </c>
      <c r="S1634">
        <f t="shared" si="204"/>
        <v>0.95314355069247325</v>
      </c>
      <c r="T1634">
        <f t="shared" si="205"/>
        <v>1.2809572488725558E-6</v>
      </c>
      <c r="U1634">
        <f t="shared" si="206"/>
        <v>1.6001825154010173E-3</v>
      </c>
    </row>
    <row r="1635" spans="10:21" x14ac:dyDescent="0.35">
      <c r="J1635">
        <f t="shared" si="207"/>
        <v>1632</v>
      </c>
      <c r="K1635">
        <f>demanda!D1633</f>
        <v>0</v>
      </c>
      <c r="L1635">
        <f>demanda!I1633</f>
        <v>15</v>
      </c>
      <c r="M1635">
        <v>14.416809279416043</v>
      </c>
      <c r="N1635">
        <f t="shared" si="200"/>
        <v>0.58319072058395705</v>
      </c>
      <c r="O1635">
        <v>7.4087557083441532E-4</v>
      </c>
      <c r="P1635">
        <f t="shared" si="201"/>
        <v>5.8760813658909554E-2</v>
      </c>
      <c r="Q1635">
        <f t="shared" si="202"/>
        <v>98.553306243487526</v>
      </c>
      <c r="R1635">
        <f t="shared" si="203"/>
        <v>5.8767327956256402E-2</v>
      </c>
      <c r="S1635">
        <f t="shared" si="204"/>
        <v>0.95314355069247325</v>
      </c>
      <c r="T1635">
        <f t="shared" si="205"/>
        <v>1.2809572488725558E-6</v>
      </c>
      <c r="U1635">
        <f t="shared" si="206"/>
        <v>1.6001825154010173E-3</v>
      </c>
    </row>
    <row r="1636" spans="10:21" x14ac:dyDescent="0.35">
      <c r="J1636">
        <f t="shared" si="207"/>
        <v>1633</v>
      </c>
      <c r="K1636">
        <f>demanda!D1634</f>
        <v>0</v>
      </c>
      <c r="L1636">
        <f>demanda!I1634</f>
        <v>15</v>
      </c>
      <c r="M1636">
        <v>14.416809279416043</v>
      </c>
      <c r="N1636">
        <f t="shared" si="200"/>
        <v>0.58319072058395705</v>
      </c>
      <c r="O1636">
        <v>7.4087557083441532E-4</v>
      </c>
      <c r="P1636">
        <f t="shared" si="201"/>
        <v>5.8760813658909554E-2</v>
      </c>
      <c r="Q1636">
        <f t="shared" si="202"/>
        <v>98.553306243487526</v>
      </c>
      <c r="R1636">
        <f t="shared" si="203"/>
        <v>5.8767327956256402E-2</v>
      </c>
      <c r="S1636">
        <f t="shared" si="204"/>
        <v>0.95314355069247325</v>
      </c>
      <c r="T1636">
        <f t="shared" si="205"/>
        <v>1.2809572488725558E-6</v>
      </c>
      <c r="U1636">
        <f t="shared" si="206"/>
        <v>1.6001825154010173E-3</v>
      </c>
    </row>
    <row r="1637" spans="10:21" x14ac:dyDescent="0.35">
      <c r="J1637">
        <f t="shared" si="207"/>
        <v>1634</v>
      </c>
      <c r="K1637">
        <f>demanda!D1635</f>
        <v>0</v>
      </c>
      <c r="L1637">
        <f>demanda!I1635</f>
        <v>15</v>
      </c>
      <c r="M1637">
        <v>14.416809279416043</v>
      </c>
      <c r="N1637">
        <f t="shared" si="200"/>
        <v>0.58319072058395705</v>
      </c>
      <c r="O1637">
        <v>7.4087557083441532E-4</v>
      </c>
      <c r="P1637">
        <f t="shared" si="201"/>
        <v>5.8760813658909554E-2</v>
      </c>
      <c r="Q1637">
        <f t="shared" si="202"/>
        <v>98.553306243487526</v>
      </c>
      <c r="R1637">
        <f t="shared" si="203"/>
        <v>5.8767327956256402E-2</v>
      </c>
      <c r="S1637">
        <f t="shared" si="204"/>
        <v>0.95314355069247325</v>
      </c>
      <c r="T1637">
        <f t="shared" si="205"/>
        <v>1.2809572488725558E-6</v>
      </c>
      <c r="U1637">
        <f t="shared" si="206"/>
        <v>1.6001825154010173E-3</v>
      </c>
    </row>
    <row r="1638" spans="10:21" x14ac:dyDescent="0.35">
      <c r="J1638">
        <f t="shared" si="207"/>
        <v>1635</v>
      </c>
      <c r="K1638">
        <f>demanda!D1636</f>
        <v>0</v>
      </c>
      <c r="L1638">
        <f>demanda!I1636</f>
        <v>15</v>
      </c>
      <c r="M1638">
        <v>14.416809279416043</v>
      </c>
      <c r="N1638">
        <f t="shared" si="200"/>
        <v>0.58319072058395705</v>
      </c>
      <c r="O1638">
        <v>7.4087557083441532E-4</v>
      </c>
      <c r="P1638">
        <f t="shared" si="201"/>
        <v>5.8760813658909554E-2</v>
      </c>
      <c r="Q1638">
        <f t="shared" si="202"/>
        <v>98.553306243487526</v>
      </c>
      <c r="R1638">
        <f t="shared" si="203"/>
        <v>5.8767327956256402E-2</v>
      </c>
      <c r="S1638">
        <f t="shared" si="204"/>
        <v>0.95314355069247325</v>
      </c>
      <c r="T1638">
        <f t="shared" si="205"/>
        <v>1.2809572488725558E-6</v>
      </c>
      <c r="U1638">
        <f t="shared" si="206"/>
        <v>1.6001825154010173E-3</v>
      </c>
    </row>
    <row r="1639" spans="10:21" x14ac:dyDescent="0.35">
      <c r="J1639">
        <f t="shared" si="207"/>
        <v>1636</v>
      </c>
      <c r="K1639">
        <f>demanda!D1637</f>
        <v>0</v>
      </c>
      <c r="L1639">
        <f>demanda!I1637</f>
        <v>15</v>
      </c>
      <c r="M1639">
        <v>14.416809279416043</v>
      </c>
      <c r="N1639">
        <f t="shared" si="200"/>
        <v>0.58319072058395705</v>
      </c>
      <c r="O1639">
        <v>7.4087557083441532E-4</v>
      </c>
      <c r="P1639">
        <f t="shared" si="201"/>
        <v>5.8760813658909554E-2</v>
      </c>
      <c r="Q1639">
        <f t="shared" si="202"/>
        <v>98.553306243487526</v>
      </c>
      <c r="R1639">
        <f t="shared" si="203"/>
        <v>5.8767327956256402E-2</v>
      </c>
      <c r="S1639">
        <f t="shared" si="204"/>
        <v>0.95314355069247325</v>
      </c>
      <c r="T1639">
        <f t="shared" si="205"/>
        <v>1.2809572488725558E-6</v>
      </c>
      <c r="U1639">
        <f t="shared" si="206"/>
        <v>1.6001825154010173E-3</v>
      </c>
    </row>
    <row r="1640" spans="10:21" x14ac:dyDescent="0.35">
      <c r="J1640">
        <f t="shared" si="207"/>
        <v>1637</v>
      </c>
      <c r="K1640">
        <f>demanda!D1638</f>
        <v>0</v>
      </c>
      <c r="L1640">
        <f>demanda!I1638</f>
        <v>15</v>
      </c>
      <c r="M1640">
        <v>14.416809279416043</v>
      </c>
      <c r="N1640">
        <f t="shared" si="200"/>
        <v>0.58319072058395705</v>
      </c>
      <c r="O1640">
        <v>7.4087557083441532E-4</v>
      </c>
      <c r="P1640">
        <f t="shared" si="201"/>
        <v>5.8760813658909554E-2</v>
      </c>
      <c r="Q1640">
        <f t="shared" si="202"/>
        <v>98.553306243487526</v>
      </c>
      <c r="R1640">
        <f t="shared" si="203"/>
        <v>5.8767327956256402E-2</v>
      </c>
      <c r="S1640">
        <f t="shared" si="204"/>
        <v>0.95314355069247325</v>
      </c>
      <c r="T1640">
        <f t="shared" si="205"/>
        <v>1.2809572488725558E-6</v>
      </c>
      <c r="U1640">
        <f t="shared" si="206"/>
        <v>1.6001825154010173E-3</v>
      </c>
    </row>
    <row r="1641" spans="10:21" x14ac:dyDescent="0.35">
      <c r="J1641">
        <f t="shared" si="207"/>
        <v>1638</v>
      </c>
      <c r="K1641">
        <f>demanda!D1639</f>
        <v>0</v>
      </c>
      <c r="L1641">
        <f>demanda!I1639</f>
        <v>14</v>
      </c>
      <c r="M1641">
        <v>14.416809279416043</v>
      </c>
      <c r="N1641">
        <f t="shared" si="200"/>
        <v>-0.41680927941604295</v>
      </c>
      <c r="O1641">
        <v>7.4087557083441532E-4</v>
      </c>
      <c r="P1641">
        <f t="shared" si="201"/>
        <v>-4.1996642838463258E-2</v>
      </c>
      <c r="Q1641">
        <f t="shared" si="202"/>
        <v>98.553393055166637</v>
      </c>
      <c r="R1641">
        <f t="shared" si="203"/>
        <v>-4.2001280140228352E-2</v>
      </c>
      <c r="S1641">
        <f t="shared" si="204"/>
        <v>0.96650204701357412</v>
      </c>
      <c r="T1641">
        <f t="shared" si="205"/>
        <v>6.5431696937827154E-7</v>
      </c>
      <c r="U1641">
        <f t="shared" si="206"/>
        <v>-1.1436578187608104E-3</v>
      </c>
    </row>
    <row r="1642" spans="10:21" x14ac:dyDescent="0.35">
      <c r="J1642">
        <f t="shared" si="207"/>
        <v>1639</v>
      </c>
      <c r="K1642">
        <f>demanda!D1640</f>
        <v>0</v>
      </c>
      <c r="L1642">
        <f>demanda!I1640</f>
        <v>15</v>
      </c>
      <c r="M1642">
        <v>14.416809279416043</v>
      </c>
      <c r="N1642">
        <f t="shared" si="200"/>
        <v>0.58319072058395705</v>
      </c>
      <c r="O1642">
        <v>7.4087557083441532E-4</v>
      </c>
      <c r="P1642">
        <f t="shared" si="201"/>
        <v>5.8760813658909554E-2</v>
      </c>
      <c r="Q1642">
        <f t="shared" si="202"/>
        <v>98.553306243487526</v>
      </c>
      <c r="R1642">
        <f t="shared" si="203"/>
        <v>5.8767327956256402E-2</v>
      </c>
      <c r="S1642">
        <f t="shared" si="204"/>
        <v>0.95314355069247325</v>
      </c>
      <c r="T1642">
        <f t="shared" si="205"/>
        <v>1.2809572488725558E-6</v>
      </c>
      <c r="U1642">
        <f t="shared" si="206"/>
        <v>1.6001825154010173E-3</v>
      </c>
    </row>
    <row r="1643" spans="10:21" x14ac:dyDescent="0.35">
      <c r="J1643">
        <f t="shared" si="207"/>
        <v>1640</v>
      </c>
      <c r="K1643">
        <f>demanda!D1641</f>
        <v>0</v>
      </c>
      <c r="L1643">
        <f>demanda!I1641</f>
        <v>15</v>
      </c>
      <c r="M1643">
        <v>14.416809279416043</v>
      </c>
      <c r="N1643">
        <f t="shared" si="200"/>
        <v>0.58319072058395705</v>
      </c>
      <c r="O1643">
        <v>7.4087557083441532E-4</v>
      </c>
      <c r="P1643">
        <f t="shared" si="201"/>
        <v>5.8760813658909554E-2</v>
      </c>
      <c r="Q1643">
        <f t="shared" si="202"/>
        <v>98.553306243487526</v>
      </c>
      <c r="R1643">
        <f t="shared" si="203"/>
        <v>5.8767327956256402E-2</v>
      </c>
      <c r="S1643">
        <f t="shared" si="204"/>
        <v>0.95314355069247325</v>
      </c>
      <c r="T1643">
        <f t="shared" si="205"/>
        <v>1.2809572488725558E-6</v>
      </c>
      <c r="U1643">
        <f t="shared" si="206"/>
        <v>1.6001825154010173E-3</v>
      </c>
    </row>
    <row r="1644" spans="10:21" x14ac:dyDescent="0.35">
      <c r="J1644">
        <f t="shared" si="207"/>
        <v>1641</v>
      </c>
      <c r="K1644">
        <f>demanda!D1642</f>
        <v>0</v>
      </c>
      <c r="L1644">
        <f>demanda!I1642</f>
        <v>13</v>
      </c>
      <c r="M1644">
        <v>14.416809279416043</v>
      </c>
      <c r="N1644">
        <f t="shared" si="200"/>
        <v>-1.416809279416043</v>
      </c>
      <c r="O1644">
        <v>7.4087557083441532E-4</v>
      </c>
      <c r="P1644">
        <f t="shared" si="201"/>
        <v>-0.14275409933583605</v>
      </c>
      <c r="Q1644">
        <f t="shared" si="202"/>
        <v>98.552436340855238</v>
      </c>
      <c r="R1644">
        <f t="shared" si="203"/>
        <v>-0.14277055533334676</v>
      </c>
      <c r="S1644">
        <f t="shared" si="204"/>
        <v>0.88648638054980111</v>
      </c>
      <c r="T1644">
        <f t="shared" si="205"/>
        <v>7.5602509372950483E-6</v>
      </c>
      <c r="U1644">
        <f t="shared" si="206"/>
        <v>-3.8875163173756836E-3</v>
      </c>
    </row>
    <row r="1645" spans="10:21" x14ac:dyDescent="0.35">
      <c r="J1645">
        <f t="shared" si="207"/>
        <v>1642</v>
      </c>
      <c r="K1645">
        <f>demanda!D1643</f>
        <v>0</v>
      </c>
      <c r="L1645">
        <f>demanda!I1643</f>
        <v>15</v>
      </c>
      <c r="M1645">
        <v>14.416809279416043</v>
      </c>
      <c r="N1645">
        <f t="shared" si="200"/>
        <v>0.58319072058395705</v>
      </c>
      <c r="O1645">
        <v>7.4087557083441532E-4</v>
      </c>
      <c r="P1645">
        <f t="shared" si="201"/>
        <v>5.8760813658909554E-2</v>
      </c>
      <c r="Q1645">
        <f t="shared" si="202"/>
        <v>98.553306243487526</v>
      </c>
      <c r="R1645">
        <f t="shared" si="203"/>
        <v>5.8767327956256402E-2</v>
      </c>
      <c r="S1645">
        <f t="shared" si="204"/>
        <v>0.95314355069247325</v>
      </c>
      <c r="T1645">
        <f t="shared" si="205"/>
        <v>1.2809572488725558E-6</v>
      </c>
      <c r="U1645">
        <f t="shared" si="206"/>
        <v>1.6001825154010173E-3</v>
      </c>
    </row>
    <row r="1646" spans="10:21" x14ac:dyDescent="0.35">
      <c r="J1646">
        <f t="shared" si="207"/>
        <v>1643</v>
      </c>
      <c r="K1646">
        <f>demanda!D1644</f>
        <v>0</v>
      </c>
      <c r="L1646">
        <f>demanda!I1644</f>
        <v>15</v>
      </c>
      <c r="M1646">
        <v>14.416809279416043</v>
      </c>
      <c r="N1646">
        <f t="shared" si="200"/>
        <v>0.58319072058395705</v>
      </c>
      <c r="O1646">
        <v>7.4087557083441532E-4</v>
      </c>
      <c r="P1646">
        <f t="shared" si="201"/>
        <v>5.8760813658909554E-2</v>
      </c>
      <c r="Q1646">
        <f t="shared" si="202"/>
        <v>98.553306243487526</v>
      </c>
      <c r="R1646">
        <f t="shared" si="203"/>
        <v>5.8767327956256402E-2</v>
      </c>
      <c r="S1646">
        <f t="shared" si="204"/>
        <v>0.95314355069247325</v>
      </c>
      <c r="T1646">
        <f t="shared" si="205"/>
        <v>1.2809572488725558E-6</v>
      </c>
      <c r="U1646">
        <f t="shared" si="206"/>
        <v>1.6001825154010173E-3</v>
      </c>
    </row>
    <row r="1647" spans="10:21" x14ac:dyDescent="0.35">
      <c r="J1647">
        <f t="shared" si="207"/>
        <v>1644</v>
      </c>
      <c r="K1647">
        <f>demanda!D1645</f>
        <v>0</v>
      </c>
      <c r="L1647">
        <f>demanda!I1645</f>
        <v>3</v>
      </c>
      <c r="M1647">
        <v>14.416809279416043</v>
      </c>
      <c r="N1647">
        <f t="shared" si="200"/>
        <v>-11.416809279416043</v>
      </c>
      <c r="O1647">
        <v>7.4087557083441532E-4</v>
      </c>
      <c r="P1647">
        <f t="shared" si="201"/>
        <v>-1.150328664309564</v>
      </c>
      <c r="Q1647">
        <f t="shared" si="202"/>
        <v>98.485475268264722</v>
      </c>
      <c r="R1647">
        <f t="shared" si="203"/>
        <v>-1.1508523061099405</v>
      </c>
      <c r="S1647">
        <f t="shared" si="204"/>
        <v>0.24993638008158123</v>
      </c>
      <c r="T1647">
        <f t="shared" si="205"/>
        <v>4.9091117422407117E-4</v>
      </c>
      <c r="U1647">
        <f t="shared" si="206"/>
        <v>-3.1336693399040466E-2</v>
      </c>
    </row>
    <row r="1648" spans="10:21" x14ac:dyDescent="0.35">
      <c r="J1648">
        <f t="shared" si="207"/>
        <v>1645</v>
      </c>
      <c r="K1648">
        <f>demanda!D1646</f>
        <v>0</v>
      </c>
      <c r="L1648">
        <f>demanda!I1646</f>
        <v>3</v>
      </c>
      <c r="M1648">
        <v>14.416809279416043</v>
      </c>
      <c r="N1648">
        <f t="shared" si="200"/>
        <v>-11.416809279416043</v>
      </c>
      <c r="O1648">
        <v>7.4087557083441532E-4</v>
      </c>
      <c r="P1648">
        <f t="shared" si="201"/>
        <v>-1.150328664309564</v>
      </c>
      <c r="Q1648">
        <f t="shared" si="202"/>
        <v>98.485475268264722</v>
      </c>
      <c r="R1648">
        <f t="shared" si="203"/>
        <v>-1.1508523061099405</v>
      </c>
      <c r="S1648">
        <f t="shared" si="204"/>
        <v>0.24993638008158123</v>
      </c>
      <c r="T1648">
        <f t="shared" si="205"/>
        <v>4.9091117422407117E-4</v>
      </c>
      <c r="U1648">
        <f t="shared" si="206"/>
        <v>-3.1336693399040466E-2</v>
      </c>
    </row>
    <row r="1649" spans="10:21" x14ac:dyDescent="0.35">
      <c r="J1649">
        <f t="shared" si="207"/>
        <v>1646</v>
      </c>
      <c r="K1649">
        <f>demanda!D1647</f>
        <v>4</v>
      </c>
      <c r="L1649">
        <f>demanda!I1647</f>
        <v>3</v>
      </c>
      <c r="M1649">
        <v>3.8942745198728588</v>
      </c>
      <c r="N1649">
        <f t="shared" si="200"/>
        <v>-0.89427451987285878</v>
      </c>
      <c r="O1649">
        <v>2.4466175697261316E-3</v>
      </c>
      <c r="P1649">
        <f t="shared" si="201"/>
        <v>-9.0104826032798527E-2</v>
      </c>
      <c r="Q1649">
        <f t="shared" si="202"/>
        <v>98.553065719630368</v>
      </c>
      <c r="R1649">
        <f t="shared" si="203"/>
        <v>-9.0191937130002245E-2</v>
      </c>
      <c r="S1649">
        <f t="shared" si="204"/>
        <v>0.92814410376796586</v>
      </c>
      <c r="T1649">
        <f t="shared" si="205"/>
        <v>9.9806748742546123E-6</v>
      </c>
      <c r="U1649">
        <f t="shared" si="206"/>
        <v>-4.4666578568412878E-3</v>
      </c>
    </row>
    <row r="1650" spans="10:21" x14ac:dyDescent="0.35">
      <c r="J1650">
        <f t="shared" si="207"/>
        <v>1647</v>
      </c>
      <c r="K1650">
        <f>demanda!D1648</f>
        <v>0</v>
      </c>
      <c r="L1650">
        <f>demanda!I1648</f>
        <v>12</v>
      </c>
      <c r="M1650">
        <v>14.416809279416043</v>
      </c>
      <c r="N1650">
        <f t="shared" si="200"/>
        <v>-2.416809279416043</v>
      </c>
      <c r="O1650">
        <v>7.4087557083441532E-4</v>
      </c>
      <c r="P1650">
        <f t="shared" si="201"/>
        <v>-0.24351155583320885</v>
      </c>
      <c r="Q1650">
        <f t="shared" si="202"/>
        <v>98.55043610055337</v>
      </c>
      <c r="R1650">
        <f t="shared" si="203"/>
        <v>-0.24354209816225414</v>
      </c>
      <c r="S1650">
        <f t="shared" si="204"/>
        <v>0.80761150818210881</v>
      </c>
      <c r="T1650">
        <f t="shared" si="205"/>
        <v>2.199875915262289E-5</v>
      </c>
      <c r="U1650">
        <f t="shared" si="206"/>
        <v>-6.6314365617133417E-3</v>
      </c>
    </row>
    <row r="1651" spans="10:21" x14ac:dyDescent="0.35">
      <c r="J1651">
        <f t="shared" si="207"/>
        <v>1648</v>
      </c>
      <c r="K1651">
        <f>demanda!D1649</f>
        <v>0</v>
      </c>
      <c r="L1651">
        <f>demanda!I1649</f>
        <v>5</v>
      </c>
      <c r="M1651">
        <v>14.416809279416043</v>
      </c>
      <c r="N1651">
        <f t="shared" si="200"/>
        <v>-9.416809279416043</v>
      </c>
      <c r="O1651">
        <v>7.4087557083441532E-4</v>
      </c>
      <c r="P1651">
        <f t="shared" si="201"/>
        <v>-0.94881375131481849</v>
      </c>
      <c r="Q1651">
        <f t="shared" si="202"/>
        <v>98.507215690706701</v>
      </c>
      <c r="R1651">
        <f t="shared" si="203"/>
        <v>-0.94914090693055775</v>
      </c>
      <c r="S1651">
        <f t="shared" si="204"/>
        <v>0.34266846368408377</v>
      </c>
      <c r="T1651">
        <f t="shared" si="205"/>
        <v>3.339803955874275E-4</v>
      </c>
      <c r="U1651">
        <f t="shared" si="206"/>
        <v>-2.5844269881602652E-2</v>
      </c>
    </row>
    <row r="1652" spans="10:21" x14ac:dyDescent="0.35">
      <c r="J1652">
        <f t="shared" si="207"/>
        <v>1649</v>
      </c>
      <c r="K1652">
        <f>demanda!D1650</f>
        <v>3</v>
      </c>
      <c r="L1652">
        <f>demanda!I1650</f>
        <v>4</v>
      </c>
      <c r="M1652">
        <v>6.5249082097586548</v>
      </c>
      <c r="N1652">
        <f t="shared" si="200"/>
        <v>-2.5249082097586548</v>
      </c>
      <c r="O1652">
        <v>1.3734589687128761E-3</v>
      </c>
      <c r="P1652">
        <f t="shared" si="201"/>
        <v>-0.2544033291046171</v>
      </c>
      <c r="Q1652">
        <f t="shared" si="202"/>
        <v>98.550155270625524</v>
      </c>
      <c r="R1652">
        <f t="shared" si="203"/>
        <v>-0.25451617384299874</v>
      </c>
      <c r="S1652">
        <f t="shared" si="204"/>
        <v>0.79912408038987892</v>
      </c>
      <c r="T1652">
        <f t="shared" si="205"/>
        <v>4.4568197050885148E-5</v>
      </c>
      <c r="U1652">
        <f t="shared" si="206"/>
        <v>-9.4389063786870474E-3</v>
      </c>
    </row>
    <row r="1653" spans="10:21" x14ac:dyDescent="0.35">
      <c r="J1653">
        <f t="shared" si="207"/>
        <v>1650</v>
      </c>
      <c r="K1653">
        <f>demanda!D1651</f>
        <v>0</v>
      </c>
      <c r="L1653">
        <f>demanda!I1651</f>
        <v>10</v>
      </c>
      <c r="M1653">
        <v>14.416809279416043</v>
      </c>
      <c r="N1653">
        <f t="shared" si="200"/>
        <v>-4.416809279416043</v>
      </c>
      <c r="O1653">
        <v>7.4087557083441532E-4</v>
      </c>
      <c r="P1653">
        <f t="shared" si="201"/>
        <v>-0.44502646882795449</v>
      </c>
      <c r="Q1653">
        <f t="shared" si="202"/>
        <v>98.543305041978172</v>
      </c>
      <c r="R1653">
        <f t="shared" si="203"/>
        <v>-0.44509838991165818</v>
      </c>
      <c r="S1653">
        <f t="shared" si="204"/>
        <v>0.65629885256814913</v>
      </c>
      <c r="T1653">
        <f t="shared" si="205"/>
        <v>7.3473498325511761E-5</v>
      </c>
      <c r="U1653">
        <f t="shared" si="206"/>
        <v>-1.2119636640616644E-2</v>
      </c>
    </row>
    <row r="1654" spans="10:21" x14ac:dyDescent="0.35">
      <c r="J1654">
        <f t="shared" si="207"/>
        <v>1651</v>
      </c>
      <c r="K1654">
        <f>demanda!D1652</f>
        <v>1</v>
      </c>
      <c r="L1654">
        <f>demanda!I1652</f>
        <v>4</v>
      </c>
      <c r="M1654">
        <v>11.786175589530247</v>
      </c>
      <c r="N1654">
        <f t="shared" si="200"/>
        <v>-7.7861755895302469</v>
      </c>
      <c r="O1654">
        <v>5.2058796926701797E-4</v>
      </c>
      <c r="P1654">
        <f t="shared" si="201"/>
        <v>-0.7845152482429999</v>
      </c>
      <c r="Q1654">
        <f t="shared" si="202"/>
        <v>98.52185903620547</v>
      </c>
      <c r="R1654">
        <f t="shared" si="203"/>
        <v>-0.784640946599786</v>
      </c>
      <c r="S1654">
        <f t="shared" si="204"/>
        <v>0.43276096337473069</v>
      </c>
      <c r="T1654">
        <f t="shared" si="205"/>
        <v>1.6036855085321727E-4</v>
      </c>
      <c r="U1654">
        <f t="shared" si="206"/>
        <v>-1.7907341071981879E-2</v>
      </c>
    </row>
    <row r="1655" spans="10:21" x14ac:dyDescent="0.35">
      <c r="J1655">
        <f t="shared" si="207"/>
        <v>1652</v>
      </c>
      <c r="K1655">
        <f>demanda!D1653</f>
        <v>1</v>
      </c>
      <c r="L1655">
        <f>demanda!I1653</f>
        <v>7</v>
      </c>
      <c r="M1655">
        <v>11.786175589530247</v>
      </c>
      <c r="N1655">
        <f t="shared" si="200"/>
        <v>-4.7861755895302469</v>
      </c>
      <c r="O1655">
        <v>5.2058796926701797E-4</v>
      </c>
      <c r="P1655">
        <f t="shared" si="201"/>
        <v>-0.48224287875088151</v>
      </c>
      <c r="Q1655">
        <f t="shared" si="202"/>
        <v>98.54153406165311</v>
      </c>
      <c r="R1655">
        <f t="shared" si="203"/>
        <v>-0.48227199277900268</v>
      </c>
      <c r="S1655">
        <f t="shared" si="204"/>
        <v>0.62966774184084362</v>
      </c>
      <c r="T1655">
        <f t="shared" si="205"/>
        <v>6.0596574275712224E-5</v>
      </c>
      <c r="U1655">
        <f t="shared" si="206"/>
        <v>-1.10065745377968E-2</v>
      </c>
    </row>
    <row r="1656" spans="10:21" x14ac:dyDescent="0.35">
      <c r="J1656">
        <f t="shared" si="207"/>
        <v>1653</v>
      </c>
      <c r="K1656">
        <f>demanda!D1654</f>
        <v>1</v>
      </c>
      <c r="L1656">
        <f>demanda!I1654</f>
        <v>7</v>
      </c>
      <c r="M1656">
        <v>11.786175589530247</v>
      </c>
      <c r="N1656">
        <f t="shared" si="200"/>
        <v>-4.7861755895302469</v>
      </c>
      <c r="O1656">
        <v>5.2058796926701797E-4</v>
      </c>
      <c r="P1656">
        <f t="shared" si="201"/>
        <v>-0.48224287875088151</v>
      </c>
      <c r="Q1656">
        <f t="shared" si="202"/>
        <v>98.54153406165311</v>
      </c>
      <c r="R1656">
        <f t="shared" si="203"/>
        <v>-0.48227199277900268</v>
      </c>
      <c r="S1656">
        <f t="shared" si="204"/>
        <v>0.62966774184084362</v>
      </c>
      <c r="T1656">
        <f t="shared" si="205"/>
        <v>6.0596574275712224E-5</v>
      </c>
      <c r="U1656">
        <f t="shared" si="206"/>
        <v>-1.10065745377968E-2</v>
      </c>
    </row>
    <row r="1657" spans="10:21" x14ac:dyDescent="0.35">
      <c r="J1657">
        <f t="shared" si="207"/>
        <v>1654</v>
      </c>
      <c r="K1657">
        <f>demanda!D1655</f>
        <v>0</v>
      </c>
      <c r="L1657">
        <f>demanda!I1655</f>
        <v>10</v>
      </c>
      <c r="M1657">
        <v>14.416809279416043</v>
      </c>
      <c r="N1657">
        <f t="shared" si="200"/>
        <v>-4.416809279416043</v>
      </c>
      <c r="O1657">
        <v>7.4087557083441532E-4</v>
      </c>
      <c r="P1657">
        <f t="shared" si="201"/>
        <v>-0.44502646882795449</v>
      </c>
      <c r="Q1657">
        <f t="shared" si="202"/>
        <v>98.543305041978172</v>
      </c>
      <c r="R1657">
        <f t="shared" si="203"/>
        <v>-0.44509838991165818</v>
      </c>
      <c r="S1657">
        <f t="shared" si="204"/>
        <v>0.65629885256814913</v>
      </c>
      <c r="T1657">
        <f t="shared" si="205"/>
        <v>7.3473498325511761E-5</v>
      </c>
      <c r="U1657">
        <f t="shared" si="206"/>
        <v>-1.2119636640616644E-2</v>
      </c>
    </row>
    <row r="1658" spans="10:21" x14ac:dyDescent="0.35">
      <c r="J1658">
        <f t="shared" si="207"/>
        <v>1655</v>
      </c>
      <c r="K1658">
        <f>demanda!D1656</f>
        <v>0</v>
      </c>
      <c r="L1658">
        <f>demanda!I1656</f>
        <v>34</v>
      </c>
      <c r="M1658">
        <v>14.416809279416043</v>
      </c>
      <c r="N1658">
        <f t="shared" si="200"/>
        <v>19.583190720583957</v>
      </c>
      <c r="O1658">
        <v>7.4087557083441532E-4</v>
      </c>
      <c r="P1658">
        <f t="shared" si="201"/>
        <v>1.9731524871089929</v>
      </c>
      <c r="Q1658">
        <f t="shared" si="202"/>
        <v>98.353386883392687</v>
      </c>
      <c r="R1658">
        <f t="shared" si="203"/>
        <v>1.9753758151645147</v>
      </c>
      <c r="S1658">
        <f t="shared" si="204"/>
        <v>4.8368602165151535E-2</v>
      </c>
      <c r="T1658">
        <f t="shared" si="205"/>
        <v>1.4443762295673656E-3</v>
      </c>
      <c r="U1658">
        <f t="shared" si="206"/>
        <v>5.3787741432197791E-2</v>
      </c>
    </row>
    <row r="1659" spans="10:21" x14ac:dyDescent="0.35">
      <c r="J1659">
        <f t="shared" si="207"/>
        <v>1656</v>
      </c>
      <c r="K1659">
        <f>demanda!D1657</f>
        <v>2</v>
      </c>
      <c r="L1659">
        <f>demanda!I1657</f>
        <v>6</v>
      </c>
      <c r="M1659">
        <v>9.1555418996444509</v>
      </c>
      <c r="N1659">
        <f t="shared" si="200"/>
        <v>-3.1555418996444509</v>
      </c>
      <c r="O1659">
        <v>7.3144910189317154E-4</v>
      </c>
      <c r="P1659">
        <f t="shared" si="201"/>
        <v>-0.31794437567906292</v>
      </c>
      <c r="Q1659">
        <f t="shared" si="202"/>
        <v>98.548288323887917</v>
      </c>
      <c r="R1659">
        <f t="shared" si="203"/>
        <v>-0.31798621894046453</v>
      </c>
      <c r="S1659">
        <f t="shared" si="204"/>
        <v>0.7505299890935464</v>
      </c>
      <c r="T1659">
        <f t="shared" si="205"/>
        <v>3.702473597000139E-5</v>
      </c>
      <c r="U1659">
        <f t="shared" si="206"/>
        <v>-8.6031846543188698E-3</v>
      </c>
    </row>
    <row r="1660" spans="10:21" x14ac:dyDescent="0.35">
      <c r="J1660">
        <f t="shared" si="207"/>
        <v>1657</v>
      </c>
      <c r="K1660">
        <f>demanda!D1658</f>
        <v>6</v>
      </c>
      <c r="L1660">
        <f>demanda!I1658</f>
        <v>3</v>
      </c>
      <c r="M1660">
        <v>-1.3669928598987333</v>
      </c>
      <c r="N1660">
        <f t="shared" si="200"/>
        <v>4.3669928598987333</v>
      </c>
      <c r="O1660">
        <v>5.8863809743332956E-3</v>
      </c>
      <c r="P1660">
        <f t="shared" si="201"/>
        <v>0.44000709310558428</v>
      </c>
      <c r="Q1660">
        <f t="shared" si="202"/>
        <v>98.543481851032595</v>
      </c>
      <c r="R1660">
        <f t="shared" si="203"/>
        <v>0.44121525371752685</v>
      </c>
      <c r="S1660">
        <f t="shared" si="204"/>
        <v>0.65910687609302177</v>
      </c>
      <c r="T1660">
        <f t="shared" si="205"/>
        <v>5.7658810569327667E-4</v>
      </c>
      <c r="U1660">
        <f t="shared" si="206"/>
        <v>3.3951322043777717E-2</v>
      </c>
    </row>
    <row r="1661" spans="10:21" x14ac:dyDescent="0.35">
      <c r="J1661">
        <f t="shared" si="207"/>
        <v>1658</v>
      </c>
      <c r="K1661">
        <f>demanda!D1659</f>
        <v>2</v>
      </c>
      <c r="L1661">
        <f>demanda!I1659</f>
        <v>3</v>
      </c>
      <c r="M1661">
        <v>9.1555418996444509</v>
      </c>
      <c r="N1661">
        <f t="shared" si="200"/>
        <v>-6.1555418996444509</v>
      </c>
      <c r="O1661">
        <v>7.3144910189317154E-4</v>
      </c>
      <c r="P1661">
        <f t="shared" si="201"/>
        <v>-0.62021674517118131</v>
      </c>
      <c r="Q1661">
        <f t="shared" si="202"/>
        <v>98.533713924458709</v>
      </c>
      <c r="R1661">
        <f t="shared" si="203"/>
        <v>-0.62034424251421916</v>
      </c>
      <c r="S1661">
        <f t="shared" si="204"/>
        <v>0.53510483257501296</v>
      </c>
      <c r="T1661">
        <f t="shared" si="205"/>
        <v>1.4088885884323287E-4</v>
      </c>
      <c r="U1661">
        <f t="shared" si="206"/>
        <v>-1.6783545165498539E-2</v>
      </c>
    </row>
    <row r="1662" spans="10:21" x14ac:dyDescent="0.35">
      <c r="J1662">
        <f t="shared" si="207"/>
        <v>1659</v>
      </c>
      <c r="K1662">
        <f>demanda!D1660</f>
        <v>0</v>
      </c>
      <c r="L1662">
        <f>demanda!I1660</f>
        <v>10</v>
      </c>
      <c r="M1662">
        <v>14.416809279416043</v>
      </c>
      <c r="N1662">
        <f t="shared" si="200"/>
        <v>-4.416809279416043</v>
      </c>
      <c r="O1662">
        <v>7.4087557083441532E-4</v>
      </c>
      <c r="P1662">
        <f t="shared" si="201"/>
        <v>-0.44502646882795449</v>
      </c>
      <c r="Q1662">
        <f t="shared" si="202"/>
        <v>98.543305041978172</v>
      </c>
      <c r="R1662">
        <f t="shared" si="203"/>
        <v>-0.44509838991165818</v>
      </c>
      <c r="S1662">
        <f t="shared" si="204"/>
        <v>0.65629885256814913</v>
      </c>
      <c r="T1662">
        <f t="shared" si="205"/>
        <v>7.3473498325511761E-5</v>
      </c>
      <c r="U1662">
        <f t="shared" si="206"/>
        <v>-1.2119636640616644E-2</v>
      </c>
    </row>
    <row r="1663" spans="10:21" x14ac:dyDescent="0.35">
      <c r="J1663">
        <f t="shared" si="207"/>
        <v>1660</v>
      </c>
      <c r="K1663">
        <f>demanda!D1661</f>
        <v>2</v>
      </c>
      <c r="L1663">
        <f>demanda!I1661</f>
        <v>3</v>
      </c>
      <c r="M1663">
        <v>9.1555418996444509</v>
      </c>
      <c r="N1663">
        <f t="shared" si="200"/>
        <v>-6.1555418996444509</v>
      </c>
      <c r="O1663">
        <v>7.3144910189317154E-4</v>
      </c>
      <c r="P1663">
        <f t="shared" si="201"/>
        <v>-0.62021674517118131</v>
      </c>
      <c r="Q1663">
        <f t="shared" si="202"/>
        <v>98.533713924458709</v>
      </c>
      <c r="R1663">
        <f t="shared" si="203"/>
        <v>-0.62034424251421916</v>
      </c>
      <c r="S1663">
        <f t="shared" si="204"/>
        <v>0.53510483257501296</v>
      </c>
      <c r="T1663">
        <f t="shared" si="205"/>
        <v>1.4088885884323287E-4</v>
      </c>
      <c r="U1663">
        <f t="shared" si="206"/>
        <v>-1.6783545165498539E-2</v>
      </c>
    </row>
    <row r="1664" spans="10:21" x14ac:dyDescent="0.35">
      <c r="J1664">
        <f t="shared" si="207"/>
        <v>1661</v>
      </c>
      <c r="K1664">
        <f>demanda!D1662</f>
        <v>4</v>
      </c>
      <c r="L1664">
        <f>demanda!I1662</f>
        <v>2</v>
      </c>
      <c r="M1664">
        <v>3.8942745198728588</v>
      </c>
      <c r="N1664">
        <f t="shared" si="200"/>
        <v>-1.8942745198728588</v>
      </c>
      <c r="O1664">
        <v>2.4466175697261316E-3</v>
      </c>
      <c r="P1664">
        <f t="shared" si="201"/>
        <v>-0.19086228253017132</v>
      </c>
      <c r="Q1664">
        <f t="shared" si="202"/>
        <v>98.551608270054842</v>
      </c>
      <c r="R1664">
        <f t="shared" si="203"/>
        <v>-0.19104821608300357</v>
      </c>
      <c r="S1664">
        <f t="shared" si="204"/>
        <v>0.84850802764464628</v>
      </c>
      <c r="T1664">
        <f t="shared" si="205"/>
        <v>4.4782056131641625E-5</v>
      </c>
      <c r="U1664">
        <f t="shared" si="206"/>
        <v>-9.4614556750527434E-3</v>
      </c>
    </row>
    <row r="1665" spans="10:21" x14ac:dyDescent="0.35">
      <c r="J1665">
        <f t="shared" si="207"/>
        <v>1662</v>
      </c>
      <c r="K1665">
        <f>demanda!D1663</f>
        <v>0</v>
      </c>
      <c r="L1665">
        <f>demanda!I1663</f>
        <v>3</v>
      </c>
      <c r="M1665">
        <v>14.416809279416043</v>
      </c>
      <c r="N1665">
        <f t="shared" si="200"/>
        <v>-11.416809279416043</v>
      </c>
      <c r="O1665">
        <v>7.4087557083441532E-4</v>
      </c>
      <c r="P1665">
        <f t="shared" si="201"/>
        <v>-1.150328664309564</v>
      </c>
      <c r="Q1665">
        <f t="shared" si="202"/>
        <v>98.485475268264722</v>
      </c>
      <c r="R1665">
        <f t="shared" si="203"/>
        <v>-1.1508523061099405</v>
      </c>
      <c r="S1665">
        <f t="shared" si="204"/>
        <v>0.24993638008158123</v>
      </c>
      <c r="T1665">
        <f t="shared" si="205"/>
        <v>4.9091117422407117E-4</v>
      </c>
      <c r="U1665">
        <f t="shared" si="206"/>
        <v>-3.1336693399040466E-2</v>
      </c>
    </row>
    <row r="1666" spans="10:21" x14ac:dyDescent="0.35">
      <c r="J1666">
        <f t="shared" si="207"/>
        <v>1663</v>
      </c>
      <c r="K1666">
        <f>demanda!D1664</f>
        <v>1</v>
      </c>
      <c r="L1666">
        <f>demanda!I1664</f>
        <v>11</v>
      </c>
      <c r="M1666">
        <v>11.786175589530247</v>
      </c>
      <c r="N1666">
        <f t="shared" si="200"/>
        <v>-0.78617558953024691</v>
      </c>
      <c r="O1666">
        <v>5.2058796926701797E-4</v>
      </c>
      <c r="P1666">
        <f t="shared" si="201"/>
        <v>-7.9213052761390276E-2</v>
      </c>
      <c r="Q1666">
        <f t="shared" si="202"/>
        <v>98.553161284987851</v>
      </c>
      <c r="R1666">
        <f t="shared" si="203"/>
        <v>-7.9213161855515926E-2</v>
      </c>
      <c r="S1666">
        <f t="shared" si="204"/>
        <v>0.93687133485398588</v>
      </c>
      <c r="T1666">
        <f t="shared" si="205"/>
        <v>1.6349705257494771E-6</v>
      </c>
      <c r="U1666">
        <f t="shared" si="206"/>
        <v>-1.8078295720913319E-3</v>
      </c>
    </row>
    <row r="1667" spans="10:21" x14ac:dyDescent="0.35">
      <c r="J1667">
        <f t="shared" si="207"/>
        <v>1664</v>
      </c>
      <c r="K1667">
        <f>demanda!D1665</f>
        <v>0</v>
      </c>
      <c r="L1667">
        <f>demanda!I1665</f>
        <v>4</v>
      </c>
      <c r="M1667">
        <v>14.416809279416043</v>
      </c>
      <c r="N1667">
        <f t="shared" si="200"/>
        <v>-10.416809279416043</v>
      </c>
      <c r="O1667">
        <v>7.4087557083441532E-4</v>
      </c>
      <c r="P1667">
        <f t="shared" si="201"/>
        <v>-1.0495712078121913</v>
      </c>
      <c r="Q1667">
        <f t="shared" si="202"/>
        <v>98.49686724248096</v>
      </c>
      <c r="R1667">
        <f t="shared" si="203"/>
        <v>-1.049988258586362</v>
      </c>
      <c r="S1667">
        <f t="shared" si="204"/>
        <v>0.29385572056513598</v>
      </c>
      <c r="T1667">
        <f t="shared" si="205"/>
        <v>4.0867949778204384E-4</v>
      </c>
      <c r="U1667">
        <f t="shared" si="206"/>
        <v>-2.8590254333443563E-2</v>
      </c>
    </row>
    <row r="1668" spans="10:21" x14ac:dyDescent="0.35">
      <c r="J1668">
        <f t="shared" si="207"/>
        <v>1665</v>
      </c>
      <c r="K1668">
        <f>demanda!D1666</f>
        <v>0</v>
      </c>
      <c r="L1668">
        <f>demanda!I1666</f>
        <v>6</v>
      </c>
      <c r="M1668">
        <v>14.416809279416043</v>
      </c>
      <c r="N1668">
        <f t="shared" si="200"/>
        <v>-8.416809279416043</v>
      </c>
      <c r="O1668">
        <v>7.4087557083441532E-4</v>
      </c>
      <c r="P1668">
        <f t="shared" si="201"/>
        <v>-0.84805629481744571</v>
      </c>
      <c r="Q1668">
        <f t="shared" si="202"/>
        <v>98.51652061294196</v>
      </c>
      <c r="R1668">
        <f t="shared" si="203"/>
        <v>-0.8483086443975183</v>
      </c>
      <c r="S1668">
        <f t="shared" si="204"/>
        <v>0.39637190285902191</v>
      </c>
      <c r="T1668">
        <f t="shared" si="205"/>
        <v>2.6681386764022222E-4</v>
      </c>
      <c r="U1668">
        <f t="shared" si="206"/>
        <v>-2.3098696293268058E-2</v>
      </c>
    </row>
    <row r="1669" spans="10:21" x14ac:dyDescent="0.35">
      <c r="J1669">
        <f t="shared" si="207"/>
        <v>1666</v>
      </c>
      <c r="K1669">
        <f>demanda!D1667</f>
        <v>3</v>
      </c>
      <c r="L1669">
        <f>demanda!I1667</f>
        <v>8</v>
      </c>
      <c r="M1669">
        <v>6.5249082097586548</v>
      </c>
      <c r="N1669">
        <f t="shared" ref="N1669:N1732" si="208">L1669-M1669</f>
        <v>1.4750917902413452</v>
      </c>
      <c r="O1669">
        <v>1.3734589687128761E-3</v>
      </c>
      <c r="P1669">
        <f t="shared" ref="P1669:P1732" si="209">N1669/SQRT($X$6)</f>
        <v>0.14862649688487412</v>
      </c>
      <c r="Q1669">
        <f t="shared" ref="Q1669:Q1732" si="210">($X$6-N1669^2/((1-O1669)*$X$5))*$X$5/($X$5-1)</f>
        <v>98.55234767997355</v>
      </c>
      <c r="R1669">
        <f t="shared" ref="R1669:R1732" si="211">N1669/SQRT(Q1669*(1-O1669))</f>
        <v>0.14869076866180669</v>
      </c>
      <c r="S1669">
        <f t="shared" ref="S1669:S1732" si="212">_xlfn.T.DIST.2T(ABS(R1669),$X$5)</f>
        <v>0.88181326852130626</v>
      </c>
      <c r="T1669">
        <f t="shared" ref="T1669:T1732" si="213">(N1669^2/$X$6)*(O1669/(1-O1669)^2)/($X$7+1)</f>
        <v>1.5211497435160166E-5</v>
      </c>
      <c r="U1669">
        <f t="shared" ref="U1669:U1732" si="214">R1669*SQRT(O1669/(1-O1669))</f>
        <v>5.514298850176646E-3</v>
      </c>
    </row>
    <row r="1670" spans="10:21" x14ac:dyDescent="0.35">
      <c r="J1670">
        <f t="shared" ref="J1670:J1733" si="215">J1669+1</f>
        <v>1667</v>
      </c>
      <c r="K1670">
        <f>demanda!D1668</f>
        <v>1</v>
      </c>
      <c r="L1670">
        <f>demanda!I1668</f>
        <v>10</v>
      </c>
      <c r="M1670">
        <v>11.786175589530247</v>
      </c>
      <c r="N1670">
        <f t="shared" si="208"/>
        <v>-1.7861755895302469</v>
      </c>
      <c r="O1670">
        <v>5.2058796926701797E-4</v>
      </c>
      <c r="P1670">
        <f t="shared" si="209"/>
        <v>-0.17997050925876307</v>
      </c>
      <c r="Q1670">
        <f t="shared" si="210"/>
        <v>98.551819423146526</v>
      </c>
      <c r="R1670">
        <f t="shared" si="211"/>
        <v>-0.17997198233721365</v>
      </c>
      <c r="S1670">
        <f t="shared" si="212"/>
        <v>0.85719356553697068</v>
      </c>
      <c r="T1670">
        <f t="shared" si="213"/>
        <v>8.4395466396640202E-6</v>
      </c>
      <c r="U1670">
        <f t="shared" si="214"/>
        <v>-4.1073814527258093E-3</v>
      </c>
    </row>
    <row r="1671" spans="10:21" x14ac:dyDescent="0.35">
      <c r="J1671">
        <f t="shared" si="215"/>
        <v>1668</v>
      </c>
      <c r="K1671">
        <f>demanda!D1669</f>
        <v>0</v>
      </c>
      <c r="L1671">
        <f>demanda!I1669</f>
        <v>13</v>
      </c>
      <c r="M1671">
        <v>14.416809279416043</v>
      </c>
      <c r="N1671">
        <f t="shared" si="208"/>
        <v>-1.416809279416043</v>
      </c>
      <c r="O1671">
        <v>7.4087557083441532E-4</v>
      </c>
      <c r="P1671">
        <f t="shared" si="209"/>
        <v>-0.14275409933583605</v>
      </c>
      <c r="Q1671">
        <f t="shared" si="210"/>
        <v>98.552436340855238</v>
      </c>
      <c r="R1671">
        <f t="shared" si="211"/>
        <v>-0.14277055533334676</v>
      </c>
      <c r="S1671">
        <f t="shared" si="212"/>
        <v>0.88648638054980111</v>
      </c>
      <c r="T1671">
        <f t="shared" si="213"/>
        <v>7.5602509372950483E-6</v>
      </c>
      <c r="U1671">
        <f t="shared" si="214"/>
        <v>-3.8875163173756836E-3</v>
      </c>
    </row>
    <row r="1672" spans="10:21" x14ac:dyDescent="0.35">
      <c r="J1672">
        <f t="shared" si="215"/>
        <v>1669</v>
      </c>
      <c r="K1672">
        <f>demanda!D1670</f>
        <v>0</v>
      </c>
      <c r="L1672">
        <f>demanda!I1670</f>
        <v>26</v>
      </c>
      <c r="M1672">
        <v>14.416809279416043</v>
      </c>
      <c r="N1672">
        <f t="shared" si="208"/>
        <v>11.583190720583957</v>
      </c>
      <c r="O1672">
        <v>7.4087557083441532E-4</v>
      </c>
      <c r="P1672">
        <f t="shared" si="209"/>
        <v>1.1670928351300105</v>
      </c>
      <c r="Q1672">
        <f t="shared" si="210"/>
        <v>98.483478599645508</v>
      </c>
      <c r="R1672">
        <f t="shared" si="211"/>
        <v>1.1676359443906161</v>
      </c>
      <c r="S1672">
        <f t="shared" si="212"/>
        <v>0.24309869943124471</v>
      </c>
      <c r="T1672">
        <f t="shared" si="213"/>
        <v>5.0532390065243979E-4</v>
      </c>
      <c r="U1672">
        <f t="shared" si="214"/>
        <v>3.1793697068520609E-2</v>
      </c>
    </row>
    <row r="1673" spans="10:21" x14ac:dyDescent="0.35">
      <c r="J1673">
        <f t="shared" si="215"/>
        <v>1670</v>
      </c>
      <c r="K1673">
        <f>demanda!D1671</f>
        <v>1</v>
      </c>
      <c r="L1673">
        <f>demanda!I1671</f>
        <v>4</v>
      </c>
      <c r="M1673">
        <v>11.786175589530247</v>
      </c>
      <c r="N1673">
        <f t="shared" si="208"/>
        <v>-7.7861755895302469</v>
      </c>
      <c r="O1673">
        <v>5.2058796926701797E-4</v>
      </c>
      <c r="P1673">
        <f t="shared" si="209"/>
        <v>-0.7845152482429999</v>
      </c>
      <c r="Q1673">
        <f t="shared" si="210"/>
        <v>98.52185903620547</v>
      </c>
      <c r="R1673">
        <f t="shared" si="211"/>
        <v>-0.784640946599786</v>
      </c>
      <c r="S1673">
        <f t="shared" si="212"/>
        <v>0.43276096337473069</v>
      </c>
      <c r="T1673">
        <f t="shared" si="213"/>
        <v>1.6036855085321727E-4</v>
      </c>
      <c r="U1673">
        <f t="shared" si="214"/>
        <v>-1.7907341071981879E-2</v>
      </c>
    </row>
    <row r="1674" spans="10:21" x14ac:dyDescent="0.35">
      <c r="J1674">
        <f t="shared" si="215"/>
        <v>1671</v>
      </c>
      <c r="K1674">
        <f>demanda!D1672</f>
        <v>0</v>
      </c>
      <c r="L1674">
        <f>demanda!I1672</f>
        <v>5</v>
      </c>
      <c r="M1674">
        <v>14.416809279416043</v>
      </c>
      <c r="N1674">
        <f t="shared" si="208"/>
        <v>-9.416809279416043</v>
      </c>
      <c r="O1674">
        <v>7.4087557083441532E-4</v>
      </c>
      <c r="P1674">
        <f t="shared" si="209"/>
        <v>-0.94881375131481849</v>
      </c>
      <c r="Q1674">
        <f t="shared" si="210"/>
        <v>98.507215690706701</v>
      </c>
      <c r="R1674">
        <f t="shared" si="211"/>
        <v>-0.94914090693055775</v>
      </c>
      <c r="S1674">
        <f t="shared" si="212"/>
        <v>0.34266846368408377</v>
      </c>
      <c r="T1674">
        <f t="shared" si="213"/>
        <v>3.339803955874275E-4</v>
      </c>
      <c r="U1674">
        <f t="shared" si="214"/>
        <v>-2.5844269881602652E-2</v>
      </c>
    </row>
    <row r="1675" spans="10:21" x14ac:dyDescent="0.35">
      <c r="J1675">
        <f t="shared" si="215"/>
        <v>1672</v>
      </c>
      <c r="K1675">
        <f>demanda!D1673</f>
        <v>0</v>
      </c>
      <c r="L1675">
        <f>demanda!I1673</f>
        <v>7</v>
      </c>
      <c r="M1675">
        <v>14.416809279416043</v>
      </c>
      <c r="N1675">
        <f t="shared" si="208"/>
        <v>-7.416809279416043</v>
      </c>
      <c r="O1675">
        <v>7.4087557083441532E-4</v>
      </c>
      <c r="P1675">
        <f t="shared" si="209"/>
        <v>-0.74729883832007293</v>
      </c>
      <c r="Q1675">
        <f t="shared" si="210"/>
        <v>98.524782009186751</v>
      </c>
      <c r="R1675">
        <f t="shared" si="211"/>
        <v>-0.74748986544241569</v>
      </c>
      <c r="S1675">
        <f t="shared" si="212"/>
        <v>0.45485950007005715</v>
      </c>
      <c r="T1675">
        <f t="shared" si="213"/>
        <v>2.0717991394042799E-4</v>
      </c>
      <c r="U1675">
        <f t="shared" si="214"/>
        <v>-2.0353489850869988E-2</v>
      </c>
    </row>
    <row r="1676" spans="10:21" x14ac:dyDescent="0.35">
      <c r="J1676">
        <f t="shared" si="215"/>
        <v>1673</v>
      </c>
      <c r="K1676">
        <f>demanda!D1674</f>
        <v>6</v>
      </c>
      <c r="L1676">
        <f>demanda!I1674</f>
        <v>3</v>
      </c>
      <c r="M1676">
        <v>-1.3669928598987333</v>
      </c>
      <c r="N1676">
        <f t="shared" si="208"/>
        <v>4.3669928598987333</v>
      </c>
      <c r="O1676">
        <v>5.8863809743332956E-3</v>
      </c>
      <c r="P1676">
        <f t="shared" si="209"/>
        <v>0.44000709310558428</v>
      </c>
      <c r="Q1676">
        <f t="shared" si="210"/>
        <v>98.543481851032595</v>
      </c>
      <c r="R1676">
        <f t="shared" si="211"/>
        <v>0.44121525371752685</v>
      </c>
      <c r="S1676">
        <f t="shared" si="212"/>
        <v>0.65910687609302177</v>
      </c>
      <c r="T1676">
        <f t="shared" si="213"/>
        <v>5.7658810569327667E-4</v>
      </c>
      <c r="U1676">
        <f t="shared" si="214"/>
        <v>3.3951322043777717E-2</v>
      </c>
    </row>
    <row r="1677" spans="10:21" x14ac:dyDescent="0.35">
      <c r="J1677">
        <f t="shared" si="215"/>
        <v>1674</v>
      </c>
      <c r="K1677">
        <f>demanda!D1675</f>
        <v>3</v>
      </c>
      <c r="L1677">
        <f>demanda!I1675</f>
        <v>3</v>
      </c>
      <c r="M1677">
        <v>6.5249082097586548</v>
      </c>
      <c r="N1677">
        <f t="shared" si="208"/>
        <v>-3.5249082097586548</v>
      </c>
      <c r="O1677">
        <v>1.3734589687128761E-3</v>
      </c>
      <c r="P1677">
        <f t="shared" si="209"/>
        <v>-0.35516078560198994</v>
      </c>
      <c r="Q1677">
        <f t="shared" si="210"/>
        <v>98.546996700749531</v>
      </c>
      <c r="R1677">
        <f t="shared" si="211"/>
        <v>-0.35532401713098288</v>
      </c>
      <c r="S1677">
        <f t="shared" si="212"/>
        <v>0.72238591463660118</v>
      </c>
      <c r="T1677">
        <f t="shared" si="213"/>
        <v>8.6861935283639592E-5</v>
      </c>
      <c r="U1677">
        <f t="shared" si="214"/>
        <v>-1.3177434192717408E-2</v>
      </c>
    </row>
    <row r="1678" spans="10:21" x14ac:dyDescent="0.35">
      <c r="J1678">
        <f t="shared" si="215"/>
        <v>1675</v>
      </c>
      <c r="K1678">
        <f>demanda!D1676</f>
        <v>0</v>
      </c>
      <c r="L1678">
        <f>demanda!I1676</f>
        <v>12</v>
      </c>
      <c r="M1678">
        <v>14.416809279416043</v>
      </c>
      <c r="N1678">
        <f t="shared" si="208"/>
        <v>-2.416809279416043</v>
      </c>
      <c r="O1678">
        <v>7.4087557083441532E-4</v>
      </c>
      <c r="P1678">
        <f t="shared" si="209"/>
        <v>-0.24351155583320885</v>
      </c>
      <c r="Q1678">
        <f t="shared" si="210"/>
        <v>98.55043610055337</v>
      </c>
      <c r="R1678">
        <f t="shared" si="211"/>
        <v>-0.24354209816225414</v>
      </c>
      <c r="S1678">
        <f t="shared" si="212"/>
        <v>0.80761150818210881</v>
      </c>
      <c r="T1678">
        <f t="shared" si="213"/>
        <v>2.199875915262289E-5</v>
      </c>
      <c r="U1678">
        <f t="shared" si="214"/>
        <v>-6.6314365617133417E-3</v>
      </c>
    </row>
    <row r="1679" spans="10:21" x14ac:dyDescent="0.35">
      <c r="J1679">
        <f t="shared" si="215"/>
        <v>1676</v>
      </c>
      <c r="K1679">
        <f>demanda!D1677</f>
        <v>0</v>
      </c>
      <c r="L1679">
        <f>demanda!I1677</f>
        <v>5</v>
      </c>
      <c r="M1679">
        <v>14.416809279416043</v>
      </c>
      <c r="N1679">
        <f t="shared" si="208"/>
        <v>-9.416809279416043</v>
      </c>
      <c r="O1679">
        <v>7.4087557083441532E-4</v>
      </c>
      <c r="P1679">
        <f t="shared" si="209"/>
        <v>-0.94881375131481849</v>
      </c>
      <c r="Q1679">
        <f t="shared" si="210"/>
        <v>98.507215690706701</v>
      </c>
      <c r="R1679">
        <f t="shared" si="211"/>
        <v>-0.94914090693055775</v>
      </c>
      <c r="S1679">
        <f t="shared" si="212"/>
        <v>0.34266846368408377</v>
      </c>
      <c r="T1679">
        <f t="shared" si="213"/>
        <v>3.339803955874275E-4</v>
      </c>
      <c r="U1679">
        <f t="shared" si="214"/>
        <v>-2.5844269881602652E-2</v>
      </c>
    </row>
    <row r="1680" spans="10:21" x14ac:dyDescent="0.35">
      <c r="J1680">
        <f t="shared" si="215"/>
        <v>1677</v>
      </c>
      <c r="K1680">
        <f>demanda!D1678</f>
        <v>4</v>
      </c>
      <c r="L1680">
        <f>demanda!I1678</f>
        <v>2</v>
      </c>
      <c r="M1680">
        <v>3.8942745198728588</v>
      </c>
      <c r="N1680">
        <f t="shared" si="208"/>
        <v>-1.8942745198728588</v>
      </c>
      <c r="O1680">
        <v>2.4466175697261316E-3</v>
      </c>
      <c r="P1680">
        <f t="shared" si="209"/>
        <v>-0.19086228253017132</v>
      </c>
      <c r="Q1680">
        <f t="shared" si="210"/>
        <v>98.551608270054842</v>
      </c>
      <c r="R1680">
        <f t="shared" si="211"/>
        <v>-0.19104821608300357</v>
      </c>
      <c r="S1680">
        <f t="shared" si="212"/>
        <v>0.84850802764464628</v>
      </c>
      <c r="T1680">
        <f t="shared" si="213"/>
        <v>4.4782056131641625E-5</v>
      </c>
      <c r="U1680">
        <f t="shared" si="214"/>
        <v>-9.4614556750527434E-3</v>
      </c>
    </row>
    <row r="1681" spans="10:21" x14ac:dyDescent="0.35">
      <c r="J1681">
        <f t="shared" si="215"/>
        <v>1678</v>
      </c>
      <c r="K1681">
        <f>demanda!D1679</f>
        <v>3</v>
      </c>
      <c r="L1681">
        <f>demanda!I1679</f>
        <v>3</v>
      </c>
      <c r="M1681">
        <v>6.5249082097586548</v>
      </c>
      <c r="N1681">
        <f t="shared" si="208"/>
        <v>-3.5249082097586548</v>
      </c>
      <c r="O1681">
        <v>1.3734589687128761E-3</v>
      </c>
      <c r="P1681">
        <f t="shared" si="209"/>
        <v>-0.35516078560198994</v>
      </c>
      <c r="Q1681">
        <f t="shared" si="210"/>
        <v>98.546996700749531</v>
      </c>
      <c r="R1681">
        <f t="shared" si="211"/>
        <v>-0.35532401713098288</v>
      </c>
      <c r="S1681">
        <f t="shared" si="212"/>
        <v>0.72238591463660118</v>
      </c>
      <c r="T1681">
        <f t="shared" si="213"/>
        <v>8.6861935283639592E-5</v>
      </c>
      <c r="U1681">
        <f t="shared" si="214"/>
        <v>-1.3177434192717408E-2</v>
      </c>
    </row>
    <row r="1682" spans="10:21" x14ac:dyDescent="0.35">
      <c r="J1682">
        <f t="shared" si="215"/>
        <v>1679</v>
      </c>
      <c r="K1682">
        <f>demanda!D1680</f>
        <v>0</v>
      </c>
      <c r="L1682">
        <f>demanda!I1680</f>
        <v>9</v>
      </c>
      <c r="M1682">
        <v>14.416809279416043</v>
      </c>
      <c r="N1682">
        <f t="shared" si="208"/>
        <v>-5.416809279416043</v>
      </c>
      <c r="O1682">
        <v>7.4087557083441532E-4</v>
      </c>
      <c r="P1682">
        <f t="shared" si="209"/>
        <v>-0.54578392532532727</v>
      </c>
      <c r="Q1682">
        <f t="shared" si="210"/>
        <v>98.538174223704843</v>
      </c>
      <c r="R1682">
        <f t="shared" si="211"/>
        <v>-0.54588634131956315</v>
      </c>
      <c r="S1682">
        <f t="shared" si="212"/>
        <v>0.58520751823074413</v>
      </c>
      <c r="T1682">
        <f t="shared" si="213"/>
        <v>1.1050972928307278E-4</v>
      </c>
      <c r="U1682">
        <f t="shared" si="214"/>
        <v>-1.4864003676090257E-2</v>
      </c>
    </row>
    <row r="1683" spans="10:21" x14ac:dyDescent="0.35">
      <c r="J1683">
        <f t="shared" si="215"/>
        <v>1680</v>
      </c>
      <c r="K1683">
        <f>demanda!D1681</f>
        <v>1</v>
      </c>
      <c r="L1683">
        <f>demanda!I1681</f>
        <v>9</v>
      </c>
      <c r="M1683">
        <v>11.786175589530247</v>
      </c>
      <c r="N1683">
        <f t="shared" si="208"/>
        <v>-2.7861755895302469</v>
      </c>
      <c r="O1683">
        <v>5.2058796926701797E-4</v>
      </c>
      <c r="P1683">
        <f t="shared" si="209"/>
        <v>-0.2807279657561359</v>
      </c>
      <c r="Q1683">
        <f t="shared" si="210"/>
        <v>98.549434265310296</v>
      </c>
      <c r="R1683">
        <f t="shared" si="211"/>
        <v>-0.2807336607336009</v>
      </c>
      <c r="S1683">
        <f t="shared" si="212"/>
        <v>0.77894495126310248</v>
      </c>
      <c r="T1683">
        <f t="shared" si="213"/>
        <v>2.0534672635962656E-5</v>
      </c>
      <c r="U1683">
        <f t="shared" si="214"/>
        <v>-6.4069985576559628E-3</v>
      </c>
    </row>
    <row r="1684" spans="10:21" x14ac:dyDescent="0.35">
      <c r="J1684">
        <f t="shared" si="215"/>
        <v>1681</v>
      </c>
      <c r="K1684">
        <f>demanda!D1682</f>
        <v>0</v>
      </c>
      <c r="L1684">
        <f>demanda!I1682</f>
        <v>31</v>
      </c>
      <c r="M1684">
        <v>14.416809279416043</v>
      </c>
      <c r="N1684">
        <f t="shared" si="208"/>
        <v>16.583190720583957</v>
      </c>
      <c r="O1684">
        <v>7.4087557083441532E-4</v>
      </c>
      <c r="P1684">
        <f t="shared" si="209"/>
        <v>1.6708801176168744</v>
      </c>
      <c r="Q1684">
        <f t="shared" si="210"/>
        <v>98.409997721916127</v>
      </c>
      <c r="R1684">
        <f t="shared" si="211"/>
        <v>1.672281646486445</v>
      </c>
      <c r="S1684">
        <f t="shared" si="212"/>
        <v>9.4631812115691313E-2</v>
      </c>
      <c r="T1684">
        <f t="shared" si="213"/>
        <v>1.0357372993686853E-3</v>
      </c>
      <c r="U1684">
        <f t="shared" si="214"/>
        <v>4.5534754507223614E-2</v>
      </c>
    </row>
    <row r="1685" spans="10:21" x14ac:dyDescent="0.35">
      <c r="J1685">
        <f t="shared" si="215"/>
        <v>1682</v>
      </c>
      <c r="K1685">
        <f>demanda!D1683</f>
        <v>0</v>
      </c>
      <c r="L1685">
        <f>demanda!I1683</f>
        <v>13</v>
      </c>
      <c r="M1685">
        <v>14.416809279416043</v>
      </c>
      <c r="N1685">
        <f t="shared" si="208"/>
        <v>-1.416809279416043</v>
      </c>
      <c r="O1685">
        <v>7.4087557083441532E-4</v>
      </c>
      <c r="P1685">
        <f t="shared" si="209"/>
        <v>-0.14275409933583605</v>
      </c>
      <c r="Q1685">
        <f t="shared" si="210"/>
        <v>98.552436340855238</v>
      </c>
      <c r="R1685">
        <f t="shared" si="211"/>
        <v>-0.14277055533334676</v>
      </c>
      <c r="S1685">
        <f t="shared" si="212"/>
        <v>0.88648638054980111</v>
      </c>
      <c r="T1685">
        <f t="shared" si="213"/>
        <v>7.5602509372950483E-6</v>
      </c>
      <c r="U1685">
        <f t="shared" si="214"/>
        <v>-3.8875163173756836E-3</v>
      </c>
    </row>
    <row r="1686" spans="10:21" x14ac:dyDescent="0.35">
      <c r="J1686">
        <f t="shared" si="215"/>
        <v>1683</v>
      </c>
      <c r="K1686">
        <f>demanda!D1684</f>
        <v>1</v>
      </c>
      <c r="L1686">
        <f>demanda!I1684</f>
        <v>24</v>
      </c>
      <c r="M1686">
        <v>11.786175589530247</v>
      </c>
      <c r="N1686">
        <f t="shared" si="208"/>
        <v>12.213824410469753</v>
      </c>
      <c r="O1686">
        <v>5.2058796926701797E-4</v>
      </c>
      <c r="P1686">
        <f t="shared" si="209"/>
        <v>1.2306338817044562</v>
      </c>
      <c r="Q1686">
        <f t="shared" si="210"/>
        <v>98.475665553387771</v>
      </c>
      <c r="R1686">
        <f t="shared" si="211"/>
        <v>1.2311197075839402</v>
      </c>
      <c r="S1686">
        <f t="shared" si="212"/>
        <v>0.21842895613878141</v>
      </c>
      <c r="T1686">
        <f t="shared" si="213"/>
        <v>3.9461552034181306E-4</v>
      </c>
      <c r="U1686">
        <f t="shared" si="214"/>
        <v>2.8097030367431282E-2</v>
      </c>
    </row>
    <row r="1687" spans="10:21" x14ac:dyDescent="0.35">
      <c r="J1687">
        <f t="shared" si="215"/>
        <v>1684</v>
      </c>
      <c r="K1687">
        <f>demanda!D1685</f>
        <v>0</v>
      </c>
      <c r="L1687">
        <f>demanda!I1685</f>
        <v>17</v>
      </c>
      <c r="M1687">
        <v>14.416809279416043</v>
      </c>
      <c r="N1687">
        <f t="shared" si="208"/>
        <v>2.583190720583957</v>
      </c>
      <c r="O1687">
        <v>7.4087557083441532E-4</v>
      </c>
      <c r="P1687">
        <f t="shared" si="209"/>
        <v>0.26027572665365517</v>
      </c>
      <c r="Q1687">
        <f t="shared" si="210"/>
        <v>98.550002042157871</v>
      </c>
      <c r="R1687">
        <f t="shared" si="211"/>
        <v>0.26030894487816103</v>
      </c>
      <c r="S1687">
        <f t="shared" si="212"/>
        <v>0.79465340036911658</v>
      </c>
      <c r="T1687">
        <f t="shared" si="213"/>
        <v>2.5131960550094309E-5</v>
      </c>
      <c r="U1687">
        <f t="shared" si="214"/>
        <v>7.0879830116927275E-3</v>
      </c>
    </row>
    <row r="1688" spans="10:21" x14ac:dyDescent="0.35">
      <c r="J1688">
        <f t="shared" si="215"/>
        <v>1685</v>
      </c>
      <c r="K1688">
        <f>demanda!D1686</f>
        <v>1</v>
      </c>
      <c r="L1688">
        <f>demanda!I1686</f>
        <v>78</v>
      </c>
      <c r="M1688">
        <v>11.786175589530247</v>
      </c>
      <c r="N1688">
        <f t="shared" si="208"/>
        <v>66.213824410469755</v>
      </c>
      <c r="O1688">
        <v>5.2058796926701797E-4</v>
      </c>
      <c r="P1688">
        <f t="shared" si="209"/>
        <v>6.6715365325625875</v>
      </c>
      <c r="Q1688">
        <f t="shared" si="210"/>
        <v>96.266437751942334</v>
      </c>
      <c r="R1688">
        <f t="shared" si="211"/>
        <v>6.7503189839066229</v>
      </c>
      <c r="S1688">
        <f t="shared" si="212"/>
        <v>1.9478174078030641E-11</v>
      </c>
      <c r="T1688">
        <f t="shared" si="213"/>
        <v>1.1597601002964444E-2</v>
      </c>
      <c r="U1688">
        <f t="shared" si="214"/>
        <v>0.15405806300744365</v>
      </c>
    </row>
    <row r="1689" spans="10:21" x14ac:dyDescent="0.35">
      <c r="J1689">
        <f t="shared" si="215"/>
        <v>1686</v>
      </c>
      <c r="K1689">
        <f>demanda!D1687</f>
        <v>2</v>
      </c>
      <c r="L1689">
        <f>demanda!I1687</f>
        <v>30</v>
      </c>
      <c r="M1689">
        <v>9.1555418996444509</v>
      </c>
      <c r="N1689">
        <f t="shared" si="208"/>
        <v>20.844458100355549</v>
      </c>
      <c r="O1689">
        <v>7.3144910189317154E-4</v>
      </c>
      <c r="P1689">
        <f t="shared" si="209"/>
        <v>2.1002345802578843</v>
      </c>
      <c r="Q1689">
        <f t="shared" si="210"/>
        <v>98.326784287849648</v>
      </c>
      <c r="R1689">
        <f t="shared" si="211"/>
        <v>2.1028755976116229</v>
      </c>
      <c r="S1689">
        <f t="shared" si="212"/>
        <v>3.5606575772990721E-2</v>
      </c>
      <c r="T1689">
        <f t="shared" si="213"/>
        <v>1.6155681625947427E-3</v>
      </c>
      <c r="U1689">
        <f t="shared" si="214"/>
        <v>5.6893745683680504E-2</v>
      </c>
    </row>
    <row r="1690" spans="10:21" x14ac:dyDescent="0.35">
      <c r="J1690">
        <f t="shared" si="215"/>
        <v>1687</v>
      </c>
      <c r="K1690">
        <f>demanda!D1688</f>
        <v>0</v>
      </c>
      <c r="L1690">
        <f>demanda!I1688</f>
        <v>18</v>
      </c>
      <c r="M1690">
        <v>14.416809279416043</v>
      </c>
      <c r="N1690">
        <f t="shared" si="208"/>
        <v>3.583190720583957</v>
      </c>
      <c r="O1690">
        <v>7.4087557083441532E-4</v>
      </c>
      <c r="P1690">
        <f t="shared" si="209"/>
        <v>0.36103318315102795</v>
      </c>
      <c r="Q1690">
        <f t="shared" si="210"/>
        <v>98.546784652507341</v>
      </c>
      <c r="R1690">
        <f t="shared" si="211"/>
        <v>0.3610851550254302</v>
      </c>
      <c r="S1690">
        <f t="shared" si="212"/>
        <v>0.7180755365508017</v>
      </c>
      <c r="T1690">
        <f t="shared" si="213"/>
        <v>4.8356323571821784E-5</v>
      </c>
      <c r="U1690">
        <f t="shared" si="214"/>
        <v>9.8320303429934326E-3</v>
      </c>
    </row>
    <row r="1691" spans="10:21" x14ac:dyDescent="0.35">
      <c r="J1691">
        <f t="shared" si="215"/>
        <v>1688</v>
      </c>
      <c r="K1691">
        <f>demanda!D1689</f>
        <v>0</v>
      </c>
      <c r="L1691">
        <f>demanda!I1689</f>
        <v>13</v>
      </c>
      <c r="M1691">
        <v>14.416809279416043</v>
      </c>
      <c r="N1691">
        <f t="shared" si="208"/>
        <v>-1.416809279416043</v>
      </c>
      <c r="O1691">
        <v>7.4087557083441532E-4</v>
      </c>
      <c r="P1691">
        <f t="shared" si="209"/>
        <v>-0.14275409933583605</v>
      </c>
      <c r="Q1691">
        <f t="shared" si="210"/>
        <v>98.552436340855238</v>
      </c>
      <c r="R1691">
        <f t="shared" si="211"/>
        <v>-0.14277055533334676</v>
      </c>
      <c r="S1691">
        <f t="shared" si="212"/>
        <v>0.88648638054980111</v>
      </c>
      <c r="T1691">
        <f t="shared" si="213"/>
        <v>7.5602509372950483E-6</v>
      </c>
      <c r="U1691">
        <f t="shared" si="214"/>
        <v>-3.8875163173756836E-3</v>
      </c>
    </row>
    <row r="1692" spans="10:21" x14ac:dyDescent="0.35">
      <c r="J1692">
        <f t="shared" si="215"/>
        <v>1689</v>
      </c>
      <c r="K1692">
        <f>demanda!D1690</f>
        <v>0</v>
      </c>
      <c r="L1692">
        <f>demanda!I1690</f>
        <v>4</v>
      </c>
      <c r="M1692">
        <v>14.416809279416043</v>
      </c>
      <c r="N1692">
        <f t="shared" si="208"/>
        <v>-10.416809279416043</v>
      </c>
      <c r="O1692">
        <v>7.4087557083441532E-4</v>
      </c>
      <c r="P1692">
        <f t="shared" si="209"/>
        <v>-1.0495712078121913</v>
      </c>
      <c r="Q1692">
        <f t="shared" si="210"/>
        <v>98.49686724248096</v>
      </c>
      <c r="R1692">
        <f t="shared" si="211"/>
        <v>-1.049988258586362</v>
      </c>
      <c r="S1692">
        <f t="shared" si="212"/>
        <v>0.29385572056513598</v>
      </c>
      <c r="T1692">
        <f t="shared" si="213"/>
        <v>4.0867949778204384E-4</v>
      </c>
      <c r="U1692">
        <f t="shared" si="214"/>
        <v>-2.8590254333443563E-2</v>
      </c>
    </row>
    <row r="1693" spans="10:21" x14ac:dyDescent="0.35">
      <c r="J1693">
        <f t="shared" si="215"/>
        <v>1690</v>
      </c>
      <c r="K1693">
        <f>demanda!D1691</f>
        <v>0</v>
      </c>
      <c r="L1693">
        <f>demanda!I1691</f>
        <v>47</v>
      </c>
      <c r="M1693">
        <v>14.416809279416043</v>
      </c>
      <c r="N1693">
        <f t="shared" si="208"/>
        <v>32.583190720583957</v>
      </c>
      <c r="O1693">
        <v>7.4087557083441532E-4</v>
      </c>
      <c r="P1693">
        <f t="shared" si="209"/>
        <v>3.2829994215748393</v>
      </c>
      <c r="Q1693">
        <f t="shared" si="210"/>
        <v>97.999546546780749</v>
      </c>
      <c r="R1693">
        <f t="shared" si="211"/>
        <v>3.292626855801088</v>
      </c>
      <c r="S1693">
        <f t="shared" si="212"/>
        <v>1.0105875758910101E-3</v>
      </c>
      <c r="T1693">
        <f t="shared" si="213"/>
        <v>3.9985326488257301E-3</v>
      </c>
      <c r="U1693">
        <f t="shared" si="214"/>
        <v>8.9655325631183613E-2</v>
      </c>
    </row>
    <row r="1694" spans="10:21" x14ac:dyDescent="0.35">
      <c r="J1694">
        <f t="shared" si="215"/>
        <v>1691</v>
      </c>
      <c r="K1694">
        <f>demanda!D1692</f>
        <v>4</v>
      </c>
      <c r="L1694">
        <f>demanda!I1692</f>
        <v>3</v>
      </c>
      <c r="M1694">
        <v>3.8942745198728588</v>
      </c>
      <c r="N1694">
        <f t="shared" si="208"/>
        <v>-0.89427451987285878</v>
      </c>
      <c r="O1694">
        <v>2.4466175697261316E-3</v>
      </c>
      <c r="P1694">
        <f t="shared" si="209"/>
        <v>-9.0104826032798527E-2</v>
      </c>
      <c r="Q1694">
        <f t="shared" si="210"/>
        <v>98.553065719630368</v>
      </c>
      <c r="R1694">
        <f t="shared" si="211"/>
        <v>-9.0191937130002245E-2</v>
      </c>
      <c r="S1694">
        <f t="shared" si="212"/>
        <v>0.92814410376796586</v>
      </c>
      <c r="T1694">
        <f t="shared" si="213"/>
        <v>9.9806748742546123E-6</v>
      </c>
      <c r="U1694">
        <f t="shared" si="214"/>
        <v>-4.4666578568412878E-3</v>
      </c>
    </row>
    <row r="1695" spans="10:21" x14ac:dyDescent="0.35">
      <c r="J1695">
        <f t="shared" si="215"/>
        <v>1692</v>
      </c>
      <c r="K1695">
        <f>demanda!D1693</f>
        <v>3</v>
      </c>
      <c r="L1695">
        <f>demanda!I1693</f>
        <v>3</v>
      </c>
      <c r="M1695">
        <v>6.5249082097586548</v>
      </c>
      <c r="N1695">
        <f t="shared" si="208"/>
        <v>-3.5249082097586548</v>
      </c>
      <c r="O1695">
        <v>1.3734589687128761E-3</v>
      </c>
      <c r="P1695">
        <f t="shared" si="209"/>
        <v>-0.35516078560198994</v>
      </c>
      <c r="Q1695">
        <f t="shared" si="210"/>
        <v>98.546996700749531</v>
      </c>
      <c r="R1695">
        <f t="shared" si="211"/>
        <v>-0.35532401713098288</v>
      </c>
      <c r="S1695">
        <f t="shared" si="212"/>
        <v>0.72238591463660118</v>
      </c>
      <c r="T1695">
        <f t="shared" si="213"/>
        <v>8.6861935283639592E-5</v>
      </c>
      <c r="U1695">
        <f t="shared" si="214"/>
        <v>-1.3177434192717408E-2</v>
      </c>
    </row>
    <row r="1696" spans="10:21" x14ac:dyDescent="0.35">
      <c r="J1696">
        <f t="shared" si="215"/>
        <v>1693</v>
      </c>
      <c r="K1696">
        <f>demanda!D1694</f>
        <v>0</v>
      </c>
      <c r="L1696">
        <f>demanda!I1694</f>
        <v>4</v>
      </c>
      <c r="M1696">
        <v>14.416809279416043</v>
      </c>
      <c r="N1696">
        <f t="shared" si="208"/>
        <v>-10.416809279416043</v>
      </c>
      <c r="O1696">
        <v>7.4087557083441532E-4</v>
      </c>
      <c r="P1696">
        <f t="shared" si="209"/>
        <v>-1.0495712078121913</v>
      </c>
      <c r="Q1696">
        <f t="shared" si="210"/>
        <v>98.49686724248096</v>
      </c>
      <c r="R1696">
        <f t="shared" si="211"/>
        <v>-1.049988258586362</v>
      </c>
      <c r="S1696">
        <f t="shared" si="212"/>
        <v>0.29385572056513598</v>
      </c>
      <c r="T1696">
        <f t="shared" si="213"/>
        <v>4.0867949778204384E-4</v>
      </c>
      <c r="U1696">
        <f t="shared" si="214"/>
        <v>-2.8590254333443563E-2</v>
      </c>
    </row>
    <row r="1697" spans="10:21" x14ac:dyDescent="0.35">
      <c r="J1697">
        <f t="shared" si="215"/>
        <v>1694</v>
      </c>
      <c r="K1697">
        <f>demanda!D1695</f>
        <v>4</v>
      </c>
      <c r="L1697">
        <f>demanda!I1695</f>
        <v>3</v>
      </c>
      <c r="M1697">
        <v>3.8942745198728588</v>
      </c>
      <c r="N1697">
        <f t="shared" si="208"/>
        <v>-0.89427451987285878</v>
      </c>
      <c r="O1697">
        <v>2.4466175697261316E-3</v>
      </c>
      <c r="P1697">
        <f t="shared" si="209"/>
        <v>-9.0104826032798527E-2</v>
      </c>
      <c r="Q1697">
        <f t="shared" si="210"/>
        <v>98.553065719630368</v>
      </c>
      <c r="R1697">
        <f t="shared" si="211"/>
        <v>-9.0191937130002245E-2</v>
      </c>
      <c r="S1697">
        <f t="shared" si="212"/>
        <v>0.92814410376796586</v>
      </c>
      <c r="T1697">
        <f t="shared" si="213"/>
        <v>9.9806748742546123E-6</v>
      </c>
      <c r="U1697">
        <f t="shared" si="214"/>
        <v>-4.4666578568412878E-3</v>
      </c>
    </row>
    <row r="1698" spans="10:21" x14ac:dyDescent="0.35">
      <c r="J1698">
        <f t="shared" si="215"/>
        <v>1695</v>
      </c>
      <c r="K1698">
        <f>demanda!D1696</f>
        <v>0</v>
      </c>
      <c r="L1698">
        <f>demanda!I1696</f>
        <v>17</v>
      </c>
      <c r="M1698">
        <v>14.416809279416043</v>
      </c>
      <c r="N1698">
        <f t="shared" si="208"/>
        <v>2.583190720583957</v>
      </c>
      <c r="O1698">
        <v>7.4087557083441532E-4</v>
      </c>
      <c r="P1698">
        <f t="shared" si="209"/>
        <v>0.26027572665365517</v>
      </c>
      <c r="Q1698">
        <f t="shared" si="210"/>
        <v>98.550002042157871</v>
      </c>
      <c r="R1698">
        <f t="shared" si="211"/>
        <v>0.26030894487816103</v>
      </c>
      <c r="S1698">
        <f t="shared" si="212"/>
        <v>0.79465340036911658</v>
      </c>
      <c r="T1698">
        <f t="shared" si="213"/>
        <v>2.5131960550094309E-5</v>
      </c>
      <c r="U1698">
        <f t="shared" si="214"/>
        <v>7.0879830116927275E-3</v>
      </c>
    </row>
    <row r="1699" spans="10:21" x14ac:dyDescent="0.35">
      <c r="J1699">
        <f t="shared" si="215"/>
        <v>1696</v>
      </c>
      <c r="K1699">
        <f>demanda!D1697</f>
        <v>2</v>
      </c>
      <c r="L1699">
        <f>demanda!I1697</f>
        <v>3</v>
      </c>
      <c r="M1699">
        <v>9.1555418996444509</v>
      </c>
      <c r="N1699">
        <f t="shared" si="208"/>
        <v>-6.1555418996444509</v>
      </c>
      <c r="O1699">
        <v>7.3144910189317154E-4</v>
      </c>
      <c r="P1699">
        <f t="shared" si="209"/>
        <v>-0.62021674517118131</v>
      </c>
      <c r="Q1699">
        <f t="shared" si="210"/>
        <v>98.533713924458709</v>
      </c>
      <c r="R1699">
        <f t="shared" si="211"/>
        <v>-0.62034424251421916</v>
      </c>
      <c r="S1699">
        <f t="shared" si="212"/>
        <v>0.53510483257501296</v>
      </c>
      <c r="T1699">
        <f t="shared" si="213"/>
        <v>1.4088885884323287E-4</v>
      </c>
      <c r="U1699">
        <f t="shared" si="214"/>
        <v>-1.6783545165498539E-2</v>
      </c>
    </row>
    <row r="1700" spans="10:21" x14ac:dyDescent="0.35">
      <c r="J1700">
        <f t="shared" si="215"/>
        <v>1697</v>
      </c>
      <c r="K1700">
        <f>demanda!D1698</f>
        <v>0</v>
      </c>
      <c r="L1700">
        <f>demanda!I1698</f>
        <v>3</v>
      </c>
      <c r="M1700">
        <v>14.416809279416043</v>
      </c>
      <c r="N1700">
        <f t="shared" si="208"/>
        <v>-11.416809279416043</v>
      </c>
      <c r="O1700">
        <v>7.4087557083441532E-4</v>
      </c>
      <c r="P1700">
        <f t="shared" si="209"/>
        <v>-1.150328664309564</v>
      </c>
      <c r="Q1700">
        <f t="shared" si="210"/>
        <v>98.485475268264722</v>
      </c>
      <c r="R1700">
        <f t="shared" si="211"/>
        <v>-1.1508523061099405</v>
      </c>
      <c r="S1700">
        <f t="shared" si="212"/>
        <v>0.24993638008158123</v>
      </c>
      <c r="T1700">
        <f t="shared" si="213"/>
        <v>4.9091117422407117E-4</v>
      </c>
      <c r="U1700">
        <f t="shared" si="214"/>
        <v>-3.1336693399040466E-2</v>
      </c>
    </row>
    <row r="1701" spans="10:21" x14ac:dyDescent="0.35">
      <c r="J1701">
        <f t="shared" si="215"/>
        <v>1698</v>
      </c>
      <c r="K1701">
        <f>demanda!D1699</f>
        <v>3</v>
      </c>
      <c r="L1701">
        <f>demanda!I1699</f>
        <v>7</v>
      </c>
      <c r="M1701">
        <v>6.5249082097586548</v>
      </c>
      <c r="N1701">
        <f t="shared" si="208"/>
        <v>0.47509179024134518</v>
      </c>
      <c r="O1701">
        <v>1.3734589687128761E-3</v>
      </c>
      <c r="P1701">
        <f t="shared" si="209"/>
        <v>4.7869040387501303E-2</v>
      </c>
      <c r="Q1701">
        <f t="shared" si="210"/>
        <v>98.553365858159935</v>
      </c>
      <c r="R1701">
        <f t="shared" si="211"/>
        <v>4.7889493409082308E-2</v>
      </c>
      <c r="S1701">
        <f t="shared" si="212"/>
        <v>0.96180929609305088</v>
      </c>
      <c r="T1701">
        <f t="shared" si="213"/>
        <v>1.5779343417974939E-6</v>
      </c>
      <c r="U1701">
        <f t="shared" si="214"/>
        <v>1.7760146162259802E-3</v>
      </c>
    </row>
    <row r="1702" spans="10:21" x14ac:dyDescent="0.35">
      <c r="J1702">
        <f t="shared" si="215"/>
        <v>1699</v>
      </c>
      <c r="K1702">
        <f>demanda!D1700</f>
        <v>0</v>
      </c>
      <c r="L1702">
        <f>demanda!I1700</f>
        <v>18</v>
      </c>
      <c r="M1702">
        <v>14.416809279416043</v>
      </c>
      <c r="N1702">
        <f t="shared" si="208"/>
        <v>3.583190720583957</v>
      </c>
      <c r="O1702">
        <v>7.4087557083441532E-4</v>
      </c>
      <c r="P1702">
        <f t="shared" si="209"/>
        <v>0.36103318315102795</v>
      </c>
      <c r="Q1702">
        <f t="shared" si="210"/>
        <v>98.546784652507341</v>
      </c>
      <c r="R1702">
        <f t="shared" si="211"/>
        <v>0.3610851550254302</v>
      </c>
      <c r="S1702">
        <f t="shared" si="212"/>
        <v>0.7180755365508017</v>
      </c>
      <c r="T1702">
        <f t="shared" si="213"/>
        <v>4.8356323571821784E-5</v>
      </c>
      <c r="U1702">
        <f t="shared" si="214"/>
        <v>9.8320303429934326E-3</v>
      </c>
    </row>
    <row r="1703" spans="10:21" x14ac:dyDescent="0.35">
      <c r="J1703">
        <f t="shared" si="215"/>
        <v>1700</v>
      </c>
      <c r="K1703">
        <f>demanda!D1701</f>
        <v>0</v>
      </c>
      <c r="L1703">
        <f>demanda!I1701</f>
        <v>12</v>
      </c>
      <c r="M1703">
        <v>14.416809279416043</v>
      </c>
      <c r="N1703">
        <f t="shared" si="208"/>
        <v>-2.416809279416043</v>
      </c>
      <c r="O1703">
        <v>7.4087557083441532E-4</v>
      </c>
      <c r="P1703">
        <f t="shared" si="209"/>
        <v>-0.24351155583320885</v>
      </c>
      <c r="Q1703">
        <f t="shared" si="210"/>
        <v>98.55043610055337</v>
      </c>
      <c r="R1703">
        <f t="shared" si="211"/>
        <v>-0.24354209816225414</v>
      </c>
      <c r="S1703">
        <f t="shared" si="212"/>
        <v>0.80761150818210881</v>
      </c>
      <c r="T1703">
        <f t="shared" si="213"/>
        <v>2.199875915262289E-5</v>
      </c>
      <c r="U1703">
        <f t="shared" si="214"/>
        <v>-6.6314365617133417E-3</v>
      </c>
    </row>
    <row r="1704" spans="10:21" x14ac:dyDescent="0.35">
      <c r="J1704">
        <f t="shared" si="215"/>
        <v>1701</v>
      </c>
      <c r="K1704">
        <f>demanda!D1702</f>
        <v>1</v>
      </c>
      <c r="L1704">
        <f>demanda!I1702</f>
        <v>19</v>
      </c>
      <c r="M1704">
        <v>11.786175589530247</v>
      </c>
      <c r="N1704">
        <f t="shared" si="208"/>
        <v>7.2138244104697531</v>
      </c>
      <c r="O1704">
        <v>5.2058796926701797E-4</v>
      </c>
      <c r="P1704">
        <f t="shared" si="209"/>
        <v>0.7268465992175922</v>
      </c>
      <c r="Q1704">
        <f t="shared" si="210"/>
        <v>98.526337523901447</v>
      </c>
      <c r="R1704">
        <f t="shared" si="211"/>
        <v>0.7269465355179825</v>
      </c>
      <c r="S1704">
        <f t="shared" si="212"/>
        <v>0.46734737556315276</v>
      </c>
      <c r="T1704">
        <f t="shared" si="213"/>
        <v>1.3765815738026057E-4</v>
      </c>
      <c r="U1704">
        <f t="shared" si="214"/>
        <v>1.6590619708323609E-2</v>
      </c>
    </row>
    <row r="1705" spans="10:21" x14ac:dyDescent="0.35">
      <c r="J1705">
        <f t="shared" si="215"/>
        <v>1702</v>
      </c>
      <c r="K1705">
        <f>demanda!D1703</f>
        <v>0</v>
      </c>
      <c r="L1705">
        <f>demanda!I1703</f>
        <v>11</v>
      </c>
      <c r="M1705">
        <v>14.416809279416043</v>
      </c>
      <c r="N1705">
        <f t="shared" si="208"/>
        <v>-3.416809279416043</v>
      </c>
      <c r="O1705">
        <v>7.4087557083441532E-4</v>
      </c>
      <c r="P1705">
        <f t="shared" si="209"/>
        <v>-0.34426901233058166</v>
      </c>
      <c r="Q1705">
        <f t="shared" si="210"/>
        <v>98.547392334261005</v>
      </c>
      <c r="R1705">
        <f t="shared" si="211"/>
        <v>-0.34431750934619676</v>
      </c>
      <c r="S1705">
        <f t="shared" si="212"/>
        <v>0.73064524437297085</v>
      </c>
      <c r="T1705">
        <f t="shared" si="213"/>
        <v>4.3969841615361785E-5</v>
      </c>
      <c r="U1705">
        <f t="shared" si="214"/>
        <v>-9.3754621379472432E-3</v>
      </c>
    </row>
    <row r="1706" spans="10:21" x14ac:dyDescent="0.35">
      <c r="J1706">
        <f t="shared" si="215"/>
        <v>1703</v>
      </c>
      <c r="K1706">
        <f>demanda!D1704</f>
        <v>2</v>
      </c>
      <c r="L1706">
        <f>demanda!I1704</f>
        <v>4</v>
      </c>
      <c r="M1706">
        <v>9.1555418996444509</v>
      </c>
      <c r="N1706">
        <f t="shared" si="208"/>
        <v>-5.1555418996444509</v>
      </c>
      <c r="O1706">
        <v>7.3144910189317154E-4</v>
      </c>
      <c r="P1706">
        <f t="shared" si="209"/>
        <v>-0.51945928867380853</v>
      </c>
      <c r="Q1706">
        <f t="shared" si="210"/>
        <v>98.539615573748293</v>
      </c>
      <c r="R1706">
        <f t="shared" si="211"/>
        <v>-0.51955051447259837</v>
      </c>
      <c r="S1706">
        <f t="shared" si="212"/>
        <v>0.60343681513546954</v>
      </c>
      <c r="T1706">
        <f t="shared" si="213"/>
        <v>9.8830890695332879E-5</v>
      </c>
      <c r="U1706">
        <f t="shared" si="214"/>
        <v>-1.4056549457229766E-2</v>
      </c>
    </row>
    <row r="1707" spans="10:21" x14ac:dyDescent="0.35">
      <c r="J1707">
        <f t="shared" si="215"/>
        <v>1704</v>
      </c>
      <c r="K1707">
        <f>demanda!D1705</f>
        <v>1</v>
      </c>
      <c r="L1707">
        <f>demanda!I1705</f>
        <v>2</v>
      </c>
      <c r="M1707">
        <v>11.786175589530247</v>
      </c>
      <c r="N1707">
        <f t="shared" si="208"/>
        <v>-9.7861755895302469</v>
      </c>
      <c r="O1707">
        <v>5.2058796926701797E-4</v>
      </c>
      <c r="P1707">
        <f t="shared" si="209"/>
        <v>-0.98603016123774556</v>
      </c>
      <c r="Q1707">
        <f t="shared" si="210"/>
        <v>98.503525872599127</v>
      </c>
      <c r="R1707">
        <f t="shared" si="211"/>
        <v>-0.98627991600190701</v>
      </c>
      <c r="S1707">
        <f t="shared" si="212"/>
        <v>0.32412010689798754</v>
      </c>
      <c r="T1707">
        <f t="shared" si="213"/>
        <v>2.5333595131680776E-4</v>
      </c>
      <c r="U1707">
        <f t="shared" si="214"/>
        <v>-2.2509213831916283E-2</v>
      </c>
    </row>
    <row r="1708" spans="10:21" x14ac:dyDescent="0.35">
      <c r="J1708">
        <f t="shared" si="215"/>
        <v>1705</v>
      </c>
      <c r="K1708">
        <f>demanda!D1706</f>
        <v>0</v>
      </c>
      <c r="L1708">
        <f>demanda!I1706</f>
        <v>11</v>
      </c>
      <c r="M1708">
        <v>14.416809279416043</v>
      </c>
      <c r="N1708">
        <f t="shared" si="208"/>
        <v>-3.416809279416043</v>
      </c>
      <c r="O1708">
        <v>7.4087557083441532E-4</v>
      </c>
      <c r="P1708">
        <f t="shared" si="209"/>
        <v>-0.34426901233058166</v>
      </c>
      <c r="Q1708">
        <f t="shared" si="210"/>
        <v>98.547392334261005</v>
      </c>
      <c r="R1708">
        <f t="shared" si="211"/>
        <v>-0.34431750934619676</v>
      </c>
      <c r="S1708">
        <f t="shared" si="212"/>
        <v>0.73064524437297085</v>
      </c>
      <c r="T1708">
        <f t="shared" si="213"/>
        <v>4.3969841615361785E-5</v>
      </c>
      <c r="U1708">
        <f t="shared" si="214"/>
        <v>-9.3754621379472432E-3</v>
      </c>
    </row>
    <row r="1709" spans="10:21" x14ac:dyDescent="0.35">
      <c r="J1709">
        <f t="shared" si="215"/>
        <v>1706</v>
      </c>
      <c r="K1709">
        <f>demanda!D1707</f>
        <v>1</v>
      </c>
      <c r="L1709">
        <f>demanda!I1707</f>
        <v>3</v>
      </c>
      <c r="M1709">
        <v>11.786175589530247</v>
      </c>
      <c r="N1709">
        <f t="shared" si="208"/>
        <v>-8.7861755895302469</v>
      </c>
      <c r="O1709">
        <v>5.2058796926701797E-4</v>
      </c>
      <c r="P1709">
        <f t="shared" si="209"/>
        <v>-0.88527270474037267</v>
      </c>
      <c r="Q1709">
        <f t="shared" si="210"/>
        <v>98.513214102399758</v>
      </c>
      <c r="R1709">
        <f t="shared" si="211"/>
        <v>-0.88545339538896362</v>
      </c>
      <c r="S1709">
        <f t="shared" si="212"/>
        <v>0.37602308055069167</v>
      </c>
      <c r="T1709">
        <f t="shared" si="213"/>
        <v>2.0420697614382047E-4</v>
      </c>
      <c r="U1709">
        <f t="shared" si="214"/>
        <v>-2.0208116875988336E-2</v>
      </c>
    </row>
    <row r="1710" spans="10:21" x14ac:dyDescent="0.35">
      <c r="J1710">
        <f t="shared" si="215"/>
        <v>1707</v>
      </c>
      <c r="K1710">
        <f>demanda!D1708</f>
        <v>2</v>
      </c>
      <c r="L1710">
        <f>demanda!I1708</f>
        <v>1</v>
      </c>
      <c r="M1710">
        <v>9.1555418996444509</v>
      </c>
      <c r="N1710">
        <f t="shared" si="208"/>
        <v>-8.1555418996444509</v>
      </c>
      <c r="O1710">
        <v>7.3144910189317154E-4</v>
      </c>
      <c r="P1710">
        <f t="shared" si="209"/>
        <v>-0.82173165816592697</v>
      </c>
      <c r="Q1710">
        <f t="shared" si="210"/>
        <v>98.51878007743997</v>
      </c>
      <c r="R1710">
        <f t="shared" si="211"/>
        <v>-0.82196287175967064</v>
      </c>
      <c r="S1710">
        <f t="shared" si="212"/>
        <v>0.41120013994016635</v>
      </c>
      <c r="T1710">
        <f t="shared" si="213"/>
        <v>2.4731457670950128E-4</v>
      </c>
      <c r="U1710">
        <f t="shared" si="214"/>
        <v>-2.2238379978556995E-2</v>
      </c>
    </row>
    <row r="1711" spans="10:21" x14ac:dyDescent="0.35">
      <c r="J1711">
        <f t="shared" si="215"/>
        <v>1708</v>
      </c>
      <c r="K1711">
        <f>demanda!D1709</f>
        <v>0</v>
      </c>
      <c r="L1711">
        <f>demanda!I1709</f>
        <v>3</v>
      </c>
      <c r="M1711">
        <v>14.416809279416043</v>
      </c>
      <c r="N1711">
        <f t="shared" si="208"/>
        <v>-11.416809279416043</v>
      </c>
      <c r="O1711">
        <v>7.4087557083441532E-4</v>
      </c>
      <c r="P1711">
        <f t="shared" si="209"/>
        <v>-1.150328664309564</v>
      </c>
      <c r="Q1711">
        <f t="shared" si="210"/>
        <v>98.485475268264722</v>
      </c>
      <c r="R1711">
        <f t="shared" si="211"/>
        <v>-1.1508523061099405</v>
      </c>
      <c r="S1711">
        <f t="shared" si="212"/>
        <v>0.24993638008158123</v>
      </c>
      <c r="T1711">
        <f t="shared" si="213"/>
        <v>4.9091117422407117E-4</v>
      </c>
      <c r="U1711">
        <f t="shared" si="214"/>
        <v>-3.1336693399040466E-2</v>
      </c>
    </row>
    <row r="1712" spans="10:21" x14ac:dyDescent="0.35">
      <c r="J1712">
        <f t="shared" si="215"/>
        <v>1709</v>
      </c>
      <c r="K1712">
        <f>demanda!D1710</f>
        <v>0</v>
      </c>
      <c r="L1712">
        <f>demanda!I1710</f>
        <v>3</v>
      </c>
      <c r="M1712">
        <v>14.416809279416043</v>
      </c>
      <c r="N1712">
        <f t="shared" si="208"/>
        <v>-11.416809279416043</v>
      </c>
      <c r="O1712">
        <v>7.4087557083441532E-4</v>
      </c>
      <c r="P1712">
        <f t="shared" si="209"/>
        <v>-1.150328664309564</v>
      </c>
      <c r="Q1712">
        <f t="shared" si="210"/>
        <v>98.485475268264722</v>
      </c>
      <c r="R1712">
        <f t="shared" si="211"/>
        <v>-1.1508523061099405</v>
      </c>
      <c r="S1712">
        <f t="shared" si="212"/>
        <v>0.24993638008158123</v>
      </c>
      <c r="T1712">
        <f t="shared" si="213"/>
        <v>4.9091117422407117E-4</v>
      </c>
      <c r="U1712">
        <f t="shared" si="214"/>
        <v>-3.1336693399040466E-2</v>
      </c>
    </row>
    <row r="1713" spans="10:21" x14ac:dyDescent="0.35">
      <c r="J1713">
        <f t="shared" si="215"/>
        <v>1710</v>
      </c>
      <c r="K1713">
        <f>demanda!D1711</f>
        <v>3</v>
      </c>
      <c r="L1713">
        <f>demanda!I1711</f>
        <v>3</v>
      </c>
      <c r="M1713">
        <v>6.5249082097586548</v>
      </c>
      <c r="N1713">
        <f t="shared" si="208"/>
        <v>-3.5249082097586548</v>
      </c>
      <c r="O1713">
        <v>1.3734589687128761E-3</v>
      </c>
      <c r="P1713">
        <f t="shared" si="209"/>
        <v>-0.35516078560198994</v>
      </c>
      <c r="Q1713">
        <f t="shared" si="210"/>
        <v>98.546996700749531</v>
      </c>
      <c r="R1713">
        <f t="shared" si="211"/>
        <v>-0.35532401713098288</v>
      </c>
      <c r="S1713">
        <f t="shared" si="212"/>
        <v>0.72238591463660118</v>
      </c>
      <c r="T1713">
        <f t="shared" si="213"/>
        <v>8.6861935283639592E-5</v>
      </c>
      <c r="U1713">
        <f t="shared" si="214"/>
        <v>-1.3177434192717408E-2</v>
      </c>
    </row>
    <row r="1714" spans="10:21" x14ac:dyDescent="0.35">
      <c r="J1714">
        <f t="shared" si="215"/>
        <v>1711</v>
      </c>
      <c r="K1714">
        <f>demanda!D1712</f>
        <v>1</v>
      </c>
      <c r="L1714">
        <f>demanda!I1712</f>
        <v>15</v>
      </c>
      <c r="M1714">
        <v>11.786175589530247</v>
      </c>
      <c r="N1714">
        <f t="shared" si="208"/>
        <v>3.2138244104697531</v>
      </c>
      <c r="O1714">
        <v>5.2058796926701797E-4</v>
      </c>
      <c r="P1714">
        <f t="shared" si="209"/>
        <v>0.32381677322810093</v>
      </c>
      <c r="Q1714">
        <f t="shared" si="210"/>
        <v>98.548095772403954</v>
      </c>
      <c r="R1714">
        <f t="shared" si="211"/>
        <v>0.3238255414227269</v>
      </c>
      <c r="S1714">
        <f t="shared" si="212"/>
        <v>0.74610540567370975</v>
      </c>
      <c r="T1714">
        <f t="shared" si="213"/>
        <v>2.7322164893932259E-5</v>
      </c>
      <c r="U1714">
        <f t="shared" si="214"/>
        <v>7.390456033686617E-3</v>
      </c>
    </row>
    <row r="1715" spans="10:21" x14ac:dyDescent="0.35">
      <c r="J1715">
        <f t="shared" si="215"/>
        <v>1712</v>
      </c>
      <c r="K1715">
        <f>demanda!D1713</f>
        <v>2</v>
      </c>
      <c r="L1715">
        <f>demanda!I1713</f>
        <v>5</v>
      </c>
      <c r="M1715">
        <v>9.1555418996444509</v>
      </c>
      <c r="N1715">
        <f t="shared" si="208"/>
        <v>-4.1555418996444509</v>
      </c>
      <c r="O1715">
        <v>7.3144910189317154E-4</v>
      </c>
      <c r="P1715">
        <f t="shared" si="209"/>
        <v>-0.4187018321764357</v>
      </c>
      <c r="Q1715">
        <f t="shared" si="210"/>
        <v>98.544473706891381</v>
      </c>
      <c r="R1715">
        <f t="shared" si="211"/>
        <v>-0.41876504056165376</v>
      </c>
      <c r="S1715">
        <f t="shared" si="212"/>
        <v>0.67543472022045181</v>
      </c>
      <c r="T1715">
        <f t="shared" si="213"/>
        <v>6.420951640425571E-5</v>
      </c>
      <c r="U1715">
        <f t="shared" si="214"/>
        <v>-1.1329777066218591E-2</v>
      </c>
    </row>
    <row r="1716" spans="10:21" x14ac:dyDescent="0.35">
      <c r="J1716">
        <f t="shared" si="215"/>
        <v>1713</v>
      </c>
      <c r="K1716">
        <f>demanda!D1714</f>
        <v>0</v>
      </c>
      <c r="L1716">
        <f>demanda!I1714</f>
        <v>9</v>
      </c>
      <c r="M1716">
        <v>14.416809279416043</v>
      </c>
      <c r="N1716">
        <f t="shared" si="208"/>
        <v>-5.416809279416043</v>
      </c>
      <c r="O1716">
        <v>7.4087557083441532E-4</v>
      </c>
      <c r="P1716">
        <f t="shared" si="209"/>
        <v>-0.54578392532532727</v>
      </c>
      <c r="Q1716">
        <f t="shared" si="210"/>
        <v>98.538174223704843</v>
      </c>
      <c r="R1716">
        <f t="shared" si="211"/>
        <v>-0.54588634131956315</v>
      </c>
      <c r="S1716">
        <f t="shared" si="212"/>
        <v>0.58520751823074413</v>
      </c>
      <c r="T1716">
        <f t="shared" si="213"/>
        <v>1.1050972928307278E-4</v>
      </c>
      <c r="U1716">
        <f t="shared" si="214"/>
        <v>-1.4864003676090257E-2</v>
      </c>
    </row>
    <row r="1717" spans="10:21" x14ac:dyDescent="0.35">
      <c r="J1717">
        <f t="shared" si="215"/>
        <v>1714</v>
      </c>
      <c r="K1717">
        <f>demanda!D1715</f>
        <v>1</v>
      </c>
      <c r="L1717">
        <f>demanda!I1715</f>
        <v>15</v>
      </c>
      <c r="M1717">
        <v>11.786175589530247</v>
      </c>
      <c r="N1717">
        <f t="shared" si="208"/>
        <v>3.2138244104697531</v>
      </c>
      <c r="O1717">
        <v>5.2058796926701797E-4</v>
      </c>
      <c r="P1717">
        <f t="shared" si="209"/>
        <v>0.32381677322810093</v>
      </c>
      <c r="Q1717">
        <f t="shared" si="210"/>
        <v>98.548095772403954</v>
      </c>
      <c r="R1717">
        <f t="shared" si="211"/>
        <v>0.3238255414227269</v>
      </c>
      <c r="S1717">
        <f t="shared" si="212"/>
        <v>0.74610540567370975</v>
      </c>
      <c r="T1717">
        <f t="shared" si="213"/>
        <v>2.7322164893932259E-5</v>
      </c>
      <c r="U1717">
        <f t="shared" si="214"/>
        <v>7.390456033686617E-3</v>
      </c>
    </row>
    <row r="1718" spans="10:21" x14ac:dyDescent="0.35">
      <c r="J1718">
        <f t="shared" si="215"/>
        <v>1715</v>
      </c>
      <c r="K1718">
        <f>demanda!D1716</f>
        <v>3</v>
      </c>
      <c r="L1718">
        <f>demanda!I1716</f>
        <v>10</v>
      </c>
      <c r="M1718">
        <v>6.5249082097586548</v>
      </c>
      <c r="N1718">
        <f t="shared" si="208"/>
        <v>3.4750917902413452</v>
      </c>
      <c r="O1718">
        <v>1.3734589687128761E-3</v>
      </c>
      <c r="P1718">
        <f t="shared" si="209"/>
        <v>0.35014140987961972</v>
      </c>
      <c r="Q1718">
        <f t="shared" si="210"/>
        <v>98.547178762554012</v>
      </c>
      <c r="R1718">
        <f t="shared" si="211"/>
        <v>0.35030201092410335</v>
      </c>
      <c r="S1718">
        <f t="shared" si="212"/>
        <v>0.72615050111788593</v>
      </c>
      <c r="T1718">
        <f t="shared" si="213"/>
        <v>8.4424099616473345E-5</v>
      </c>
      <c r="U1718">
        <f t="shared" si="214"/>
        <v>1.2991189657825249E-2</v>
      </c>
    </row>
    <row r="1719" spans="10:21" x14ac:dyDescent="0.35">
      <c r="J1719">
        <f t="shared" si="215"/>
        <v>1716</v>
      </c>
      <c r="K1719">
        <f>demanda!D1717</f>
        <v>0</v>
      </c>
      <c r="L1719">
        <f>demanda!I1717</f>
        <v>15</v>
      </c>
      <c r="M1719">
        <v>14.416809279416043</v>
      </c>
      <c r="N1719">
        <f t="shared" si="208"/>
        <v>0.58319072058395705</v>
      </c>
      <c r="O1719">
        <v>7.4087557083441532E-4</v>
      </c>
      <c r="P1719">
        <f t="shared" si="209"/>
        <v>5.8760813658909554E-2</v>
      </c>
      <c r="Q1719">
        <f t="shared" si="210"/>
        <v>98.553306243487526</v>
      </c>
      <c r="R1719">
        <f t="shared" si="211"/>
        <v>5.8767327956256402E-2</v>
      </c>
      <c r="S1719">
        <f t="shared" si="212"/>
        <v>0.95314355069247325</v>
      </c>
      <c r="T1719">
        <f t="shared" si="213"/>
        <v>1.2809572488725558E-6</v>
      </c>
      <c r="U1719">
        <f t="shared" si="214"/>
        <v>1.6001825154010173E-3</v>
      </c>
    </row>
    <row r="1720" spans="10:21" x14ac:dyDescent="0.35">
      <c r="J1720">
        <f t="shared" si="215"/>
        <v>1717</v>
      </c>
      <c r="K1720">
        <f>demanda!D1718</f>
        <v>2</v>
      </c>
      <c r="L1720">
        <f>demanda!I1718</f>
        <v>15</v>
      </c>
      <c r="M1720">
        <v>9.1555418996444509</v>
      </c>
      <c r="N1720">
        <f t="shared" si="208"/>
        <v>5.8444581003555491</v>
      </c>
      <c r="O1720">
        <v>7.3144910189317154E-4</v>
      </c>
      <c r="P1720">
        <f t="shared" si="209"/>
        <v>0.58887273279729235</v>
      </c>
      <c r="Q1720">
        <f t="shared" si="210"/>
        <v>98.535661650263577</v>
      </c>
      <c r="R1720">
        <f t="shared" si="211"/>
        <v>0.58898796551937516</v>
      </c>
      <c r="S1720">
        <f t="shared" si="212"/>
        <v>0.55593867021574073</v>
      </c>
      <c r="T1720">
        <f t="shared" si="213"/>
        <v>1.2700843561873917E-4</v>
      </c>
      <c r="U1720">
        <f t="shared" si="214"/>
        <v>1.593519443521384E-2</v>
      </c>
    </row>
    <row r="1721" spans="10:21" x14ac:dyDescent="0.35">
      <c r="J1721">
        <f t="shared" si="215"/>
        <v>1718</v>
      </c>
      <c r="K1721">
        <f>demanda!D1719</f>
        <v>0</v>
      </c>
      <c r="L1721">
        <f>demanda!I1719</f>
        <v>15</v>
      </c>
      <c r="M1721">
        <v>14.416809279416043</v>
      </c>
      <c r="N1721">
        <f t="shared" si="208"/>
        <v>0.58319072058395705</v>
      </c>
      <c r="O1721">
        <v>7.4087557083441532E-4</v>
      </c>
      <c r="P1721">
        <f t="shared" si="209"/>
        <v>5.8760813658909554E-2</v>
      </c>
      <c r="Q1721">
        <f t="shared" si="210"/>
        <v>98.553306243487526</v>
      </c>
      <c r="R1721">
        <f t="shared" si="211"/>
        <v>5.8767327956256402E-2</v>
      </c>
      <c r="S1721">
        <f t="shared" si="212"/>
        <v>0.95314355069247325</v>
      </c>
      <c r="T1721">
        <f t="shared" si="213"/>
        <v>1.2809572488725558E-6</v>
      </c>
      <c r="U1721">
        <f t="shared" si="214"/>
        <v>1.6001825154010173E-3</v>
      </c>
    </row>
    <row r="1722" spans="10:21" x14ac:dyDescent="0.35">
      <c r="J1722">
        <f t="shared" si="215"/>
        <v>1719</v>
      </c>
      <c r="K1722">
        <f>demanda!D1720</f>
        <v>0</v>
      </c>
      <c r="L1722">
        <f>demanda!I1720</f>
        <v>15</v>
      </c>
      <c r="M1722">
        <v>14.416809279416043</v>
      </c>
      <c r="N1722">
        <f t="shared" si="208"/>
        <v>0.58319072058395705</v>
      </c>
      <c r="O1722">
        <v>7.4087557083441532E-4</v>
      </c>
      <c r="P1722">
        <f t="shared" si="209"/>
        <v>5.8760813658909554E-2</v>
      </c>
      <c r="Q1722">
        <f t="shared" si="210"/>
        <v>98.553306243487526</v>
      </c>
      <c r="R1722">
        <f t="shared" si="211"/>
        <v>5.8767327956256402E-2</v>
      </c>
      <c r="S1722">
        <f t="shared" si="212"/>
        <v>0.95314355069247325</v>
      </c>
      <c r="T1722">
        <f t="shared" si="213"/>
        <v>1.2809572488725558E-6</v>
      </c>
      <c r="U1722">
        <f t="shared" si="214"/>
        <v>1.6001825154010173E-3</v>
      </c>
    </row>
    <row r="1723" spans="10:21" x14ac:dyDescent="0.35">
      <c r="J1723">
        <f t="shared" si="215"/>
        <v>1720</v>
      </c>
      <c r="K1723">
        <f>demanda!D1721</f>
        <v>0</v>
      </c>
      <c r="L1723">
        <f>demanda!I1721</f>
        <v>15</v>
      </c>
      <c r="M1723">
        <v>14.416809279416043</v>
      </c>
      <c r="N1723">
        <f t="shared" si="208"/>
        <v>0.58319072058395705</v>
      </c>
      <c r="O1723">
        <v>7.4087557083441532E-4</v>
      </c>
      <c r="P1723">
        <f t="shared" si="209"/>
        <v>5.8760813658909554E-2</v>
      </c>
      <c r="Q1723">
        <f t="shared" si="210"/>
        <v>98.553306243487526</v>
      </c>
      <c r="R1723">
        <f t="shared" si="211"/>
        <v>5.8767327956256402E-2</v>
      </c>
      <c r="S1723">
        <f t="shared" si="212"/>
        <v>0.95314355069247325</v>
      </c>
      <c r="T1723">
        <f t="shared" si="213"/>
        <v>1.2809572488725558E-6</v>
      </c>
      <c r="U1723">
        <f t="shared" si="214"/>
        <v>1.6001825154010173E-3</v>
      </c>
    </row>
    <row r="1724" spans="10:21" x14ac:dyDescent="0.35">
      <c r="J1724">
        <f t="shared" si="215"/>
        <v>1721</v>
      </c>
      <c r="K1724">
        <f>demanda!D1722</f>
        <v>0</v>
      </c>
      <c r="L1724">
        <f>demanda!I1722</f>
        <v>15</v>
      </c>
      <c r="M1724">
        <v>14.416809279416043</v>
      </c>
      <c r="N1724">
        <f t="shared" si="208"/>
        <v>0.58319072058395705</v>
      </c>
      <c r="O1724">
        <v>7.4087557083441532E-4</v>
      </c>
      <c r="P1724">
        <f t="shared" si="209"/>
        <v>5.8760813658909554E-2</v>
      </c>
      <c r="Q1724">
        <f t="shared" si="210"/>
        <v>98.553306243487526</v>
      </c>
      <c r="R1724">
        <f t="shared" si="211"/>
        <v>5.8767327956256402E-2</v>
      </c>
      <c r="S1724">
        <f t="shared" si="212"/>
        <v>0.95314355069247325</v>
      </c>
      <c r="T1724">
        <f t="shared" si="213"/>
        <v>1.2809572488725558E-6</v>
      </c>
      <c r="U1724">
        <f t="shared" si="214"/>
        <v>1.6001825154010173E-3</v>
      </c>
    </row>
    <row r="1725" spans="10:21" x14ac:dyDescent="0.35">
      <c r="J1725">
        <f t="shared" si="215"/>
        <v>1722</v>
      </c>
      <c r="K1725">
        <f>demanda!D1723</f>
        <v>0</v>
      </c>
      <c r="L1725">
        <f>demanda!I1723</f>
        <v>15</v>
      </c>
      <c r="M1725">
        <v>14.416809279416043</v>
      </c>
      <c r="N1725">
        <f t="shared" si="208"/>
        <v>0.58319072058395705</v>
      </c>
      <c r="O1725">
        <v>7.4087557083441532E-4</v>
      </c>
      <c r="P1725">
        <f t="shared" si="209"/>
        <v>5.8760813658909554E-2</v>
      </c>
      <c r="Q1725">
        <f t="shared" si="210"/>
        <v>98.553306243487526</v>
      </c>
      <c r="R1725">
        <f t="shared" si="211"/>
        <v>5.8767327956256402E-2</v>
      </c>
      <c r="S1725">
        <f t="shared" si="212"/>
        <v>0.95314355069247325</v>
      </c>
      <c r="T1725">
        <f t="shared" si="213"/>
        <v>1.2809572488725558E-6</v>
      </c>
      <c r="U1725">
        <f t="shared" si="214"/>
        <v>1.6001825154010173E-3</v>
      </c>
    </row>
    <row r="1726" spans="10:21" x14ac:dyDescent="0.35">
      <c r="J1726">
        <f t="shared" si="215"/>
        <v>1723</v>
      </c>
      <c r="K1726">
        <f>demanda!D1724</f>
        <v>0</v>
      </c>
      <c r="L1726">
        <f>demanda!I1724</f>
        <v>15</v>
      </c>
      <c r="M1726">
        <v>14.416809279416043</v>
      </c>
      <c r="N1726">
        <f t="shared" si="208"/>
        <v>0.58319072058395705</v>
      </c>
      <c r="O1726">
        <v>7.4087557083441532E-4</v>
      </c>
      <c r="P1726">
        <f t="shared" si="209"/>
        <v>5.8760813658909554E-2</v>
      </c>
      <c r="Q1726">
        <f t="shared" si="210"/>
        <v>98.553306243487526</v>
      </c>
      <c r="R1726">
        <f t="shared" si="211"/>
        <v>5.8767327956256402E-2</v>
      </c>
      <c r="S1726">
        <f t="shared" si="212"/>
        <v>0.95314355069247325</v>
      </c>
      <c r="T1726">
        <f t="shared" si="213"/>
        <v>1.2809572488725558E-6</v>
      </c>
      <c r="U1726">
        <f t="shared" si="214"/>
        <v>1.6001825154010173E-3</v>
      </c>
    </row>
    <row r="1727" spans="10:21" x14ac:dyDescent="0.35">
      <c r="J1727">
        <f t="shared" si="215"/>
        <v>1724</v>
      </c>
      <c r="K1727">
        <f>demanda!D1725</f>
        <v>0</v>
      </c>
      <c r="L1727">
        <f>demanda!I1725</f>
        <v>15</v>
      </c>
      <c r="M1727">
        <v>14.416809279416043</v>
      </c>
      <c r="N1727">
        <f t="shared" si="208"/>
        <v>0.58319072058395705</v>
      </c>
      <c r="O1727">
        <v>7.4087557083441532E-4</v>
      </c>
      <c r="P1727">
        <f t="shared" si="209"/>
        <v>5.8760813658909554E-2</v>
      </c>
      <c r="Q1727">
        <f t="shared" si="210"/>
        <v>98.553306243487526</v>
      </c>
      <c r="R1727">
        <f t="shared" si="211"/>
        <v>5.8767327956256402E-2</v>
      </c>
      <c r="S1727">
        <f t="shared" si="212"/>
        <v>0.95314355069247325</v>
      </c>
      <c r="T1727">
        <f t="shared" si="213"/>
        <v>1.2809572488725558E-6</v>
      </c>
      <c r="U1727">
        <f t="shared" si="214"/>
        <v>1.6001825154010173E-3</v>
      </c>
    </row>
    <row r="1728" spans="10:21" x14ac:dyDescent="0.35">
      <c r="J1728">
        <f t="shared" si="215"/>
        <v>1725</v>
      </c>
      <c r="K1728">
        <f>demanda!D1726</f>
        <v>0</v>
      </c>
      <c r="L1728">
        <f>demanda!I1726</f>
        <v>15</v>
      </c>
      <c r="M1728">
        <v>14.416809279416043</v>
      </c>
      <c r="N1728">
        <f t="shared" si="208"/>
        <v>0.58319072058395705</v>
      </c>
      <c r="O1728">
        <v>7.4087557083441532E-4</v>
      </c>
      <c r="P1728">
        <f t="shared" si="209"/>
        <v>5.8760813658909554E-2</v>
      </c>
      <c r="Q1728">
        <f t="shared" si="210"/>
        <v>98.553306243487526</v>
      </c>
      <c r="R1728">
        <f t="shared" si="211"/>
        <v>5.8767327956256402E-2</v>
      </c>
      <c r="S1728">
        <f t="shared" si="212"/>
        <v>0.95314355069247325</v>
      </c>
      <c r="T1728">
        <f t="shared" si="213"/>
        <v>1.2809572488725558E-6</v>
      </c>
      <c r="U1728">
        <f t="shared" si="214"/>
        <v>1.6001825154010173E-3</v>
      </c>
    </row>
    <row r="1729" spans="10:21" x14ac:dyDescent="0.35">
      <c r="J1729">
        <f t="shared" si="215"/>
        <v>1726</v>
      </c>
      <c r="K1729">
        <f>demanda!D1727</f>
        <v>0</v>
      </c>
      <c r="L1729">
        <f>demanda!I1727</f>
        <v>15</v>
      </c>
      <c r="M1729">
        <v>14.416809279416043</v>
      </c>
      <c r="N1729">
        <f t="shared" si="208"/>
        <v>0.58319072058395705</v>
      </c>
      <c r="O1729">
        <v>7.4087557083441532E-4</v>
      </c>
      <c r="P1729">
        <f t="shared" si="209"/>
        <v>5.8760813658909554E-2</v>
      </c>
      <c r="Q1729">
        <f t="shared" si="210"/>
        <v>98.553306243487526</v>
      </c>
      <c r="R1729">
        <f t="shared" si="211"/>
        <v>5.8767327956256402E-2</v>
      </c>
      <c r="S1729">
        <f t="shared" si="212"/>
        <v>0.95314355069247325</v>
      </c>
      <c r="T1729">
        <f t="shared" si="213"/>
        <v>1.2809572488725558E-6</v>
      </c>
      <c r="U1729">
        <f t="shared" si="214"/>
        <v>1.6001825154010173E-3</v>
      </c>
    </row>
    <row r="1730" spans="10:21" x14ac:dyDescent="0.35">
      <c r="J1730">
        <f t="shared" si="215"/>
        <v>1727</v>
      </c>
      <c r="K1730">
        <f>demanda!D1728</f>
        <v>0</v>
      </c>
      <c r="L1730">
        <f>demanda!I1728</f>
        <v>15</v>
      </c>
      <c r="M1730">
        <v>14.416809279416043</v>
      </c>
      <c r="N1730">
        <f t="shared" si="208"/>
        <v>0.58319072058395705</v>
      </c>
      <c r="O1730">
        <v>7.4087557083441532E-4</v>
      </c>
      <c r="P1730">
        <f t="shared" si="209"/>
        <v>5.8760813658909554E-2</v>
      </c>
      <c r="Q1730">
        <f t="shared" si="210"/>
        <v>98.553306243487526</v>
      </c>
      <c r="R1730">
        <f t="shared" si="211"/>
        <v>5.8767327956256402E-2</v>
      </c>
      <c r="S1730">
        <f t="shared" si="212"/>
        <v>0.95314355069247325</v>
      </c>
      <c r="T1730">
        <f t="shared" si="213"/>
        <v>1.2809572488725558E-6</v>
      </c>
      <c r="U1730">
        <f t="shared" si="214"/>
        <v>1.6001825154010173E-3</v>
      </c>
    </row>
    <row r="1731" spans="10:21" x14ac:dyDescent="0.35">
      <c r="J1731">
        <f t="shared" si="215"/>
        <v>1728</v>
      </c>
      <c r="K1731">
        <f>demanda!D1729</f>
        <v>0</v>
      </c>
      <c r="L1731">
        <f>demanda!I1729</f>
        <v>15</v>
      </c>
      <c r="M1731">
        <v>14.416809279416043</v>
      </c>
      <c r="N1731">
        <f t="shared" si="208"/>
        <v>0.58319072058395705</v>
      </c>
      <c r="O1731">
        <v>7.4087557083441532E-4</v>
      </c>
      <c r="P1731">
        <f t="shared" si="209"/>
        <v>5.8760813658909554E-2</v>
      </c>
      <c r="Q1731">
        <f t="shared" si="210"/>
        <v>98.553306243487526</v>
      </c>
      <c r="R1731">
        <f t="shared" si="211"/>
        <v>5.8767327956256402E-2</v>
      </c>
      <c r="S1731">
        <f t="shared" si="212"/>
        <v>0.95314355069247325</v>
      </c>
      <c r="T1731">
        <f t="shared" si="213"/>
        <v>1.2809572488725558E-6</v>
      </c>
      <c r="U1731">
        <f t="shared" si="214"/>
        <v>1.6001825154010173E-3</v>
      </c>
    </row>
    <row r="1732" spans="10:21" x14ac:dyDescent="0.35">
      <c r="J1732">
        <f t="shared" si="215"/>
        <v>1729</v>
      </c>
      <c r="K1732">
        <f>demanda!D1730</f>
        <v>0</v>
      </c>
      <c r="L1732">
        <f>demanda!I1730</f>
        <v>15</v>
      </c>
      <c r="M1732">
        <v>14.416809279416043</v>
      </c>
      <c r="N1732">
        <f t="shared" si="208"/>
        <v>0.58319072058395705</v>
      </c>
      <c r="O1732">
        <v>7.4087557083441532E-4</v>
      </c>
      <c r="P1732">
        <f t="shared" si="209"/>
        <v>5.8760813658909554E-2</v>
      </c>
      <c r="Q1732">
        <f t="shared" si="210"/>
        <v>98.553306243487526</v>
      </c>
      <c r="R1732">
        <f t="shared" si="211"/>
        <v>5.8767327956256402E-2</v>
      </c>
      <c r="S1732">
        <f t="shared" si="212"/>
        <v>0.95314355069247325</v>
      </c>
      <c r="T1732">
        <f t="shared" si="213"/>
        <v>1.2809572488725558E-6</v>
      </c>
      <c r="U1732">
        <f t="shared" si="214"/>
        <v>1.6001825154010173E-3</v>
      </c>
    </row>
    <row r="1733" spans="10:21" x14ac:dyDescent="0.35">
      <c r="J1733">
        <f t="shared" si="215"/>
        <v>1730</v>
      </c>
      <c r="K1733">
        <f>demanda!D1731</f>
        <v>0</v>
      </c>
      <c r="L1733">
        <f>demanda!I1731</f>
        <v>14</v>
      </c>
      <c r="M1733">
        <v>14.416809279416043</v>
      </c>
      <c r="N1733">
        <f t="shared" ref="N1733:N1796" si="216">L1733-M1733</f>
        <v>-0.41680927941604295</v>
      </c>
      <c r="O1733">
        <v>7.4087557083441532E-4</v>
      </c>
      <c r="P1733">
        <f t="shared" ref="P1733:P1796" si="217">N1733/SQRT($X$6)</f>
        <v>-4.1996642838463258E-2</v>
      </c>
      <c r="Q1733">
        <f t="shared" ref="Q1733:Q1796" si="218">($X$6-N1733^2/((1-O1733)*$X$5))*$X$5/($X$5-1)</f>
        <v>98.553393055166637</v>
      </c>
      <c r="R1733">
        <f t="shared" ref="R1733:R1796" si="219">N1733/SQRT(Q1733*(1-O1733))</f>
        <v>-4.2001280140228352E-2</v>
      </c>
      <c r="S1733">
        <f t="shared" ref="S1733:S1796" si="220">_xlfn.T.DIST.2T(ABS(R1733),$X$5)</f>
        <v>0.96650204701357412</v>
      </c>
      <c r="T1733">
        <f t="shared" ref="T1733:T1796" si="221">(N1733^2/$X$6)*(O1733/(1-O1733)^2)/($X$7+1)</f>
        <v>6.5431696937827154E-7</v>
      </c>
      <c r="U1733">
        <f t="shared" ref="U1733:U1796" si="222">R1733*SQRT(O1733/(1-O1733))</f>
        <v>-1.1436578187608104E-3</v>
      </c>
    </row>
    <row r="1734" spans="10:21" x14ac:dyDescent="0.35">
      <c r="J1734">
        <f t="shared" ref="J1734:J1797" si="223">J1733+1</f>
        <v>1731</v>
      </c>
      <c r="K1734">
        <f>demanda!D1732</f>
        <v>1</v>
      </c>
      <c r="L1734">
        <f>demanda!I1732</f>
        <v>15</v>
      </c>
      <c r="M1734">
        <v>11.786175589530247</v>
      </c>
      <c r="N1734">
        <f t="shared" si="216"/>
        <v>3.2138244104697531</v>
      </c>
      <c r="O1734">
        <v>5.2058796926701797E-4</v>
      </c>
      <c r="P1734">
        <f t="shared" si="217"/>
        <v>0.32381677322810093</v>
      </c>
      <c r="Q1734">
        <f t="shared" si="218"/>
        <v>98.548095772403954</v>
      </c>
      <c r="R1734">
        <f t="shared" si="219"/>
        <v>0.3238255414227269</v>
      </c>
      <c r="S1734">
        <f t="shared" si="220"/>
        <v>0.74610540567370975</v>
      </c>
      <c r="T1734">
        <f t="shared" si="221"/>
        <v>2.7322164893932259E-5</v>
      </c>
      <c r="U1734">
        <f t="shared" si="222"/>
        <v>7.390456033686617E-3</v>
      </c>
    </row>
    <row r="1735" spans="10:21" x14ac:dyDescent="0.35">
      <c r="J1735">
        <f t="shared" si="223"/>
        <v>1732</v>
      </c>
      <c r="K1735">
        <f>demanda!D1733</f>
        <v>0</v>
      </c>
      <c r="L1735">
        <f>demanda!I1733</f>
        <v>15</v>
      </c>
      <c r="M1735">
        <v>14.416809279416043</v>
      </c>
      <c r="N1735">
        <f t="shared" si="216"/>
        <v>0.58319072058395705</v>
      </c>
      <c r="O1735">
        <v>7.4087557083441532E-4</v>
      </c>
      <c r="P1735">
        <f t="shared" si="217"/>
        <v>5.8760813658909554E-2</v>
      </c>
      <c r="Q1735">
        <f t="shared" si="218"/>
        <v>98.553306243487526</v>
      </c>
      <c r="R1735">
        <f t="shared" si="219"/>
        <v>5.8767327956256402E-2</v>
      </c>
      <c r="S1735">
        <f t="shared" si="220"/>
        <v>0.95314355069247325</v>
      </c>
      <c r="T1735">
        <f t="shared" si="221"/>
        <v>1.2809572488725558E-6</v>
      </c>
      <c r="U1735">
        <f t="shared" si="222"/>
        <v>1.6001825154010173E-3</v>
      </c>
    </row>
    <row r="1736" spans="10:21" x14ac:dyDescent="0.35">
      <c r="J1736">
        <f t="shared" si="223"/>
        <v>1733</v>
      </c>
      <c r="K1736">
        <f>demanda!D1734</f>
        <v>0</v>
      </c>
      <c r="L1736">
        <f>demanda!I1734</f>
        <v>15</v>
      </c>
      <c r="M1736">
        <v>14.416809279416043</v>
      </c>
      <c r="N1736">
        <f t="shared" si="216"/>
        <v>0.58319072058395705</v>
      </c>
      <c r="O1736">
        <v>7.4087557083441532E-4</v>
      </c>
      <c r="P1736">
        <f t="shared" si="217"/>
        <v>5.8760813658909554E-2</v>
      </c>
      <c r="Q1736">
        <f t="shared" si="218"/>
        <v>98.553306243487526</v>
      </c>
      <c r="R1736">
        <f t="shared" si="219"/>
        <v>5.8767327956256402E-2</v>
      </c>
      <c r="S1736">
        <f t="shared" si="220"/>
        <v>0.95314355069247325</v>
      </c>
      <c r="T1736">
        <f t="shared" si="221"/>
        <v>1.2809572488725558E-6</v>
      </c>
      <c r="U1736">
        <f t="shared" si="222"/>
        <v>1.6001825154010173E-3</v>
      </c>
    </row>
    <row r="1737" spans="10:21" x14ac:dyDescent="0.35">
      <c r="J1737">
        <f t="shared" si="223"/>
        <v>1734</v>
      </c>
      <c r="K1737">
        <f>demanda!D1735</f>
        <v>0</v>
      </c>
      <c r="L1737">
        <f>demanda!I1735</f>
        <v>15</v>
      </c>
      <c r="M1737">
        <v>14.416809279416043</v>
      </c>
      <c r="N1737">
        <f t="shared" si="216"/>
        <v>0.58319072058395705</v>
      </c>
      <c r="O1737">
        <v>7.4087557083441532E-4</v>
      </c>
      <c r="P1737">
        <f t="shared" si="217"/>
        <v>5.8760813658909554E-2</v>
      </c>
      <c r="Q1737">
        <f t="shared" si="218"/>
        <v>98.553306243487526</v>
      </c>
      <c r="R1737">
        <f t="shared" si="219"/>
        <v>5.8767327956256402E-2</v>
      </c>
      <c r="S1737">
        <f t="shared" si="220"/>
        <v>0.95314355069247325</v>
      </c>
      <c r="T1737">
        <f t="shared" si="221"/>
        <v>1.2809572488725558E-6</v>
      </c>
      <c r="U1737">
        <f t="shared" si="222"/>
        <v>1.6001825154010173E-3</v>
      </c>
    </row>
    <row r="1738" spans="10:21" x14ac:dyDescent="0.35">
      <c r="J1738">
        <f t="shared" si="223"/>
        <v>1735</v>
      </c>
      <c r="K1738">
        <f>demanda!D1736</f>
        <v>0</v>
      </c>
      <c r="L1738">
        <f>demanda!I1736</f>
        <v>15</v>
      </c>
      <c r="M1738">
        <v>14.416809279416043</v>
      </c>
      <c r="N1738">
        <f t="shared" si="216"/>
        <v>0.58319072058395705</v>
      </c>
      <c r="O1738">
        <v>7.4087557083441532E-4</v>
      </c>
      <c r="P1738">
        <f t="shared" si="217"/>
        <v>5.8760813658909554E-2</v>
      </c>
      <c r="Q1738">
        <f t="shared" si="218"/>
        <v>98.553306243487526</v>
      </c>
      <c r="R1738">
        <f t="shared" si="219"/>
        <v>5.8767327956256402E-2</v>
      </c>
      <c r="S1738">
        <f t="shared" si="220"/>
        <v>0.95314355069247325</v>
      </c>
      <c r="T1738">
        <f t="shared" si="221"/>
        <v>1.2809572488725558E-6</v>
      </c>
      <c r="U1738">
        <f t="shared" si="222"/>
        <v>1.6001825154010173E-3</v>
      </c>
    </row>
    <row r="1739" spans="10:21" x14ac:dyDescent="0.35">
      <c r="J1739">
        <f t="shared" si="223"/>
        <v>1736</v>
      </c>
      <c r="K1739">
        <f>demanda!D1737</f>
        <v>0</v>
      </c>
      <c r="L1739">
        <f>demanda!I1737</f>
        <v>15</v>
      </c>
      <c r="M1739">
        <v>14.416809279416043</v>
      </c>
      <c r="N1739">
        <f t="shared" si="216"/>
        <v>0.58319072058395705</v>
      </c>
      <c r="O1739">
        <v>7.4087557083441532E-4</v>
      </c>
      <c r="P1739">
        <f t="shared" si="217"/>
        <v>5.8760813658909554E-2</v>
      </c>
      <c r="Q1739">
        <f t="shared" si="218"/>
        <v>98.553306243487526</v>
      </c>
      <c r="R1739">
        <f t="shared" si="219"/>
        <v>5.8767327956256402E-2</v>
      </c>
      <c r="S1739">
        <f t="shared" si="220"/>
        <v>0.95314355069247325</v>
      </c>
      <c r="T1739">
        <f t="shared" si="221"/>
        <v>1.2809572488725558E-6</v>
      </c>
      <c r="U1739">
        <f t="shared" si="222"/>
        <v>1.6001825154010173E-3</v>
      </c>
    </row>
    <row r="1740" spans="10:21" x14ac:dyDescent="0.35">
      <c r="J1740">
        <f t="shared" si="223"/>
        <v>1737</v>
      </c>
      <c r="K1740">
        <f>demanda!D1738</f>
        <v>0</v>
      </c>
      <c r="L1740">
        <f>demanda!I1738</f>
        <v>15</v>
      </c>
      <c r="M1740">
        <v>14.416809279416043</v>
      </c>
      <c r="N1740">
        <f t="shared" si="216"/>
        <v>0.58319072058395705</v>
      </c>
      <c r="O1740">
        <v>7.4087557083441532E-4</v>
      </c>
      <c r="P1740">
        <f t="shared" si="217"/>
        <v>5.8760813658909554E-2</v>
      </c>
      <c r="Q1740">
        <f t="shared" si="218"/>
        <v>98.553306243487526</v>
      </c>
      <c r="R1740">
        <f t="shared" si="219"/>
        <v>5.8767327956256402E-2</v>
      </c>
      <c r="S1740">
        <f t="shared" si="220"/>
        <v>0.95314355069247325</v>
      </c>
      <c r="T1740">
        <f t="shared" si="221"/>
        <v>1.2809572488725558E-6</v>
      </c>
      <c r="U1740">
        <f t="shared" si="222"/>
        <v>1.6001825154010173E-3</v>
      </c>
    </row>
    <row r="1741" spans="10:21" x14ac:dyDescent="0.35">
      <c r="J1741">
        <f t="shared" si="223"/>
        <v>1738</v>
      </c>
      <c r="K1741">
        <f>demanda!D1739</f>
        <v>0</v>
      </c>
      <c r="L1741">
        <f>demanda!I1739</f>
        <v>15</v>
      </c>
      <c r="M1741">
        <v>14.416809279416043</v>
      </c>
      <c r="N1741">
        <f t="shared" si="216"/>
        <v>0.58319072058395705</v>
      </c>
      <c r="O1741">
        <v>7.4087557083441532E-4</v>
      </c>
      <c r="P1741">
        <f t="shared" si="217"/>
        <v>5.8760813658909554E-2</v>
      </c>
      <c r="Q1741">
        <f t="shared" si="218"/>
        <v>98.553306243487526</v>
      </c>
      <c r="R1741">
        <f t="shared" si="219"/>
        <v>5.8767327956256402E-2</v>
      </c>
      <c r="S1741">
        <f t="shared" si="220"/>
        <v>0.95314355069247325</v>
      </c>
      <c r="T1741">
        <f t="shared" si="221"/>
        <v>1.2809572488725558E-6</v>
      </c>
      <c r="U1741">
        <f t="shared" si="222"/>
        <v>1.6001825154010173E-3</v>
      </c>
    </row>
    <row r="1742" spans="10:21" x14ac:dyDescent="0.35">
      <c r="J1742">
        <f t="shared" si="223"/>
        <v>1739</v>
      </c>
      <c r="K1742">
        <f>demanda!D1740</f>
        <v>0</v>
      </c>
      <c r="L1742">
        <f>demanda!I1740</f>
        <v>2</v>
      </c>
      <c r="M1742">
        <v>14.416809279416043</v>
      </c>
      <c r="N1742">
        <f t="shared" si="216"/>
        <v>-12.416809279416043</v>
      </c>
      <c r="O1742">
        <v>7.4087557083441532E-4</v>
      </c>
      <c r="P1742">
        <f t="shared" si="217"/>
        <v>-1.2510861208069368</v>
      </c>
      <c r="Q1742">
        <f t="shared" si="218"/>
        <v>98.473039768058015</v>
      </c>
      <c r="R1742">
        <f t="shared" si="219"/>
        <v>-1.2517346575747474</v>
      </c>
      <c r="S1742">
        <f t="shared" si="220"/>
        <v>0.21081911987933932</v>
      </c>
      <c r="T1742">
        <f t="shared" si="221"/>
        <v>5.8067542491350977E-4</v>
      </c>
      <c r="U1742">
        <f t="shared" si="222"/>
        <v>-3.4083630864815417E-2</v>
      </c>
    </row>
    <row r="1743" spans="10:21" x14ac:dyDescent="0.35">
      <c r="J1743">
        <f t="shared" si="223"/>
        <v>1740</v>
      </c>
      <c r="K1743">
        <f>demanda!D1741</f>
        <v>0</v>
      </c>
      <c r="L1743">
        <f>demanda!I1741</f>
        <v>4</v>
      </c>
      <c r="M1743">
        <v>14.416809279416043</v>
      </c>
      <c r="N1743">
        <f t="shared" si="216"/>
        <v>-10.416809279416043</v>
      </c>
      <c r="O1743">
        <v>7.4087557083441532E-4</v>
      </c>
      <c r="P1743">
        <f t="shared" si="217"/>
        <v>-1.0495712078121913</v>
      </c>
      <c r="Q1743">
        <f t="shared" si="218"/>
        <v>98.49686724248096</v>
      </c>
      <c r="R1743">
        <f t="shared" si="219"/>
        <v>-1.049988258586362</v>
      </c>
      <c r="S1743">
        <f t="shared" si="220"/>
        <v>0.29385572056513598</v>
      </c>
      <c r="T1743">
        <f t="shared" si="221"/>
        <v>4.0867949778204384E-4</v>
      </c>
      <c r="U1743">
        <f t="shared" si="222"/>
        <v>-2.8590254333443563E-2</v>
      </c>
    </row>
    <row r="1744" spans="10:21" x14ac:dyDescent="0.35">
      <c r="J1744">
        <f t="shared" si="223"/>
        <v>1741</v>
      </c>
      <c r="K1744">
        <f>demanda!D1742</f>
        <v>0</v>
      </c>
      <c r="L1744">
        <f>demanda!I1742</f>
        <v>11</v>
      </c>
      <c r="M1744">
        <v>14.416809279416043</v>
      </c>
      <c r="N1744">
        <f t="shared" si="216"/>
        <v>-3.416809279416043</v>
      </c>
      <c r="O1744">
        <v>7.4087557083441532E-4</v>
      </c>
      <c r="P1744">
        <f t="shared" si="217"/>
        <v>-0.34426901233058166</v>
      </c>
      <c r="Q1744">
        <f t="shared" si="218"/>
        <v>98.547392334261005</v>
      </c>
      <c r="R1744">
        <f t="shared" si="219"/>
        <v>-0.34431750934619676</v>
      </c>
      <c r="S1744">
        <f t="shared" si="220"/>
        <v>0.73064524437297085</v>
      </c>
      <c r="T1744">
        <f t="shared" si="221"/>
        <v>4.3969841615361785E-5</v>
      </c>
      <c r="U1744">
        <f t="shared" si="222"/>
        <v>-9.3754621379472432E-3</v>
      </c>
    </row>
    <row r="1745" spans="10:21" x14ac:dyDescent="0.35">
      <c r="J1745">
        <f t="shared" si="223"/>
        <v>1742</v>
      </c>
      <c r="K1745">
        <f>demanda!D1743</f>
        <v>1</v>
      </c>
      <c r="L1745">
        <f>demanda!I1743</f>
        <v>4</v>
      </c>
      <c r="M1745">
        <v>11.786175589530247</v>
      </c>
      <c r="N1745">
        <f t="shared" si="216"/>
        <v>-7.7861755895302469</v>
      </c>
      <c r="O1745">
        <v>5.2058796926701797E-4</v>
      </c>
      <c r="P1745">
        <f t="shared" si="217"/>
        <v>-0.7845152482429999</v>
      </c>
      <c r="Q1745">
        <f t="shared" si="218"/>
        <v>98.52185903620547</v>
      </c>
      <c r="R1745">
        <f t="shared" si="219"/>
        <v>-0.784640946599786</v>
      </c>
      <c r="S1745">
        <f t="shared" si="220"/>
        <v>0.43276096337473069</v>
      </c>
      <c r="T1745">
        <f t="shared" si="221"/>
        <v>1.6036855085321727E-4</v>
      </c>
      <c r="U1745">
        <f t="shared" si="222"/>
        <v>-1.7907341071981879E-2</v>
      </c>
    </row>
    <row r="1746" spans="10:21" x14ac:dyDescent="0.35">
      <c r="J1746">
        <f t="shared" si="223"/>
        <v>1743</v>
      </c>
      <c r="K1746">
        <f>demanda!D1744</f>
        <v>1</v>
      </c>
      <c r="L1746">
        <f>demanda!I1744</f>
        <v>4</v>
      </c>
      <c r="M1746">
        <v>11.786175589530247</v>
      </c>
      <c r="N1746">
        <f t="shared" si="216"/>
        <v>-7.7861755895302469</v>
      </c>
      <c r="O1746">
        <v>5.2058796926701797E-4</v>
      </c>
      <c r="P1746">
        <f t="shared" si="217"/>
        <v>-0.7845152482429999</v>
      </c>
      <c r="Q1746">
        <f t="shared" si="218"/>
        <v>98.52185903620547</v>
      </c>
      <c r="R1746">
        <f t="shared" si="219"/>
        <v>-0.784640946599786</v>
      </c>
      <c r="S1746">
        <f t="shared" si="220"/>
        <v>0.43276096337473069</v>
      </c>
      <c r="T1746">
        <f t="shared" si="221"/>
        <v>1.6036855085321727E-4</v>
      </c>
      <c r="U1746">
        <f t="shared" si="222"/>
        <v>-1.7907341071981879E-2</v>
      </c>
    </row>
    <row r="1747" spans="10:21" x14ac:dyDescent="0.35">
      <c r="J1747">
        <f t="shared" si="223"/>
        <v>1744</v>
      </c>
      <c r="K1747">
        <f>demanda!D1745</f>
        <v>1</v>
      </c>
      <c r="L1747">
        <f>demanda!I1745</f>
        <v>3</v>
      </c>
      <c r="M1747">
        <v>11.786175589530247</v>
      </c>
      <c r="N1747">
        <f t="shared" si="216"/>
        <v>-8.7861755895302469</v>
      </c>
      <c r="O1747">
        <v>5.2058796926701797E-4</v>
      </c>
      <c r="P1747">
        <f t="shared" si="217"/>
        <v>-0.88527270474037267</v>
      </c>
      <c r="Q1747">
        <f t="shared" si="218"/>
        <v>98.513214102399758</v>
      </c>
      <c r="R1747">
        <f t="shared" si="219"/>
        <v>-0.88545339538896362</v>
      </c>
      <c r="S1747">
        <f t="shared" si="220"/>
        <v>0.37602308055069167</v>
      </c>
      <c r="T1747">
        <f t="shared" si="221"/>
        <v>2.0420697614382047E-4</v>
      </c>
      <c r="U1747">
        <f t="shared" si="222"/>
        <v>-2.0208116875988336E-2</v>
      </c>
    </row>
    <row r="1748" spans="10:21" x14ac:dyDescent="0.35">
      <c r="J1748">
        <f t="shared" si="223"/>
        <v>1745</v>
      </c>
      <c r="K1748">
        <f>demanda!D1746</f>
        <v>0</v>
      </c>
      <c r="L1748">
        <f>demanda!I1746</f>
        <v>4</v>
      </c>
      <c r="M1748">
        <v>14.416809279416043</v>
      </c>
      <c r="N1748">
        <f t="shared" si="216"/>
        <v>-10.416809279416043</v>
      </c>
      <c r="O1748">
        <v>7.4087557083441532E-4</v>
      </c>
      <c r="P1748">
        <f t="shared" si="217"/>
        <v>-1.0495712078121913</v>
      </c>
      <c r="Q1748">
        <f t="shared" si="218"/>
        <v>98.49686724248096</v>
      </c>
      <c r="R1748">
        <f t="shared" si="219"/>
        <v>-1.049988258586362</v>
      </c>
      <c r="S1748">
        <f t="shared" si="220"/>
        <v>0.29385572056513598</v>
      </c>
      <c r="T1748">
        <f t="shared" si="221"/>
        <v>4.0867949778204384E-4</v>
      </c>
      <c r="U1748">
        <f t="shared" si="222"/>
        <v>-2.8590254333443563E-2</v>
      </c>
    </row>
    <row r="1749" spans="10:21" x14ac:dyDescent="0.35">
      <c r="J1749">
        <f t="shared" si="223"/>
        <v>1746</v>
      </c>
      <c r="K1749">
        <f>demanda!D1747</f>
        <v>0</v>
      </c>
      <c r="L1749">
        <f>demanda!I1747</f>
        <v>17</v>
      </c>
      <c r="M1749">
        <v>14.416809279416043</v>
      </c>
      <c r="N1749">
        <f t="shared" si="216"/>
        <v>2.583190720583957</v>
      </c>
      <c r="O1749">
        <v>7.4087557083441532E-4</v>
      </c>
      <c r="P1749">
        <f t="shared" si="217"/>
        <v>0.26027572665365517</v>
      </c>
      <c r="Q1749">
        <f t="shared" si="218"/>
        <v>98.550002042157871</v>
      </c>
      <c r="R1749">
        <f t="shared" si="219"/>
        <v>0.26030894487816103</v>
      </c>
      <c r="S1749">
        <f t="shared" si="220"/>
        <v>0.79465340036911658</v>
      </c>
      <c r="T1749">
        <f t="shared" si="221"/>
        <v>2.5131960550094309E-5</v>
      </c>
      <c r="U1749">
        <f t="shared" si="222"/>
        <v>7.0879830116927275E-3</v>
      </c>
    </row>
    <row r="1750" spans="10:21" x14ac:dyDescent="0.35">
      <c r="J1750">
        <f t="shared" si="223"/>
        <v>1747</v>
      </c>
      <c r="K1750">
        <f>demanda!D1748</f>
        <v>2</v>
      </c>
      <c r="L1750">
        <f>demanda!I1748</f>
        <v>5</v>
      </c>
      <c r="M1750">
        <v>9.1555418996444509</v>
      </c>
      <c r="N1750">
        <f t="shared" si="216"/>
        <v>-4.1555418996444509</v>
      </c>
      <c r="O1750">
        <v>7.3144910189317154E-4</v>
      </c>
      <c r="P1750">
        <f t="shared" si="217"/>
        <v>-0.4187018321764357</v>
      </c>
      <c r="Q1750">
        <f t="shared" si="218"/>
        <v>98.544473706891381</v>
      </c>
      <c r="R1750">
        <f t="shared" si="219"/>
        <v>-0.41876504056165376</v>
      </c>
      <c r="S1750">
        <f t="shared" si="220"/>
        <v>0.67543472022045181</v>
      </c>
      <c r="T1750">
        <f t="shared" si="221"/>
        <v>6.420951640425571E-5</v>
      </c>
      <c r="U1750">
        <f t="shared" si="222"/>
        <v>-1.1329777066218591E-2</v>
      </c>
    </row>
    <row r="1751" spans="10:21" x14ac:dyDescent="0.35">
      <c r="J1751">
        <f t="shared" si="223"/>
        <v>1748</v>
      </c>
      <c r="K1751">
        <f>demanda!D1749</f>
        <v>0</v>
      </c>
      <c r="L1751">
        <f>demanda!I1749</f>
        <v>10</v>
      </c>
      <c r="M1751">
        <v>14.416809279416043</v>
      </c>
      <c r="N1751">
        <f t="shared" si="216"/>
        <v>-4.416809279416043</v>
      </c>
      <c r="O1751">
        <v>7.4087557083441532E-4</v>
      </c>
      <c r="P1751">
        <f t="shared" si="217"/>
        <v>-0.44502646882795449</v>
      </c>
      <c r="Q1751">
        <f t="shared" si="218"/>
        <v>98.543305041978172</v>
      </c>
      <c r="R1751">
        <f t="shared" si="219"/>
        <v>-0.44509838991165818</v>
      </c>
      <c r="S1751">
        <f t="shared" si="220"/>
        <v>0.65629885256814913</v>
      </c>
      <c r="T1751">
        <f t="shared" si="221"/>
        <v>7.3473498325511761E-5</v>
      </c>
      <c r="U1751">
        <f t="shared" si="222"/>
        <v>-1.2119636640616644E-2</v>
      </c>
    </row>
    <row r="1752" spans="10:21" x14ac:dyDescent="0.35">
      <c r="J1752">
        <f t="shared" si="223"/>
        <v>1749</v>
      </c>
      <c r="K1752">
        <f>demanda!D1750</f>
        <v>0</v>
      </c>
      <c r="L1752">
        <f>demanda!I1750</f>
        <v>11</v>
      </c>
      <c r="M1752">
        <v>14.416809279416043</v>
      </c>
      <c r="N1752">
        <f t="shared" si="216"/>
        <v>-3.416809279416043</v>
      </c>
      <c r="O1752">
        <v>7.4087557083441532E-4</v>
      </c>
      <c r="P1752">
        <f t="shared" si="217"/>
        <v>-0.34426901233058166</v>
      </c>
      <c r="Q1752">
        <f t="shared" si="218"/>
        <v>98.547392334261005</v>
      </c>
      <c r="R1752">
        <f t="shared" si="219"/>
        <v>-0.34431750934619676</v>
      </c>
      <c r="S1752">
        <f t="shared" si="220"/>
        <v>0.73064524437297085</v>
      </c>
      <c r="T1752">
        <f t="shared" si="221"/>
        <v>4.3969841615361785E-5</v>
      </c>
      <c r="U1752">
        <f t="shared" si="222"/>
        <v>-9.3754621379472432E-3</v>
      </c>
    </row>
    <row r="1753" spans="10:21" x14ac:dyDescent="0.35">
      <c r="J1753">
        <f t="shared" si="223"/>
        <v>1750</v>
      </c>
      <c r="K1753">
        <f>demanda!D1751</f>
        <v>0</v>
      </c>
      <c r="L1753">
        <f>demanda!I1751</f>
        <v>26</v>
      </c>
      <c r="M1753">
        <v>14.416809279416043</v>
      </c>
      <c r="N1753">
        <f t="shared" si="216"/>
        <v>11.583190720583957</v>
      </c>
      <c r="O1753">
        <v>7.4087557083441532E-4</v>
      </c>
      <c r="P1753">
        <f t="shared" si="217"/>
        <v>1.1670928351300105</v>
      </c>
      <c r="Q1753">
        <f t="shared" si="218"/>
        <v>98.483478599645508</v>
      </c>
      <c r="R1753">
        <f t="shared" si="219"/>
        <v>1.1676359443906161</v>
      </c>
      <c r="S1753">
        <f t="shared" si="220"/>
        <v>0.24309869943124471</v>
      </c>
      <c r="T1753">
        <f t="shared" si="221"/>
        <v>5.0532390065243979E-4</v>
      </c>
      <c r="U1753">
        <f t="shared" si="222"/>
        <v>3.1793697068520609E-2</v>
      </c>
    </row>
    <row r="1754" spans="10:21" x14ac:dyDescent="0.35">
      <c r="J1754">
        <f t="shared" si="223"/>
        <v>1751</v>
      </c>
      <c r="K1754">
        <f>demanda!D1752</f>
        <v>0</v>
      </c>
      <c r="L1754">
        <f>demanda!I1752</f>
        <v>5</v>
      </c>
      <c r="M1754">
        <v>14.416809279416043</v>
      </c>
      <c r="N1754">
        <f t="shared" si="216"/>
        <v>-9.416809279416043</v>
      </c>
      <c r="O1754">
        <v>7.4087557083441532E-4</v>
      </c>
      <c r="P1754">
        <f t="shared" si="217"/>
        <v>-0.94881375131481849</v>
      </c>
      <c r="Q1754">
        <f t="shared" si="218"/>
        <v>98.507215690706701</v>
      </c>
      <c r="R1754">
        <f t="shared" si="219"/>
        <v>-0.94914090693055775</v>
      </c>
      <c r="S1754">
        <f t="shared" si="220"/>
        <v>0.34266846368408377</v>
      </c>
      <c r="T1754">
        <f t="shared" si="221"/>
        <v>3.339803955874275E-4</v>
      </c>
      <c r="U1754">
        <f t="shared" si="222"/>
        <v>-2.5844269881602652E-2</v>
      </c>
    </row>
    <row r="1755" spans="10:21" x14ac:dyDescent="0.35">
      <c r="J1755">
        <f t="shared" si="223"/>
        <v>1752</v>
      </c>
      <c r="K1755">
        <f>demanda!D1753</f>
        <v>1</v>
      </c>
      <c r="L1755">
        <f>demanda!I1753</f>
        <v>2</v>
      </c>
      <c r="M1755">
        <v>11.786175589530247</v>
      </c>
      <c r="N1755">
        <f t="shared" si="216"/>
        <v>-9.7861755895302469</v>
      </c>
      <c r="O1755">
        <v>5.2058796926701797E-4</v>
      </c>
      <c r="P1755">
        <f t="shared" si="217"/>
        <v>-0.98603016123774556</v>
      </c>
      <c r="Q1755">
        <f t="shared" si="218"/>
        <v>98.503525872599127</v>
      </c>
      <c r="R1755">
        <f t="shared" si="219"/>
        <v>-0.98627991600190701</v>
      </c>
      <c r="S1755">
        <f t="shared" si="220"/>
        <v>0.32412010689798754</v>
      </c>
      <c r="T1755">
        <f t="shared" si="221"/>
        <v>2.5333595131680776E-4</v>
      </c>
      <c r="U1755">
        <f t="shared" si="222"/>
        <v>-2.2509213831916283E-2</v>
      </c>
    </row>
    <row r="1756" spans="10:21" x14ac:dyDescent="0.35">
      <c r="J1756">
        <f t="shared" si="223"/>
        <v>1753</v>
      </c>
      <c r="K1756">
        <f>demanda!D1754</f>
        <v>0</v>
      </c>
      <c r="L1756">
        <f>demanda!I1754</f>
        <v>4</v>
      </c>
      <c r="M1756">
        <v>14.416809279416043</v>
      </c>
      <c r="N1756">
        <f t="shared" si="216"/>
        <v>-10.416809279416043</v>
      </c>
      <c r="O1756">
        <v>7.4087557083441532E-4</v>
      </c>
      <c r="P1756">
        <f t="shared" si="217"/>
        <v>-1.0495712078121913</v>
      </c>
      <c r="Q1756">
        <f t="shared" si="218"/>
        <v>98.49686724248096</v>
      </c>
      <c r="R1756">
        <f t="shared" si="219"/>
        <v>-1.049988258586362</v>
      </c>
      <c r="S1756">
        <f t="shared" si="220"/>
        <v>0.29385572056513598</v>
      </c>
      <c r="T1756">
        <f t="shared" si="221"/>
        <v>4.0867949778204384E-4</v>
      </c>
      <c r="U1756">
        <f t="shared" si="222"/>
        <v>-2.8590254333443563E-2</v>
      </c>
    </row>
    <row r="1757" spans="10:21" x14ac:dyDescent="0.35">
      <c r="J1757">
        <f t="shared" si="223"/>
        <v>1754</v>
      </c>
      <c r="K1757">
        <f>demanda!D1755</f>
        <v>1</v>
      </c>
      <c r="L1757">
        <f>demanda!I1755</f>
        <v>12</v>
      </c>
      <c r="M1757">
        <v>11.786175589530247</v>
      </c>
      <c r="N1757">
        <f t="shared" si="216"/>
        <v>0.21382441046975309</v>
      </c>
      <c r="O1757">
        <v>5.2058796926701797E-4</v>
      </c>
      <c r="P1757">
        <f t="shared" si="217"/>
        <v>2.1544403735982532E-2</v>
      </c>
      <c r="Q1757">
        <f t="shared" si="218"/>
        <v>98.55345985083423</v>
      </c>
      <c r="R1757">
        <f t="shared" si="219"/>
        <v>2.1544400773202785E-2</v>
      </c>
      <c r="S1757">
        <f t="shared" si="220"/>
        <v>0.98281362479024093</v>
      </c>
      <c r="T1757">
        <f t="shared" si="221"/>
        <v>1.2094429421903031E-7</v>
      </c>
      <c r="U1757">
        <f t="shared" si="222"/>
        <v>4.9169360139701592E-4</v>
      </c>
    </row>
    <row r="1758" spans="10:21" x14ac:dyDescent="0.35">
      <c r="J1758">
        <f t="shared" si="223"/>
        <v>1755</v>
      </c>
      <c r="K1758">
        <f>demanda!D1756</f>
        <v>0</v>
      </c>
      <c r="L1758">
        <f>demanda!I1756</f>
        <v>4</v>
      </c>
      <c r="M1758">
        <v>14.416809279416043</v>
      </c>
      <c r="N1758">
        <f t="shared" si="216"/>
        <v>-10.416809279416043</v>
      </c>
      <c r="O1758">
        <v>7.4087557083441532E-4</v>
      </c>
      <c r="P1758">
        <f t="shared" si="217"/>
        <v>-1.0495712078121913</v>
      </c>
      <c r="Q1758">
        <f t="shared" si="218"/>
        <v>98.49686724248096</v>
      </c>
      <c r="R1758">
        <f t="shared" si="219"/>
        <v>-1.049988258586362</v>
      </c>
      <c r="S1758">
        <f t="shared" si="220"/>
        <v>0.29385572056513598</v>
      </c>
      <c r="T1758">
        <f t="shared" si="221"/>
        <v>4.0867949778204384E-4</v>
      </c>
      <c r="U1758">
        <f t="shared" si="222"/>
        <v>-2.8590254333443563E-2</v>
      </c>
    </row>
    <row r="1759" spans="10:21" x14ac:dyDescent="0.35">
      <c r="J1759">
        <f t="shared" si="223"/>
        <v>1756</v>
      </c>
      <c r="K1759">
        <f>demanda!D1757</f>
        <v>1</v>
      </c>
      <c r="L1759">
        <f>demanda!I1757</f>
        <v>2</v>
      </c>
      <c r="M1759">
        <v>11.786175589530247</v>
      </c>
      <c r="N1759">
        <f t="shared" si="216"/>
        <v>-9.7861755895302469</v>
      </c>
      <c r="O1759">
        <v>5.2058796926701797E-4</v>
      </c>
      <c r="P1759">
        <f t="shared" si="217"/>
        <v>-0.98603016123774556</v>
      </c>
      <c r="Q1759">
        <f t="shared" si="218"/>
        <v>98.503525872599127</v>
      </c>
      <c r="R1759">
        <f t="shared" si="219"/>
        <v>-0.98627991600190701</v>
      </c>
      <c r="S1759">
        <f t="shared" si="220"/>
        <v>0.32412010689798754</v>
      </c>
      <c r="T1759">
        <f t="shared" si="221"/>
        <v>2.5333595131680776E-4</v>
      </c>
      <c r="U1759">
        <f t="shared" si="222"/>
        <v>-2.2509213831916283E-2</v>
      </c>
    </row>
    <row r="1760" spans="10:21" x14ac:dyDescent="0.35">
      <c r="J1760">
        <f t="shared" si="223"/>
        <v>1757</v>
      </c>
      <c r="K1760">
        <f>demanda!D1758</f>
        <v>0</v>
      </c>
      <c r="L1760">
        <f>demanda!I1758</f>
        <v>5</v>
      </c>
      <c r="M1760">
        <v>14.416809279416043</v>
      </c>
      <c r="N1760">
        <f t="shared" si="216"/>
        <v>-9.416809279416043</v>
      </c>
      <c r="O1760">
        <v>7.4087557083441532E-4</v>
      </c>
      <c r="P1760">
        <f t="shared" si="217"/>
        <v>-0.94881375131481849</v>
      </c>
      <c r="Q1760">
        <f t="shared" si="218"/>
        <v>98.507215690706701</v>
      </c>
      <c r="R1760">
        <f t="shared" si="219"/>
        <v>-0.94914090693055775</v>
      </c>
      <c r="S1760">
        <f t="shared" si="220"/>
        <v>0.34266846368408377</v>
      </c>
      <c r="T1760">
        <f t="shared" si="221"/>
        <v>3.339803955874275E-4</v>
      </c>
      <c r="U1760">
        <f t="shared" si="222"/>
        <v>-2.5844269881602652E-2</v>
      </c>
    </row>
    <row r="1761" spans="10:21" x14ac:dyDescent="0.35">
      <c r="J1761">
        <f t="shared" si="223"/>
        <v>1758</v>
      </c>
      <c r="K1761">
        <f>demanda!D1759</f>
        <v>2</v>
      </c>
      <c r="L1761">
        <f>demanda!I1759</f>
        <v>16</v>
      </c>
      <c r="M1761">
        <v>9.1555418996444509</v>
      </c>
      <c r="N1761">
        <f t="shared" si="216"/>
        <v>6.8444581003555491</v>
      </c>
      <c r="O1761">
        <v>7.3144910189317154E-4</v>
      </c>
      <c r="P1761">
        <f t="shared" si="217"/>
        <v>0.68963018929466513</v>
      </c>
      <c r="Q1761">
        <f t="shared" si="218"/>
        <v>98.529041105794946</v>
      </c>
      <c r="R1761">
        <f t="shared" si="219"/>
        <v>0.68978831219049463</v>
      </c>
      <c r="S1761">
        <f t="shared" si="220"/>
        <v>0.49041072397177898</v>
      </c>
      <c r="T1761">
        <f t="shared" si="221"/>
        <v>1.7418959375271301E-4</v>
      </c>
      <c r="U1761">
        <f t="shared" si="222"/>
        <v>1.8662369211908676E-2</v>
      </c>
    </row>
    <row r="1762" spans="10:21" x14ac:dyDescent="0.35">
      <c r="J1762">
        <f t="shared" si="223"/>
        <v>1759</v>
      </c>
      <c r="K1762">
        <f>demanda!D1760</f>
        <v>0</v>
      </c>
      <c r="L1762">
        <f>demanda!I1760</f>
        <v>4</v>
      </c>
      <c r="M1762">
        <v>14.416809279416043</v>
      </c>
      <c r="N1762">
        <f t="shared" si="216"/>
        <v>-10.416809279416043</v>
      </c>
      <c r="O1762">
        <v>7.4087557083441532E-4</v>
      </c>
      <c r="P1762">
        <f t="shared" si="217"/>
        <v>-1.0495712078121913</v>
      </c>
      <c r="Q1762">
        <f t="shared" si="218"/>
        <v>98.49686724248096</v>
      </c>
      <c r="R1762">
        <f t="shared" si="219"/>
        <v>-1.049988258586362</v>
      </c>
      <c r="S1762">
        <f t="shared" si="220"/>
        <v>0.29385572056513598</v>
      </c>
      <c r="T1762">
        <f t="shared" si="221"/>
        <v>4.0867949778204384E-4</v>
      </c>
      <c r="U1762">
        <f t="shared" si="222"/>
        <v>-2.8590254333443563E-2</v>
      </c>
    </row>
    <row r="1763" spans="10:21" x14ac:dyDescent="0.35">
      <c r="J1763">
        <f t="shared" si="223"/>
        <v>1760</v>
      </c>
      <c r="K1763">
        <f>demanda!D1761</f>
        <v>1</v>
      </c>
      <c r="L1763">
        <f>demanda!I1761</f>
        <v>12</v>
      </c>
      <c r="M1763">
        <v>11.786175589530247</v>
      </c>
      <c r="N1763">
        <f t="shared" si="216"/>
        <v>0.21382441046975309</v>
      </c>
      <c r="O1763">
        <v>5.2058796926701797E-4</v>
      </c>
      <c r="P1763">
        <f t="shared" si="217"/>
        <v>2.1544403735982532E-2</v>
      </c>
      <c r="Q1763">
        <f t="shared" si="218"/>
        <v>98.55345985083423</v>
      </c>
      <c r="R1763">
        <f t="shared" si="219"/>
        <v>2.1544400773202785E-2</v>
      </c>
      <c r="S1763">
        <f t="shared" si="220"/>
        <v>0.98281362479024093</v>
      </c>
      <c r="T1763">
        <f t="shared" si="221"/>
        <v>1.2094429421903031E-7</v>
      </c>
      <c r="U1763">
        <f t="shared" si="222"/>
        <v>4.9169360139701592E-4</v>
      </c>
    </row>
    <row r="1764" spans="10:21" x14ac:dyDescent="0.35">
      <c r="J1764">
        <f t="shared" si="223"/>
        <v>1761</v>
      </c>
      <c r="K1764">
        <f>demanda!D1762</f>
        <v>2</v>
      </c>
      <c r="L1764">
        <f>demanda!I1762</f>
        <v>13</v>
      </c>
      <c r="M1764">
        <v>9.1555418996444509</v>
      </c>
      <c r="N1764">
        <f t="shared" si="216"/>
        <v>3.8444581003555491</v>
      </c>
      <c r="O1764">
        <v>7.3144910189317154E-4</v>
      </c>
      <c r="P1764">
        <f t="shared" si="217"/>
        <v>0.38735781980254674</v>
      </c>
      <c r="Q1764">
        <f t="shared" si="218"/>
        <v>98.545772190761269</v>
      </c>
      <c r="R1764">
        <f t="shared" si="219"/>
        <v>0.3874137440140889</v>
      </c>
      <c r="S1764">
        <f t="shared" si="220"/>
        <v>0.69849289283451077</v>
      </c>
      <c r="T1764">
        <f t="shared" si="221"/>
        <v>5.4955900921259929E-5</v>
      </c>
      <c r="U1764">
        <f t="shared" si="222"/>
        <v>1.0481561082992258E-2</v>
      </c>
    </row>
    <row r="1765" spans="10:21" x14ac:dyDescent="0.35">
      <c r="J1765">
        <f t="shared" si="223"/>
        <v>1762</v>
      </c>
      <c r="K1765">
        <f>demanda!D1763</f>
        <v>1</v>
      </c>
      <c r="L1765">
        <f>demanda!I1763</f>
        <v>6</v>
      </c>
      <c r="M1765">
        <v>11.786175589530247</v>
      </c>
      <c r="N1765">
        <f t="shared" si="216"/>
        <v>-5.7861755895302469</v>
      </c>
      <c r="O1765">
        <v>5.2058796926701797E-4</v>
      </c>
      <c r="P1765">
        <f t="shared" si="217"/>
        <v>-0.58300033524825434</v>
      </c>
      <c r="Q1765">
        <f t="shared" si="218"/>
        <v>98.536019015832139</v>
      </c>
      <c r="R1765">
        <f t="shared" si="219"/>
        <v>-0.58305184819450462</v>
      </c>
      <c r="S1765">
        <f t="shared" si="220"/>
        <v>0.55992690572315473</v>
      </c>
      <c r="T1765">
        <f t="shared" si="221"/>
        <v>8.8563349919163143E-5</v>
      </c>
      <c r="U1765">
        <f t="shared" si="222"/>
        <v>-1.3306606484805191E-2</v>
      </c>
    </row>
    <row r="1766" spans="10:21" x14ac:dyDescent="0.35">
      <c r="J1766">
        <f t="shared" si="223"/>
        <v>1763</v>
      </c>
      <c r="K1766">
        <f>demanda!D1764</f>
        <v>0</v>
      </c>
      <c r="L1766">
        <f>demanda!I1764</f>
        <v>34</v>
      </c>
      <c r="M1766">
        <v>14.416809279416043</v>
      </c>
      <c r="N1766">
        <f t="shared" si="216"/>
        <v>19.583190720583957</v>
      </c>
      <c r="O1766">
        <v>7.4087557083441532E-4</v>
      </c>
      <c r="P1766">
        <f t="shared" si="217"/>
        <v>1.9731524871089929</v>
      </c>
      <c r="Q1766">
        <f t="shared" si="218"/>
        <v>98.353386883392687</v>
      </c>
      <c r="R1766">
        <f t="shared" si="219"/>
        <v>1.9753758151645147</v>
      </c>
      <c r="S1766">
        <f t="shared" si="220"/>
        <v>4.8368602165151535E-2</v>
      </c>
      <c r="T1766">
        <f t="shared" si="221"/>
        <v>1.4443762295673656E-3</v>
      </c>
      <c r="U1766">
        <f t="shared" si="222"/>
        <v>5.3787741432197791E-2</v>
      </c>
    </row>
    <row r="1767" spans="10:21" x14ac:dyDescent="0.35">
      <c r="J1767">
        <f t="shared" si="223"/>
        <v>1764</v>
      </c>
      <c r="K1767">
        <f>demanda!D1765</f>
        <v>2</v>
      </c>
      <c r="L1767">
        <f>demanda!I1765</f>
        <v>3</v>
      </c>
      <c r="M1767">
        <v>9.1555418996444509</v>
      </c>
      <c r="N1767">
        <f t="shared" si="216"/>
        <v>-6.1555418996444509</v>
      </c>
      <c r="O1767">
        <v>7.3144910189317154E-4</v>
      </c>
      <c r="P1767">
        <f t="shared" si="217"/>
        <v>-0.62021674517118131</v>
      </c>
      <c r="Q1767">
        <f t="shared" si="218"/>
        <v>98.533713924458709</v>
      </c>
      <c r="R1767">
        <f t="shared" si="219"/>
        <v>-0.62034424251421916</v>
      </c>
      <c r="S1767">
        <f t="shared" si="220"/>
        <v>0.53510483257501296</v>
      </c>
      <c r="T1767">
        <f t="shared" si="221"/>
        <v>1.4088885884323287E-4</v>
      </c>
      <c r="U1767">
        <f t="shared" si="222"/>
        <v>-1.6783545165498539E-2</v>
      </c>
    </row>
    <row r="1768" spans="10:21" x14ac:dyDescent="0.35">
      <c r="J1768">
        <f t="shared" si="223"/>
        <v>1765</v>
      </c>
      <c r="K1768">
        <f>demanda!D1766</f>
        <v>2</v>
      </c>
      <c r="L1768">
        <f>demanda!I1766</f>
        <v>2</v>
      </c>
      <c r="M1768">
        <v>9.1555418996444509</v>
      </c>
      <c r="N1768">
        <f t="shared" si="216"/>
        <v>-7.1555418996444509</v>
      </c>
      <c r="O1768">
        <v>7.3144910189317154E-4</v>
      </c>
      <c r="P1768">
        <f t="shared" si="217"/>
        <v>-0.72097420166855408</v>
      </c>
      <c r="Q1768">
        <f t="shared" si="218"/>
        <v>98.526768759022602</v>
      </c>
      <c r="R1768">
        <f t="shared" si="219"/>
        <v>-0.72114782718324122</v>
      </c>
      <c r="S1768">
        <f t="shared" si="220"/>
        <v>0.47090641241117204</v>
      </c>
      <c r="T1768">
        <f t="shared" si="221"/>
        <v>1.9038342084795563E-4</v>
      </c>
      <c r="U1768">
        <f t="shared" si="222"/>
        <v>-1.9510807546913981E-2</v>
      </c>
    </row>
    <row r="1769" spans="10:21" x14ac:dyDescent="0.35">
      <c r="J1769">
        <f t="shared" si="223"/>
        <v>1766</v>
      </c>
      <c r="K1769">
        <f>demanda!D1767</f>
        <v>4</v>
      </c>
      <c r="L1769">
        <f>demanda!I1767</f>
        <v>2</v>
      </c>
      <c r="M1769">
        <v>3.8942745198728588</v>
      </c>
      <c r="N1769">
        <f t="shared" si="216"/>
        <v>-1.8942745198728588</v>
      </c>
      <c r="O1769">
        <v>2.4466175697261316E-3</v>
      </c>
      <c r="P1769">
        <f t="shared" si="217"/>
        <v>-0.19086228253017132</v>
      </c>
      <c r="Q1769">
        <f t="shared" si="218"/>
        <v>98.551608270054842</v>
      </c>
      <c r="R1769">
        <f t="shared" si="219"/>
        <v>-0.19104821608300357</v>
      </c>
      <c r="S1769">
        <f t="shared" si="220"/>
        <v>0.84850802764464628</v>
      </c>
      <c r="T1769">
        <f t="shared" si="221"/>
        <v>4.4782056131641625E-5</v>
      </c>
      <c r="U1769">
        <f t="shared" si="222"/>
        <v>-9.4614556750527434E-3</v>
      </c>
    </row>
    <row r="1770" spans="10:21" x14ac:dyDescent="0.35">
      <c r="J1770">
        <f t="shared" si="223"/>
        <v>1767</v>
      </c>
      <c r="K1770">
        <f>demanda!D1768</f>
        <v>0</v>
      </c>
      <c r="L1770">
        <f>demanda!I1768</f>
        <v>3</v>
      </c>
      <c r="M1770">
        <v>14.416809279416043</v>
      </c>
      <c r="N1770">
        <f t="shared" si="216"/>
        <v>-11.416809279416043</v>
      </c>
      <c r="O1770">
        <v>7.4087557083441532E-4</v>
      </c>
      <c r="P1770">
        <f t="shared" si="217"/>
        <v>-1.150328664309564</v>
      </c>
      <c r="Q1770">
        <f t="shared" si="218"/>
        <v>98.485475268264722</v>
      </c>
      <c r="R1770">
        <f t="shared" si="219"/>
        <v>-1.1508523061099405</v>
      </c>
      <c r="S1770">
        <f t="shared" si="220"/>
        <v>0.24993638008158123</v>
      </c>
      <c r="T1770">
        <f t="shared" si="221"/>
        <v>4.9091117422407117E-4</v>
      </c>
      <c r="U1770">
        <f t="shared" si="222"/>
        <v>-3.1336693399040466E-2</v>
      </c>
    </row>
    <row r="1771" spans="10:21" x14ac:dyDescent="0.35">
      <c r="J1771">
        <f t="shared" si="223"/>
        <v>1768</v>
      </c>
      <c r="K1771">
        <f>demanda!D1769</f>
        <v>1</v>
      </c>
      <c r="L1771">
        <f>demanda!I1769</f>
        <v>13</v>
      </c>
      <c r="M1771">
        <v>11.786175589530247</v>
      </c>
      <c r="N1771">
        <f t="shared" si="216"/>
        <v>1.2138244104697531</v>
      </c>
      <c r="O1771">
        <v>5.2058796926701797E-4</v>
      </c>
      <c r="P1771">
        <f t="shared" si="217"/>
        <v>0.12230186023335533</v>
      </c>
      <c r="Q1771">
        <f t="shared" si="218"/>
        <v>98.552715120685733</v>
      </c>
      <c r="R1771">
        <f t="shared" si="219"/>
        <v>0.12230230551078146</v>
      </c>
      <c r="S1771">
        <f t="shared" si="220"/>
        <v>0.90267241210292171</v>
      </c>
      <c r="T1771">
        <f t="shared" si="221"/>
        <v>3.8974679450726784E-6</v>
      </c>
      <c r="U1771">
        <f t="shared" si="222"/>
        <v>2.7912245826094769E-3</v>
      </c>
    </row>
    <row r="1772" spans="10:21" x14ac:dyDescent="0.35">
      <c r="J1772">
        <f t="shared" si="223"/>
        <v>1769</v>
      </c>
      <c r="K1772">
        <f>demanda!D1770</f>
        <v>5</v>
      </c>
      <c r="L1772">
        <f>demanda!I1770</f>
        <v>2</v>
      </c>
      <c r="M1772">
        <v>1.2636408299870627</v>
      </c>
      <c r="N1772">
        <f t="shared" si="216"/>
        <v>0.73635917001293727</v>
      </c>
      <c r="O1772">
        <v>3.9509249049329382E-3</v>
      </c>
      <c r="P1772">
        <f t="shared" si="217"/>
        <v>7.4193677039020078E-2</v>
      </c>
      <c r="Q1772">
        <f t="shared" si="218"/>
        <v>98.553199876422468</v>
      </c>
      <c r="R1772">
        <f t="shared" si="219"/>
        <v>7.4321414457959423E-2</v>
      </c>
      <c r="S1772">
        <f t="shared" si="220"/>
        <v>0.94076238398569867</v>
      </c>
      <c r="T1772">
        <f t="shared" si="221"/>
        <v>1.0960770814463366E-5</v>
      </c>
      <c r="U1772">
        <f t="shared" si="222"/>
        <v>4.680831262592092E-3</v>
      </c>
    </row>
    <row r="1773" spans="10:21" x14ac:dyDescent="0.35">
      <c r="J1773">
        <f t="shared" si="223"/>
        <v>1770</v>
      </c>
      <c r="K1773">
        <f>demanda!D1771</f>
        <v>2</v>
      </c>
      <c r="L1773">
        <f>demanda!I1771</f>
        <v>2</v>
      </c>
      <c r="M1773">
        <v>9.1555418996444509</v>
      </c>
      <c r="N1773">
        <f t="shared" si="216"/>
        <v>-7.1555418996444509</v>
      </c>
      <c r="O1773">
        <v>7.3144910189317154E-4</v>
      </c>
      <c r="P1773">
        <f t="shared" si="217"/>
        <v>-0.72097420166855408</v>
      </c>
      <c r="Q1773">
        <f t="shared" si="218"/>
        <v>98.526768759022602</v>
      </c>
      <c r="R1773">
        <f t="shared" si="219"/>
        <v>-0.72114782718324122</v>
      </c>
      <c r="S1773">
        <f t="shared" si="220"/>
        <v>0.47090641241117204</v>
      </c>
      <c r="T1773">
        <f t="shared" si="221"/>
        <v>1.9038342084795563E-4</v>
      </c>
      <c r="U1773">
        <f t="shared" si="222"/>
        <v>-1.9510807546913981E-2</v>
      </c>
    </row>
    <row r="1774" spans="10:21" x14ac:dyDescent="0.35">
      <c r="J1774">
        <f t="shared" si="223"/>
        <v>1771</v>
      </c>
      <c r="K1774">
        <f>demanda!D1772</f>
        <v>0</v>
      </c>
      <c r="L1774">
        <f>demanda!I1772</f>
        <v>2</v>
      </c>
      <c r="M1774">
        <v>14.416809279416043</v>
      </c>
      <c r="N1774">
        <f t="shared" si="216"/>
        <v>-12.416809279416043</v>
      </c>
      <c r="O1774">
        <v>7.4087557083441532E-4</v>
      </c>
      <c r="P1774">
        <f t="shared" si="217"/>
        <v>-1.2510861208069368</v>
      </c>
      <c r="Q1774">
        <f t="shared" si="218"/>
        <v>98.473039768058015</v>
      </c>
      <c r="R1774">
        <f t="shared" si="219"/>
        <v>-1.2517346575747474</v>
      </c>
      <c r="S1774">
        <f t="shared" si="220"/>
        <v>0.21081911987933932</v>
      </c>
      <c r="T1774">
        <f t="shared" si="221"/>
        <v>5.8067542491350977E-4</v>
      </c>
      <c r="U1774">
        <f t="shared" si="222"/>
        <v>-3.4083630864815417E-2</v>
      </c>
    </row>
    <row r="1775" spans="10:21" x14ac:dyDescent="0.35">
      <c r="J1775">
        <f t="shared" si="223"/>
        <v>1772</v>
      </c>
      <c r="K1775">
        <f>demanda!D1773</f>
        <v>1</v>
      </c>
      <c r="L1775">
        <f>demanda!I1773</f>
        <v>11</v>
      </c>
      <c r="M1775">
        <v>11.786175589530247</v>
      </c>
      <c r="N1775">
        <f t="shared" si="216"/>
        <v>-0.78617558953024691</v>
      </c>
      <c r="O1775">
        <v>5.2058796926701797E-4</v>
      </c>
      <c r="P1775">
        <f t="shared" si="217"/>
        <v>-7.9213052761390276E-2</v>
      </c>
      <c r="Q1775">
        <f t="shared" si="218"/>
        <v>98.553161284987851</v>
      </c>
      <c r="R1775">
        <f t="shared" si="219"/>
        <v>-7.9213161855515926E-2</v>
      </c>
      <c r="S1775">
        <f t="shared" si="220"/>
        <v>0.93687133485398588</v>
      </c>
      <c r="T1775">
        <f t="shared" si="221"/>
        <v>1.6349705257494771E-6</v>
      </c>
      <c r="U1775">
        <f t="shared" si="222"/>
        <v>-1.8078295720913319E-3</v>
      </c>
    </row>
    <row r="1776" spans="10:21" x14ac:dyDescent="0.35">
      <c r="J1776">
        <f t="shared" si="223"/>
        <v>1773</v>
      </c>
      <c r="K1776">
        <f>demanda!D1774</f>
        <v>1</v>
      </c>
      <c r="L1776">
        <f>demanda!I1774</f>
        <v>7</v>
      </c>
      <c r="M1776">
        <v>11.786175589530247</v>
      </c>
      <c r="N1776">
        <f t="shared" si="216"/>
        <v>-4.7861755895302469</v>
      </c>
      <c r="O1776">
        <v>5.2058796926701797E-4</v>
      </c>
      <c r="P1776">
        <f t="shared" si="217"/>
        <v>-0.48224287875088151</v>
      </c>
      <c r="Q1776">
        <f t="shared" si="218"/>
        <v>98.54153406165311</v>
      </c>
      <c r="R1776">
        <f t="shared" si="219"/>
        <v>-0.48227199277900268</v>
      </c>
      <c r="S1776">
        <f t="shared" si="220"/>
        <v>0.62966774184084362</v>
      </c>
      <c r="T1776">
        <f t="shared" si="221"/>
        <v>6.0596574275712224E-5</v>
      </c>
      <c r="U1776">
        <f t="shared" si="222"/>
        <v>-1.10065745377968E-2</v>
      </c>
    </row>
    <row r="1777" spans="10:21" x14ac:dyDescent="0.35">
      <c r="J1777">
        <f t="shared" si="223"/>
        <v>1774</v>
      </c>
      <c r="K1777">
        <f>demanda!D1775</f>
        <v>1</v>
      </c>
      <c r="L1777">
        <f>demanda!I1775</f>
        <v>9</v>
      </c>
      <c r="M1777">
        <v>11.786175589530247</v>
      </c>
      <c r="N1777">
        <f t="shared" si="216"/>
        <v>-2.7861755895302469</v>
      </c>
      <c r="O1777">
        <v>5.2058796926701797E-4</v>
      </c>
      <c r="P1777">
        <f t="shared" si="217"/>
        <v>-0.2807279657561359</v>
      </c>
      <c r="Q1777">
        <f t="shared" si="218"/>
        <v>98.549434265310296</v>
      </c>
      <c r="R1777">
        <f t="shared" si="219"/>
        <v>-0.2807336607336009</v>
      </c>
      <c r="S1777">
        <f t="shared" si="220"/>
        <v>0.77894495126310248</v>
      </c>
      <c r="T1777">
        <f t="shared" si="221"/>
        <v>2.0534672635962656E-5</v>
      </c>
      <c r="U1777">
        <f t="shared" si="222"/>
        <v>-6.4069985576559628E-3</v>
      </c>
    </row>
    <row r="1778" spans="10:21" x14ac:dyDescent="0.35">
      <c r="J1778">
        <f t="shared" si="223"/>
        <v>1775</v>
      </c>
      <c r="K1778">
        <f>demanda!D1776</f>
        <v>2</v>
      </c>
      <c r="L1778">
        <f>demanda!I1776</f>
        <v>7</v>
      </c>
      <c r="M1778">
        <v>9.1555418996444509</v>
      </c>
      <c r="N1778">
        <f t="shared" si="216"/>
        <v>-2.1555418996444509</v>
      </c>
      <c r="O1778">
        <v>7.3144910189317154E-4</v>
      </c>
      <c r="P1778">
        <f t="shared" si="217"/>
        <v>-0.21718691918169009</v>
      </c>
      <c r="Q1778">
        <f t="shared" si="218"/>
        <v>98.551059424737957</v>
      </c>
      <c r="R1778">
        <f t="shared" si="219"/>
        <v>-0.21721244829655789</v>
      </c>
      <c r="S1778">
        <f t="shared" si="220"/>
        <v>0.82806587463373482</v>
      </c>
      <c r="T1778">
        <f t="shared" si="221"/>
        <v>1.7276549392569864E-5</v>
      </c>
      <c r="U1778">
        <f t="shared" si="222"/>
        <v>-5.8767288976817314E-3</v>
      </c>
    </row>
    <row r="1779" spans="10:21" x14ac:dyDescent="0.35">
      <c r="J1779">
        <f t="shared" si="223"/>
        <v>1776</v>
      </c>
      <c r="K1779">
        <f>demanda!D1777</f>
        <v>0</v>
      </c>
      <c r="L1779">
        <f>demanda!I1777</f>
        <v>19</v>
      </c>
      <c r="M1779">
        <v>14.416809279416043</v>
      </c>
      <c r="N1779">
        <f t="shared" si="216"/>
        <v>4.583190720583957</v>
      </c>
      <c r="O1779">
        <v>7.4087557083441532E-4</v>
      </c>
      <c r="P1779">
        <f t="shared" si="217"/>
        <v>0.46179063964840078</v>
      </c>
      <c r="Q1779">
        <f t="shared" si="218"/>
        <v>98.542523736866301</v>
      </c>
      <c r="R1779">
        <f t="shared" si="219"/>
        <v>0.46186710097403588</v>
      </c>
      <c r="S1779">
        <f t="shared" si="220"/>
        <v>0.64422898084639124</v>
      </c>
      <c r="T1779">
        <f t="shared" si="221"/>
        <v>7.9113260840960322E-5</v>
      </c>
      <c r="U1779">
        <f t="shared" si="222"/>
        <v>1.2576233855106329E-2</v>
      </c>
    </row>
    <row r="1780" spans="10:21" x14ac:dyDescent="0.35">
      <c r="J1780">
        <f t="shared" si="223"/>
        <v>1777</v>
      </c>
      <c r="K1780">
        <f>demanda!D1778</f>
        <v>0</v>
      </c>
      <c r="L1780">
        <f>demanda!I1778</f>
        <v>50</v>
      </c>
      <c r="M1780">
        <v>14.416809279416043</v>
      </c>
      <c r="N1780">
        <f t="shared" si="216"/>
        <v>35.583190720583957</v>
      </c>
      <c r="O1780">
        <v>7.4087557083441532E-4</v>
      </c>
      <c r="P1780">
        <f t="shared" si="217"/>
        <v>3.5852717910669578</v>
      </c>
      <c r="Q1780">
        <f t="shared" si="218"/>
        <v>97.892846460714068</v>
      </c>
      <c r="R1780">
        <f t="shared" si="219"/>
        <v>3.5977447547936694</v>
      </c>
      <c r="S1780">
        <f t="shared" si="220"/>
        <v>3.291179295952573E-4</v>
      </c>
      <c r="T1780">
        <f t="shared" si="221"/>
        <v>4.768735142900141E-3</v>
      </c>
      <c r="U1780">
        <f t="shared" si="222"/>
        <v>9.7963416947965079E-2</v>
      </c>
    </row>
    <row r="1781" spans="10:21" x14ac:dyDescent="0.35">
      <c r="J1781">
        <f t="shared" si="223"/>
        <v>1778</v>
      </c>
      <c r="K1781">
        <f>demanda!D1779</f>
        <v>2</v>
      </c>
      <c r="L1781">
        <f>demanda!I1779</f>
        <v>22</v>
      </c>
      <c r="M1781">
        <v>9.1555418996444509</v>
      </c>
      <c r="N1781">
        <f t="shared" si="216"/>
        <v>12.844458100355549</v>
      </c>
      <c r="O1781">
        <v>7.3144910189317154E-4</v>
      </c>
      <c r="P1781">
        <f t="shared" si="217"/>
        <v>1.2941749282789019</v>
      </c>
      <c r="Q1781">
        <f t="shared" si="218"/>
        <v>98.467403999906267</v>
      </c>
      <c r="R1781">
        <f t="shared" si="219"/>
        <v>1.2948767484405488</v>
      </c>
      <c r="S1781">
        <f t="shared" si="220"/>
        <v>0.19551852023939967</v>
      </c>
      <c r="T1781">
        <f t="shared" si="221"/>
        <v>6.134450135498352E-4</v>
      </c>
      <c r="U1781">
        <f t="shared" si="222"/>
        <v>3.5033165300486689E-2</v>
      </c>
    </row>
    <row r="1782" spans="10:21" x14ac:dyDescent="0.35">
      <c r="J1782">
        <f t="shared" si="223"/>
        <v>1779</v>
      </c>
      <c r="K1782">
        <f>demanda!D1780</f>
        <v>0</v>
      </c>
      <c r="L1782">
        <f>demanda!I1780</f>
        <v>20</v>
      </c>
      <c r="M1782">
        <v>14.416809279416043</v>
      </c>
      <c r="N1782">
        <f t="shared" si="216"/>
        <v>5.583190720583957</v>
      </c>
      <c r="O1782">
        <v>7.4087557083441532E-4</v>
      </c>
      <c r="P1782">
        <f t="shared" si="217"/>
        <v>0.56254809614577361</v>
      </c>
      <c r="Q1782">
        <f t="shared" si="218"/>
        <v>98.537219295234792</v>
      </c>
      <c r="R1782">
        <f t="shared" si="219"/>
        <v>0.56265638426953379</v>
      </c>
      <c r="S1782">
        <f t="shared" si="220"/>
        <v>0.57373461200688847</v>
      </c>
      <c r="T1782">
        <f t="shared" si="221"/>
        <v>1.1740277235750991E-4</v>
      </c>
      <c r="U1782">
        <f t="shared" si="222"/>
        <v>1.5320637156704552E-2</v>
      </c>
    </row>
    <row r="1783" spans="10:21" x14ac:dyDescent="0.35">
      <c r="J1783">
        <f t="shared" si="223"/>
        <v>1780</v>
      </c>
      <c r="K1783">
        <f>demanda!D1781</f>
        <v>0</v>
      </c>
      <c r="L1783">
        <f>demanda!I1781</f>
        <v>18</v>
      </c>
      <c r="M1783">
        <v>14.416809279416043</v>
      </c>
      <c r="N1783">
        <f t="shared" si="216"/>
        <v>3.583190720583957</v>
      </c>
      <c r="O1783">
        <v>7.4087557083441532E-4</v>
      </c>
      <c r="P1783">
        <f t="shared" si="217"/>
        <v>0.36103318315102795</v>
      </c>
      <c r="Q1783">
        <f t="shared" si="218"/>
        <v>98.546784652507341</v>
      </c>
      <c r="R1783">
        <f t="shared" si="219"/>
        <v>0.3610851550254302</v>
      </c>
      <c r="S1783">
        <f t="shared" si="220"/>
        <v>0.7180755365508017</v>
      </c>
      <c r="T1783">
        <f t="shared" si="221"/>
        <v>4.8356323571821784E-5</v>
      </c>
      <c r="U1783">
        <f t="shared" si="222"/>
        <v>9.8320303429934326E-3</v>
      </c>
    </row>
    <row r="1784" spans="10:21" x14ac:dyDescent="0.35">
      <c r="J1784">
        <f t="shared" si="223"/>
        <v>1781</v>
      </c>
      <c r="K1784">
        <f>demanda!D1782</f>
        <v>0</v>
      </c>
      <c r="L1784">
        <f>demanda!I1782</f>
        <v>70</v>
      </c>
      <c r="M1784">
        <v>14.416809279416043</v>
      </c>
      <c r="N1784">
        <f t="shared" si="216"/>
        <v>55.583190720583957</v>
      </c>
      <c r="O1784">
        <v>7.4087557083441532E-4</v>
      </c>
      <c r="P1784">
        <f t="shared" si="217"/>
        <v>5.6004209210144138</v>
      </c>
      <c r="Q1784">
        <f t="shared" si="218"/>
        <v>96.941501575791463</v>
      </c>
      <c r="R1784">
        <f t="shared" si="219"/>
        <v>5.6474128940519668</v>
      </c>
      <c r="S1784">
        <f t="shared" si="220"/>
        <v>1.8720748693810363E-8</v>
      </c>
      <c r="T1784">
        <f t="shared" si="221"/>
        <v>1.1635910513634093E-2</v>
      </c>
      <c r="U1784">
        <f t="shared" si="222"/>
        <v>0.1537740728494385</v>
      </c>
    </row>
    <row r="1785" spans="10:21" x14ac:dyDescent="0.35">
      <c r="J1785">
        <f t="shared" si="223"/>
        <v>1782</v>
      </c>
      <c r="K1785">
        <f>demanda!D1783</f>
        <v>0</v>
      </c>
      <c r="L1785">
        <f>demanda!I1783</f>
        <v>24</v>
      </c>
      <c r="M1785">
        <v>14.416809279416043</v>
      </c>
      <c r="N1785">
        <f t="shared" si="216"/>
        <v>9.583190720583957</v>
      </c>
      <c r="O1785">
        <v>7.4087557083441532E-4</v>
      </c>
      <c r="P1785">
        <f t="shared" si="217"/>
        <v>0.96557792213526483</v>
      </c>
      <c r="Q1785">
        <f t="shared" si="218"/>
        <v>98.505566268803875</v>
      </c>
      <c r="R1785">
        <f t="shared" si="219"/>
        <v>0.9659189449099983</v>
      </c>
      <c r="S1785">
        <f t="shared" si="220"/>
        <v>0.33420645107335933</v>
      </c>
      <c r="T1785">
        <f t="shared" si="221"/>
        <v>3.4588656089781892E-4</v>
      </c>
      <c r="U1785">
        <f t="shared" si="222"/>
        <v>2.6301121059818876E-2</v>
      </c>
    </row>
    <row r="1786" spans="10:21" x14ac:dyDescent="0.35">
      <c r="J1786">
        <f t="shared" si="223"/>
        <v>1783</v>
      </c>
      <c r="K1786">
        <f>demanda!D1784</f>
        <v>0</v>
      </c>
      <c r="L1786">
        <f>demanda!I1784</f>
        <v>16</v>
      </c>
      <c r="M1786">
        <v>14.416809279416043</v>
      </c>
      <c r="N1786">
        <f t="shared" si="216"/>
        <v>1.583190720583957</v>
      </c>
      <c r="O1786">
        <v>7.4087557083441532E-4</v>
      </c>
      <c r="P1786">
        <f t="shared" si="217"/>
        <v>0.15951827015628237</v>
      </c>
      <c r="Q1786">
        <f t="shared" si="218"/>
        <v>98.552175905817947</v>
      </c>
      <c r="R1786">
        <f t="shared" si="219"/>
        <v>0.1595368694422851</v>
      </c>
      <c r="S1786">
        <f t="shared" si="220"/>
        <v>0.87326270170878273</v>
      </c>
      <c r="T1786">
        <f t="shared" si="221"/>
        <v>9.440171775777902E-6</v>
      </c>
      <c r="U1786">
        <f t="shared" si="222"/>
        <v>4.3440482649370034E-3</v>
      </c>
    </row>
    <row r="1787" spans="10:21" x14ac:dyDescent="0.35">
      <c r="J1787">
        <f t="shared" si="223"/>
        <v>1784</v>
      </c>
      <c r="K1787">
        <f>demanda!D1785</f>
        <v>3</v>
      </c>
      <c r="L1787">
        <f>demanda!I1785</f>
        <v>5</v>
      </c>
      <c r="M1787">
        <v>6.5249082097586548</v>
      </c>
      <c r="N1787">
        <f t="shared" si="216"/>
        <v>-1.5249082097586548</v>
      </c>
      <c r="O1787">
        <v>1.3734589687128761E-3</v>
      </c>
      <c r="P1787">
        <f t="shared" si="217"/>
        <v>-0.1536458726072443</v>
      </c>
      <c r="Q1787">
        <f t="shared" si="218"/>
        <v>98.552269653485908</v>
      </c>
      <c r="R1787">
        <f t="shared" si="219"/>
        <v>-0.15371237580313085</v>
      </c>
      <c r="S1787">
        <f t="shared" si="220"/>
        <v>0.8778526883286133</v>
      </c>
      <c r="T1787">
        <f t="shared" si="221"/>
        <v>1.625628414965998E-5</v>
      </c>
      <c r="U1787">
        <f t="shared" si="222"/>
        <v>-5.7005285854497502E-3</v>
      </c>
    </row>
    <row r="1788" spans="10:21" x14ac:dyDescent="0.35">
      <c r="J1788">
        <f t="shared" si="223"/>
        <v>1785</v>
      </c>
      <c r="K1788">
        <f>demanda!D1786</f>
        <v>4</v>
      </c>
      <c r="L1788">
        <f>demanda!I1786</f>
        <v>3</v>
      </c>
      <c r="M1788">
        <v>3.8942745198728588</v>
      </c>
      <c r="N1788">
        <f t="shared" si="216"/>
        <v>-0.89427451987285878</v>
      </c>
      <c r="O1788">
        <v>2.4466175697261316E-3</v>
      </c>
      <c r="P1788">
        <f t="shared" si="217"/>
        <v>-9.0104826032798527E-2</v>
      </c>
      <c r="Q1788">
        <f t="shared" si="218"/>
        <v>98.553065719630368</v>
      </c>
      <c r="R1788">
        <f t="shared" si="219"/>
        <v>-9.0191937130002245E-2</v>
      </c>
      <c r="S1788">
        <f t="shared" si="220"/>
        <v>0.92814410376796586</v>
      </c>
      <c r="T1788">
        <f t="shared" si="221"/>
        <v>9.9806748742546123E-6</v>
      </c>
      <c r="U1788">
        <f t="shared" si="222"/>
        <v>-4.4666578568412878E-3</v>
      </c>
    </row>
    <row r="1789" spans="10:21" x14ac:dyDescent="0.35">
      <c r="J1789">
        <f t="shared" si="223"/>
        <v>1786</v>
      </c>
      <c r="K1789">
        <f>demanda!D1787</f>
        <v>0</v>
      </c>
      <c r="L1789">
        <f>demanda!I1787</f>
        <v>32</v>
      </c>
      <c r="M1789">
        <v>14.416809279416043</v>
      </c>
      <c r="N1789">
        <f t="shared" si="216"/>
        <v>17.583190720583957</v>
      </c>
      <c r="O1789">
        <v>7.4087557083441532E-4</v>
      </c>
      <c r="P1789">
        <f t="shared" si="217"/>
        <v>1.7716375741142472</v>
      </c>
      <c r="Q1789">
        <f t="shared" si="218"/>
        <v>98.392170968398787</v>
      </c>
      <c r="R1789">
        <f t="shared" si="219"/>
        <v>1.7732842385483347</v>
      </c>
      <c r="S1789">
        <f t="shared" si="220"/>
        <v>7.6340197833702841E-2</v>
      </c>
      <c r="T1789">
        <f t="shared" si="221"/>
        <v>1.1644177018541677E-3</v>
      </c>
      <c r="U1789">
        <f t="shared" si="222"/>
        <v>4.8284966018421152E-2</v>
      </c>
    </row>
    <row r="1790" spans="10:21" x14ac:dyDescent="0.35">
      <c r="J1790">
        <f t="shared" si="223"/>
        <v>1787</v>
      </c>
      <c r="K1790">
        <f>demanda!D1788</f>
        <v>2</v>
      </c>
      <c r="L1790">
        <f>demanda!I1788</f>
        <v>4</v>
      </c>
      <c r="M1790">
        <v>9.1555418996444509</v>
      </c>
      <c r="N1790">
        <f t="shared" si="216"/>
        <v>-5.1555418996444509</v>
      </c>
      <c r="O1790">
        <v>7.3144910189317154E-4</v>
      </c>
      <c r="P1790">
        <f t="shared" si="217"/>
        <v>-0.51945928867380853</v>
      </c>
      <c r="Q1790">
        <f t="shared" si="218"/>
        <v>98.539615573748293</v>
      </c>
      <c r="R1790">
        <f t="shared" si="219"/>
        <v>-0.51955051447259837</v>
      </c>
      <c r="S1790">
        <f t="shared" si="220"/>
        <v>0.60343681513546954</v>
      </c>
      <c r="T1790">
        <f t="shared" si="221"/>
        <v>9.8830890695332879E-5</v>
      </c>
      <c r="U1790">
        <f t="shared" si="222"/>
        <v>-1.4056549457229766E-2</v>
      </c>
    </row>
    <row r="1791" spans="10:21" x14ac:dyDescent="0.35">
      <c r="J1791">
        <f t="shared" si="223"/>
        <v>1788</v>
      </c>
      <c r="K1791">
        <f>demanda!D1789</f>
        <v>3</v>
      </c>
      <c r="L1791">
        <f>demanda!I1789</f>
        <v>3</v>
      </c>
      <c r="M1791">
        <v>6.5249082097586548</v>
      </c>
      <c r="N1791">
        <f t="shared" si="216"/>
        <v>-3.5249082097586548</v>
      </c>
      <c r="O1791">
        <v>1.3734589687128761E-3</v>
      </c>
      <c r="P1791">
        <f t="shared" si="217"/>
        <v>-0.35516078560198994</v>
      </c>
      <c r="Q1791">
        <f t="shared" si="218"/>
        <v>98.546996700749531</v>
      </c>
      <c r="R1791">
        <f t="shared" si="219"/>
        <v>-0.35532401713098288</v>
      </c>
      <c r="S1791">
        <f t="shared" si="220"/>
        <v>0.72238591463660118</v>
      </c>
      <c r="T1791">
        <f t="shared" si="221"/>
        <v>8.6861935283639592E-5</v>
      </c>
      <c r="U1791">
        <f t="shared" si="222"/>
        <v>-1.3177434192717408E-2</v>
      </c>
    </row>
    <row r="1792" spans="10:21" x14ac:dyDescent="0.35">
      <c r="J1792">
        <f t="shared" si="223"/>
        <v>1789</v>
      </c>
      <c r="K1792">
        <f>demanda!D1790</f>
        <v>0</v>
      </c>
      <c r="L1792">
        <f>demanda!I1790</f>
        <v>4</v>
      </c>
      <c r="M1792">
        <v>14.416809279416043</v>
      </c>
      <c r="N1792">
        <f t="shared" si="216"/>
        <v>-10.416809279416043</v>
      </c>
      <c r="O1792">
        <v>7.4087557083441532E-4</v>
      </c>
      <c r="P1792">
        <f t="shared" si="217"/>
        <v>-1.0495712078121913</v>
      </c>
      <c r="Q1792">
        <f t="shared" si="218"/>
        <v>98.49686724248096</v>
      </c>
      <c r="R1792">
        <f t="shared" si="219"/>
        <v>-1.049988258586362</v>
      </c>
      <c r="S1792">
        <f t="shared" si="220"/>
        <v>0.29385572056513598</v>
      </c>
      <c r="T1792">
        <f t="shared" si="221"/>
        <v>4.0867949778204384E-4</v>
      </c>
      <c r="U1792">
        <f t="shared" si="222"/>
        <v>-2.8590254333443563E-2</v>
      </c>
    </row>
    <row r="1793" spans="10:21" x14ac:dyDescent="0.35">
      <c r="J1793">
        <f t="shared" si="223"/>
        <v>1790</v>
      </c>
      <c r="K1793">
        <f>demanda!D1791</f>
        <v>0</v>
      </c>
      <c r="L1793">
        <f>demanda!I1791</f>
        <v>13</v>
      </c>
      <c r="M1793">
        <v>14.416809279416043</v>
      </c>
      <c r="N1793">
        <f t="shared" si="216"/>
        <v>-1.416809279416043</v>
      </c>
      <c r="O1793">
        <v>7.4087557083441532E-4</v>
      </c>
      <c r="P1793">
        <f t="shared" si="217"/>
        <v>-0.14275409933583605</v>
      </c>
      <c r="Q1793">
        <f t="shared" si="218"/>
        <v>98.552436340855238</v>
      </c>
      <c r="R1793">
        <f t="shared" si="219"/>
        <v>-0.14277055533334676</v>
      </c>
      <c r="S1793">
        <f t="shared" si="220"/>
        <v>0.88648638054980111</v>
      </c>
      <c r="T1793">
        <f t="shared" si="221"/>
        <v>7.5602509372950483E-6</v>
      </c>
      <c r="U1793">
        <f t="shared" si="222"/>
        <v>-3.8875163173756836E-3</v>
      </c>
    </row>
    <row r="1794" spans="10:21" x14ac:dyDescent="0.35">
      <c r="J1794">
        <f t="shared" si="223"/>
        <v>1791</v>
      </c>
      <c r="K1794">
        <f>demanda!D1792</f>
        <v>0</v>
      </c>
      <c r="L1794">
        <f>demanda!I1792</f>
        <v>3</v>
      </c>
      <c r="M1794">
        <v>14.416809279416043</v>
      </c>
      <c r="N1794">
        <f t="shared" si="216"/>
        <v>-11.416809279416043</v>
      </c>
      <c r="O1794">
        <v>7.4087557083441532E-4</v>
      </c>
      <c r="P1794">
        <f t="shared" si="217"/>
        <v>-1.150328664309564</v>
      </c>
      <c r="Q1794">
        <f t="shared" si="218"/>
        <v>98.485475268264722</v>
      </c>
      <c r="R1794">
        <f t="shared" si="219"/>
        <v>-1.1508523061099405</v>
      </c>
      <c r="S1794">
        <f t="shared" si="220"/>
        <v>0.24993638008158123</v>
      </c>
      <c r="T1794">
        <f t="shared" si="221"/>
        <v>4.9091117422407117E-4</v>
      </c>
      <c r="U1794">
        <f t="shared" si="222"/>
        <v>-3.1336693399040466E-2</v>
      </c>
    </row>
    <row r="1795" spans="10:21" x14ac:dyDescent="0.35">
      <c r="J1795">
        <f t="shared" si="223"/>
        <v>1792</v>
      </c>
      <c r="K1795">
        <f>demanda!D1793</f>
        <v>0</v>
      </c>
      <c r="L1795">
        <f>demanda!I1793</f>
        <v>11</v>
      </c>
      <c r="M1795">
        <v>14.416809279416043</v>
      </c>
      <c r="N1795">
        <f t="shared" si="216"/>
        <v>-3.416809279416043</v>
      </c>
      <c r="O1795">
        <v>7.4087557083441532E-4</v>
      </c>
      <c r="P1795">
        <f t="shared" si="217"/>
        <v>-0.34426901233058166</v>
      </c>
      <c r="Q1795">
        <f t="shared" si="218"/>
        <v>98.547392334261005</v>
      </c>
      <c r="R1795">
        <f t="shared" si="219"/>
        <v>-0.34431750934619676</v>
      </c>
      <c r="S1795">
        <f t="shared" si="220"/>
        <v>0.73064524437297085</v>
      </c>
      <c r="T1795">
        <f t="shared" si="221"/>
        <v>4.3969841615361785E-5</v>
      </c>
      <c r="U1795">
        <f t="shared" si="222"/>
        <v>-9.3754621379472432E-3</v>
      </c>
    </row>
    <row r="1796" spans="10:21" x14ac:dyDescent="0.35">
      <c r="J1796">
        <f t="shared" si="223"/>
        <v>1793</v>
      </c>
      <c r="K1796">
        <f>demanda!D1794</f>
        <v>0</v>
      </c>
      <c r="L1796">
        <f>demanda!I1794</f>
        <v>26</v>
      </c>
      <c r="M1796">
        <v>14.416809279416043</v>
      </c>
      <c r="N1796">
        <f t="shared" si="216"/>
        <v>11.583190720583957</v>
      </c>
      <c r="O1796">
        <v>7.4087557083441532E-4</v>
      </c>
      <c r="P1796">
        <f t="shared" si="217"/>
        <v>1.1670928351300105</v>
      </c>
      <c r="Q1796">
        <f t="shared" si="218"/>
        <v>98.483478599645508</v>
      </c>
      <c r="R1796">
        <f t="shared" si="219"/>
        <v>1.1676359443906161</v>
      </c>
      <c r="S1796">
        <f t="shared" si="220"/>
        <v>0.24309869943124471</v>
      </c>
      <c r="T1796">
        <f t="shared" si="221"/>
        <v>5.0532390065243979E-4</v>
      </c>
      <c r="U1796">
        <f t="shared" si="222"/>
        <v>3.1793697068520609E-2</v>
      </c>
    </row>
    <row r="1797" spans="10:21" x14ac:dyDescent="0.35">
      <c r="J1797">
        <f t="shared" si="223"/>
        <v>1794</v>
      </c>
      <c r="K1797">
        <f>demanda!D1795</f>
        <v>1</v>
      </c>
      <c r="L1797">
        <f>demanda!I1795</f>
        <v>19</v>
      </c>
      <c r="M1797">
        <v>11.786175589530247</v>
      </c>
      <c r="N1797">
        <f t="shared" ref="N1797:N1860" si="224">L1797-M1797</f>
        <v>7.2138244104697531</v>
      </c>
      <c r="O1797">
        <v>5.2058796926701797E-4</v>
      </c>
      <c r="P1797">
        <f t="shared" ref="P1797:P1860" si="225">N1797/SQRT($X$6)</f>
        <v>0.7268465992175922</v>
      </c>
      <c r="Q1797">
        <f t="shared" ref="Q1797:Q1860" si="226">($X$6-N1797^2/((1-O1797)*$X$5))*$X$5/($X$5-1)</f>
        <v>98.526337523901447</v>
      </c>
      <c r="R1797">
        <f t="shared" ref="R1797:R1860" si="227">N1797/SQRT(Q1797*(1-O1797))</f>
        <v>0.7269465355179825</v>
      </c>
      <c r="S1797">
        <f t="shared" ref="S1797:S1860" si="228">_xlfn.T.DIST.2T(ABS(R1797),$X$5)</f>
        <v>0.46734737556315276</v>
      </c>
      <c r="T1797">
        <f t="shared" ref="T1797:T1860" si="229">(N1797^2/$X$6)*(O1797/(1-O1797)^2)/($X$7+1)</f>
        <v>1.3765815738026057E-4</v>
      </c>
      <c r="U1797">
        <f t="shared" ref="U1797:U1860" si="230">R1797*SQRT(O1797/(1-O1797))</f>
        <v>1.6590619708323609E-2</v>
      </c>
    </row>
    <row r="1798" spans="10:21" x14ac:dyDescent="0.35">
      <c r="J1798">
        <f t="shared" ref="J1798:J1861" si="231">J1797+1</f>
        <v>1795</v>
      </c>
      <c r="K1798">
        <f>demanda!D1796</f>
        <v>0</v>
      </c>
      <c r="L1798">
        <f>demanda!I1796</f>
        <v>5</v>
      </c>
      <c r="M1798">
        <v>14.416809279416043</v>
      </c>
      <c r="N1798">
        <f t="shared" si="224"/>
        <v>-9.416809279416043</v>
      </c>
      <c r="O1798">
        <v>7.4087557083441532E-4</v>
      </c>
      <c r="P1798">
        <f t="shared" si="225"/>
        <v>-0.94881375131481849</v>
      </c>
      <c r="Q1798">
        <f t="shared" si="226"/>
        <v>98.507215690706701</v>
      </c>
      <c r="R1798">
        <f t="shared" si="227"/>
        <v>-0.94914090693055775</v>
      </c>
      <c r="S1798">
        <f t="shared" si="228"/>
        <v>0.34266846368408377</v>
      </c>
      <c r="T1798">
        <f t="shared" si="229"/>
        <v>3.339803955874275E-4</v>
      </c>
      <c r="U1798">
        <f t="shared" si="230"/>
        <v>-2.5844269881602652E-2</v>
      </c>
    </row>
    <row r="1799" spans="10:21" x14ac:dyDescent="0.35">
      <c r="J1799">
        <f t="shared" si="231"/>
        <v>1796</v>
      </c>
      <c r="K1799">
        <f>demanda!D1797</f>
        <v>2</v>
      </c>
      <c r="L1799">
        <f>demanda!I1797</f>
        <v>2</v>
      </c>
      <c r="M1799">
        <v>9.1555418996444509</v>
      </c>
      <c r="N1799">
        <f t="shared" si="224"/>
        <v>-7.1555418996444509</v>
      </c>
      <c r="O1799">
        <v>7.3144910189317154E-4</v>
      </c>
      <c r="P1799">
        <f t="shared" si="225"/>
        <v>-0.72097420166855408</v>
      </c>
      <c r="Q1799">
        <f t="shared" si="226"/>
        <v>98.526768759022602</v>
      </c>
      <c r="R1799">
        <f t="shared" si="227"/>
        <v>-0.72114782718324122</v>
      </c>
      <c r="S1799">
        <f t="shared" si="228"/>
        <v>0.47090641241117204</v>
      </c>
      <c r="T1799">
        <f t="shared" si="229"/>
        <v>1.9038342084795563E-4</v>
      </c>
      <c r="U1799">
        <f t="shared" si="230"/>
        <v>-1.9510807546913981E-2</v>
      </c>
    </row>
    <row r="1800" spans="10:21" x14ac:dyDescent="0.35">
      <c r="J1800">
        <f t="shared" si="231"/>
        <v>1797</v>
      </c>
      <c r="K1800">
        <f>demanda!D1798</f>
        <v>1</v>
      </c>
      <c r="L1800">
        <f>demanda!I1798</f>
        <v>3</v>
      </c>
      <c r="M1800">
        <v>11.786175589530247</v>
      </c>
      <c r="N1800">
        <f t="shared" si="224"/>
        <v>-8.7861755895302469</v>
      </c>
      <c r="O1800">
        <v>5.2058796926701797E-4</v>
      </c>
      <c r="P1800">
        <f t="shared" si="225"/>
        <v>-0.88527270474037267</v>
      </c>
      <c r="Q1800">
        <f t="shared" si="226"/>
        <v>98.513214102399758</v>
      </c>
      <c r="R1800">
        <f t="shared" si="227"/>
        <v>-0.88545339538896362</v>
      </c>
      <c r="S1800">
        <f t="shared" si="228"/>
        <v>0.37602308055069167</v>
      </c>
      <c r="T1800">
        <f t="shared" si="229"/>
        <v>2.0420697614382047E-4</v>
      </c>
      <c r="U1800">
        <f t="shared" si="230"/>
        <v>-2.0208116875988336E-2</v>
      </c>
    </row>
    <row r="1801" spans="10:21" x14ac:dyDescent="0.35">
      <c r="J1801">
        <f t="shared" si="231"/>
        <v>1798</v>
      </c>
      <c r="K1801">
        <f>demanda!D1799</f>
        <v>0</v>
      </c>
      <c r="L1801">
        <f>demanda!I1799</f>
        <v>13</v>
      </c>
      <c r="M1801">
        <v>14.416809279416043</v>
      </c>
      <c r="N1801">
        <f t="shared" si="224"/>
        <v>-1.416809279416043</v>
      </c>
      <c r="O1801">
        <v>7.4087557083441532E-4</v>
      </c>
      <c r="P1801">
        <f t="shared" si="225"/>
        <v>-0.14275409933583605</v>
      </c>
      <c r="Q1801">
        <f t="shared" si="226"/>
        <v>98.552436340855238</v>
      </c>
      <c r="R1801">
        <f t="shared" si="227"/>
        <v>-0.14277055533334676</v>
      </c>
      <c r="S1801">
        <f t="shared" si="228"/>
        <v>0.88648638054980111</v>
      </c>
      <c r="T1801">
        <f t="shared" si="229"/>
        <v>7.5602509372950483E-6</v>
      </c>
      <c r="U1801">
        <f t="shared" si="230"/>
        <v>-3.8875163173756836E-3</v>
      </c>
    </row>
    <row r="1802" spans="10:21" x14ac:dyDescent="0.35">
      <c r="J1802">
        <f t="shared" si="231"/>
        <v>1799</v>
      </c>
      <c r="K1802">
        <f>demanda!D1800</f>
        <v>3</v>
      </c>
      <c r="L1802">
        <f>demanda!I1800</f>
        <v>3</v>
      </c>
      <c r="M1802">
        <v>6.5249082097586548</v>
      </c>
      <c r="N1802">
        <f t="shared" si="224"/>
        <v>-3.5249082097586548</v>
      </c>
      <c r="O1802">
        <v>1.3734589687128761E-3</v>
      </c>
      <c r="P1802">
        <f t="shared" si="225"/>
        <v>-0.35516078560198994</v>
      </c>
      <c r="Q1802">
        <f t="shared" si="226"/>
        <v>98.546996700749531</v>
      </c>
      <c r="R1802">
        <f t="shared" si="227"/>
        <v>-0.35532401713098288</v>
      </c>
      <c r="S1802">
        <f t="shared" si="228"/>
        <v>0.72238591463660118</v>
      </c>
      <c r="T1802">
        <f t="shared" si="229"/>
        <v>8.6861935283639592E-5</v>
      </c>
      <c r="U1802">
        <f t="shared" si="230"/>
        <v>-1.3177434192717408E-2</v>
      </c>
    </row>
    <row r="1803" spans="10:21" x14ac:dyDescent="0.35">
      <c r="J1803">
        <f t="shared" si="231"/>
        <v>1800</v>
      </c>
      <c r="K1803">
        <f>demanda!D1801</f>
        <v>0</v>
      </c>
      <c r="L1803">
        <f>demanda!I1801</f>
        <v>4</v>
      </c>
      <c r="M1803">
        <v>14.416809279416043</v>
      </c>
      <c r="N1803">
        <f t="shared" si="224"/>
        <v>-10.416809279416043</v>
      </c>
      <c r="O1803">
        <v>7.4087557083441532E-4</v>
      </c>
      <c r="P1803">
        <f t="shared" si="225"/>
        <v>-1.0495712078121913</v>
      </c>
      <c r="Q1803">
        <f t="shared" si="226"/>
        <v>98.49686724248096</v>
      </c>
      <c r="R1803">
        <f t="shared" si="227"/>
        <v>-1.049988258586362</v>
      </c>
      <c r="S1803">
        <f t="shared" si="228"/>
        <v>0.29385572056513598</v>
      </c>
      <c r="T1803">
        <f t="shared" si="229"/>
        <v>4.0867949778204384E-4</v>
      </c>
      <c r="U1803">
        <f t="shared" si="230"/>
        <v>-2.8590254333443563E-2</v>
      </c>
    </row>
    <row r="1804" spans="10:21" x14ac:dyDescent="0.35">
      <c r="J1804">
        <f t="shared" si="231"/>
        <v>1801</v>
      </c>
      <c r="K1804">
        <f>demanda!D1802</f>
        <v>0</v>
      </c>
      <c r="L1804">
        <f>demanda!I1802</f>
        <v>12</v>
      </c>
      <c r="M1804">
        <v>14.416809279416043</v>
      </c>
      <c r="N1804">
        <f t="shared" si="224"/>
        <v>-2.416809279416043</v>
      </c>
      <c r="O1804">
        <v>7.4087557083441532E-4</v>
      </c>
      <c r="P1804">
        <f t="shared" si="225"/>
        <v>-0.24351155583320885</v>
      </c>
      <c r="Q1804">
        <f t="shared" si="226"/>
        <v>98.55043610055337</v>
      </c>
      <c r="R1804">
        <f t="shared" si="227"/>
        <v>-0.24354209816225414</v>
      </c>
      <c r="S1804">
        <f t="shared" si="228"/>
        <v>0.80761150818210881</v>
      </c>
      <c r="T1804">
        <f t="shared" si="229"/>
        <v>2.199875915262289E-5</v>
      </c>
      <c r="U1804">
        <f t="shared" si="230"/>
        <v>-6.6314365617133417E-3</v>
      </c>
    </row>
    <row r="1805" spans="10:21" x14ac:dyDescent="0.35">
      <c r="J1805">
        <f t="shared" si="231"/>
        <v>1802</v>
      </c>
      <c r="K1805">
        <f>demanda!D1803</f>
        <v>1</v>
      </c>
      <c r="L1805">
        <f>demanda!I1803</f>
        <v>4</v>
      </c>
      <c r="M1805">
        <v>11.786175589530247</v>
      </c>
      <c r="N1805">
        <f t="shared" si="224"/>
        <v>-7.7861755895302469</v>
      </c>
      <c r="O1805">
        <v>5.2058796926701797E-4</v>
      </c>
      <c r="P1805">
        <f t="shared" si="225"/>
        <v>-0.7845152482429999</v>
      </c>
      <c r="Q1805">
        <f t="shared" si="226"/>
        <v>98.52185903620547</v>
      </c>
      <c r="R1805">
        <f t="shared" si="227"/>
        <v>-0.784640946599786</v>
      </c>
      <c r="S1805">
        <f t="shared" si="228"/>
        <v>0.43276096337473069</v>
      </c>
      <c r="T1805">
        <f t="shared" si="229"/>
        <v>1.6036855085321727E-4</v>
      </c>
      <c r="U1805">
        <f t="shared" si="230"/>
        <v>-1.7907341071981879E-2</v>
      </c>
    </row>
    <row r="1806" spans="10:21" x14ac:dyDescent="0.35">
      <c r="J1806">
        <f t="shared" si="231"/>
        <v>1803</v>
      </c>
      <c r="K1806">
        <f>demanda!D1804</f>
        <v>6</v>
      </c>
      <c r="L1806">
        <f>demanda!I1804</f>
        <v>4</v>
      </c>
      <c r="M1806">
        <v>-1.3669928598987333</v>
      </c>
      <c r="N1806">
        <f t="shared" si="224"/>
        <v>5.3669928598987333</v>
      </c>
      <c r="O1806">
        <v>5.8863809743332956E-3</v>
      </c>
      <c r="P1806">
        <f t="shared" si="225"/>
        <v>0.54076454960295706</v>
      </c>
      <c r="Q1806">
        <f t="shared" si="226"/>
        <v>98.538376729581714</v>
      </c>
      <c r="R1806">
        <f t="shared" si="227"/>
        <v>0.54226341392126276</v>
      </c>
      <c r="S1806">
        <f t="shared" si="228"/>
        <v>0.58770001746334977</v>
      </c>
      <c r="T1806">
        <f t="shared" si="229"/>
        <v>8.7088889053064326E-4</v>
      </c>
      <c r="U1806">
        <f t="shared" si="230"/>
        <v>4.172693406104646E-2</v>
      </c>
    </row>
    <row r="1807" spans="10:21" x14ac:dyDescent="0.35">
      <c r="J1807">
        <f t="shared" si="231"/>
        <v>1804</v>
      </c>
      <c r="K1807">
        <f>demanda!D1805</f>
        <v>3</v>
      </c>
      <c r="L1807">
        <f>demanda!I1805</f>
        <v>9</v>
      </c>
      <c r="M1807">
        <v>6.5249082097586548</v>
      </c>
      <c r="N1807">
        <f t="shared" si="224"/>
        <v>2.4750917902413452</v>
      </c>
      <c r="O1807">
        <v>1.3734589687128761E-3</v>
      </c>
      <c r="P1807">
        <f t="shared" si="225"/>
        <v>0.24938395338224692</v>
      </c>
      <c r="Q1807">
        <f t="shared" si="226"/>
        <v>98.550285314771585</v>
      </c>
      <c r="R1807">
        <f t="shared" si="227"/>
        <v>0.24949440708179485</v>
      </c>
      <c r="S1807">
        <f t="shared" si="228"/>
        <v>0.80300506873249644</v>
      </c>
      <c r="T1807">
        <f t="shared" si="229"/>
        <v>4.2826885860052115E-5</v>
      </c>
      <c r="U1807">
        <f t="shared" si="230"/>
        <v>9.2526707238015336E-3</v>
      </c>
    </row>
    <row r="1808" spans="10:21" x14ac:dyDescent="0.35">
      <c r="J1808">
        <f t="shared" si="231"/>
        <v>1805</v>
      </c>
      <c r="K1808">
        <f>demanda!D1806</f>
        <v>0</v>
      </c>
      <c r="L1808">
        <f>demanda!I1806</f>
        <v>15</v>
      </c>
      <c r="M1808">
        <v>14.416809279416043</v>
      </c>
      <c r="N1808">
        <f t="shared" si="224"/>
        <v>0.58319072058395705</v>
      </c>
      <c r="O1808">
        <v>7.4087557083441532E-4</v>
      </c>
      <c r="P1808">
        <f t="shared" si="225"/>
        <v>5.8760813658909554E-2</v>
      </c>
      <c r="Q1808">
        <f t="shared" si="226"/>
        <v>98.553306243487526</v>
      </c>
      <c r="R1808">
        <f t="shared" si="227"/>
        <v>5.8767327956256402E-2</v>
      </c>
      <c r="S1808">
        <f t="shared" si="228"/>
        <v>0.95314355069247325</v>
      </c>
      <c r="T1808">
        <f t="shared" si="229"/>
        <v>1.2809572488725558E-6</v>
      </c>
      <c r="U1808">
        <f t="shared" si="230"/>
        <v>1.6001825154010173E-3</v>
      </c>
    </row>
    <row r="1809" spans="10:21" x14ac:dyDescent="0.35">
      <c r="J1809">
        <f t="shared" si="231"/>
        <v>1806</v>
      </c>
      <c r="K1809">
        <f>demanda!D1807</f>
        <v>0</v>
      </c>
      <c r="L1809">
        <f>demanda!I1807</f>
        <v>6</v>
      </c>
      <c r="M1809">
        <v>14.416809279416043</v>
      </c>
      <c r="N1809">
        <f t="shared" si="224"/>
        <v>-8.416809279416043</v>
      </c>
      <c r="O1809">
        <v>7.4087557083441532E-4</v>
      </c>
      <c r="P1809">
        <f t="shared" si="225"/>
        <v>-0.84805629481744571</v>
      </c>
      <c r="Q1809">
        <f t="shared" si="226"/>
        <v>98.51652061294196</v>
      </c>
      <c r="R1809">
        <f t="shared" si="227"/>
        <v>-0.8483086443975183</v>
      </c>
      <c r="S1809">
        <f t="shared" si="228"/>
        <v>0.39637190285902191</v>
      </c>
      <c r="T1809">
        <f t="shared" si="229"/>
        <v>2.6681386764022222E-4</v>
      </c>
      <c r="U1809">
        <f t="shared" si="230"/>
        <v>-2.3098696293268058E-2</v>
      </c>
    </row>
    <row r="1810" spans="10:21" x14ac:dyDescent="0.35">
      <c r="J1810">
        <f t="shared" si="231"/>
        <v>1807</v>
      </c>
      <c r="K1810">
        <f>demanda!D1808</f>
        <v>4</v>
      </c>
      <c r="L1810">
        <f>demanda!I1808</f>
        <v>4</v>
      </c>
      <c r="M1810">
        <v>3.8942745198728588</v>
      </c>
      <c r="N1810">
        <f t="shared" si="224"/>
        <v>0.10572548012714122</v>
      </c>
      <c r="O1810">
        <v>2.4466175697261316E-3</v>
      </c>
      <c r="P1810">
        <f t="shared" si="225"/>
        <v>1.0652630464574285E-2</v>
      </c>
      <c r="Q1810">
        <f t="shared" si="226"/>
        <v>98.553477858863673</v>
      </c>
      <c r="R1810">
        <f t="shared" si="227"/>
        <v>1.0662906866275572E-2</v>
      </c>
      <c r="S1810">
        <f t="shared" si="228"/>
        <v>0.99149350080457299</v>
      </c>
      <c r="T1810">
        <f t="shared" si="229"/>
        <v>1.3950106623021426E-7</v>
      </c>
      <c r="U1810">
        <f t="shared" si="230"/>
        <v>5.2806889669490694E-4</v>
      </c>
    </row>
    <row r="1811" spans="10:21" x14ac:dyDescent="0.35">
      <c r="J1811">
        <f t="shared" si="231"/>
        <v>1808</v>
      </c>
      <c r="K1811">
        <f>demanda!D1809</f>
        <v>0</v>
      </c>
      <c r="L1811">
        <f>demanda!I1809</f>
        <v>15</v>
      </c>
      <c r="M1811">
        <v>14.416809279416043</v>
      </c>
      <c r="N1811">
        <f t="shared" si="224"/>
        <v>0.58319072058395705</v>
      </c>
      <c r="O1811">
        <v>7.4087557083441532E-4</v>
      </c>
      <c r="P1811">
        <f t="shared" si="225"/>
        <v>5.8760813658909554E-2</v>
      </c>
      <c r="Q1811">
        <f t="shared" si="226"/>
        <v>98.553306243487526</v>
      </c>
      <c r="R1811">
        <f t="shared" si="227"/>
        <v>5.8767327956256402E-2</v>
      </c>
      <c r="S1811">
        <f t="shared" si="228"/>
        <v>0.95314355069247325</v>
      </c>
      <c r="T1811">
        <f t="shared" si="229"/>
        <v>1.2809572488725558E-6</v>
      </c>
      <c r="U1811">
        <f t="shared" si="230"/>
        <v>1.6001825154010173E-3</v>
      </c>
    </row>
    <row r="1812" spans="10:21" x14ac:dyDescent="0.35">
      <c r="J1812">
        <f t="shared" si="231"/>
        <v>1809</v>
      </c>
      <c r="K1812">
        <f>demanda!D1810</f>
        <v>0</v>
      </c>
      <c r="L1812">
        <f>demanda!I1810</f>
        <v>15</v>
      </c>
      <c r="M1812">
        <v>14.416809279416043</v>
      </c>
      <c r="N1812">
        <f t="shared" si="224"/>
        <v>0.58319072058395705</v>
      </c>
      <c r="O1812">
        <v>7.4087557083441532E-4</v>
      </c>
      <c r="P1812">
        <f t="shared" si="225"/>
        <v>5.8760813658909554E-2</v>
      </c>
      <c r="Q1812">
        <f t="shared" si="226"/>
        <v>98.553306243487526</v>
      </c>
      <c r="R1812">
        <f t="shared" si="227"/>
        <v>5.8767327956256402E-2</v>
      </c>
      <c r="S1812">
        <f t="shared" si="228"/>
        <v>0.95314355069247325</v>
      </c>
      <c r="T1812">
        <f t="shared" si="229"/>
        <v>1.2809572488725558E-6</v>
      </c>
      <c r="U1812">
        <f t="shared" si="230"/>
        <v>1.6001825154010173E-3</v>
      </c>
    </row>
    <row r="1813" spans="10:21" x14ac:dyDescent="0.35">
      <c r="J1813">
        <f t="shared" si="231"/>
        <v>1810</v>
      </c>
      <c r="K1813">
        <f>demanda!D1811</f>
        <v>0</v>
      </c>
      <c r="L1813">
        <f>demanda!I1811</f>
        <v>15</v>
      </c>
      <c r="M1813">
        <v>14.416809279416043</v>
      </c>
      <c r="N1813">
        <f t="shared" si="224"/>
        <v>0.58319072058395705</v>
      </c>
      <c r="O1813">
        <v>7.4087557083441532E-4</v>
      </c>
      <c r="P1813">
        <f t="shared" si="225"/>
        <v>5.8760813658909554E-2</v>
      </c>
      <c r="Q1813">
        <f t="shared" si="226"/>
        <v>98.553306243487526</v>
      </c>
      <c r="R1813">
        <f t="shared" si="227"/>
        <v>5.8767327956256402E-2</v>
      </c>
      <c r="S1813">
        <f t="shared" si="228"/>
        <v>0.95314355069247325</v>
      </c>
      <c r="T1813">
        <f t="shared" si="229"/>
        <v>1.2809572488725558E-6</v>
      </c>
      <c r="U1813">
        <f t="shared" si="230"/>
        <v>1.6001825154010173E-3</v>
      </c>
    </row>
    <row r="1814" spans="10:21" x14ac:dyDescent="0.35">
      <c r="J1814">
        <f t="shared" si="231"/>
        <v>1811</v>
      </c>
      <c r="K1814">
        <f>demanda!D1812</f>
        <v>0</v>
      </c>
      <c r="L1814">
        <f>demanda!I1812</f>
        <v>15</v>
      </c>
      <c r="M1814">
        <v>14.416809279416043</v>
      </c>
      <c r="N1814">
        <f t="shared" si="224"/>
        <v>0.58319072058395705</v>
      </c>
      <c r="O1814">
        <v>7.4087557083441532E-4</v>
      </c>
      <c r="P1814">
        <f t="shared" si="225"/>
        <v>5.8760813658909554E-2</v>
      </c>
      <c r="Q1814">
        <f t="shared" si="226"/>
        <v>98.553306243487526</v>
      </c>
      <c r="R1814">
        <f t="shared" si="227"/>
        <v>5.8767327956256402E-2</v>
      </c>
      <c r="S1814">
        <f t="shared" si="228"/>
        <v>0.95314355069247325</v>
      </c>
      <c r="T1814">
        <f t="shared" si="229"/>
        <v>1.2809572488725558E-6</v>
      </c>
      <c r="U1814">
        <f t="shared" si="230"/>
        <v>1.6001825154010173E-3</v>
      </c>
    </row>
    <row r="1815" spans="10:21" x14ac:dyDescent="0.35">
      <c r="J1815">
        <f t="shared" si="231"/>
        <v>1812</v>
      </c>
      <c r="K1815">
        <f>demanda!D1813</f>
        <v>0</v>
      </c>
      <c r="L1815">
        <f>demanda!I1813</f>
        <v>10</v>
      </c>
      <c r="M1815">
        <v>14.416809279416043</v>
      </c>
      <c r="N1815">
        <f t="shared" si="224"/>
        <v>-4.416809279416043</v>
      </c>
      <c r="O1815">
        <v>7.4087557083441532E-4</v>
      </c>
      <c r="P1815">
        <f t="shared" si="225"/>
        <v>-0.44502646882795449</v>
      </c>
      <c r="Q1815">
        <f t="shared" si="226"/>
        <v>98.543305041978172</v>
      </c>
      <c r="R1815">
        <f t="shared" si="227"/>
        <v>-0.44509838991165818</v>
      </c>
      <c r="S1815">
        <f t="shared" si="228"/>
        <v>0.65629885256814913</v>
      </c>
      <c r="T1815">
        <f t="shared" si="229"/>
        <v>7.3473498325511761E-5</v>
      </c>
      <c r="U1815">
        <f t="shared" si="230"/>
        <v>-1.2119636640616644E-2</v>
      </c>
    </row>
    <row r="1816" spans="10:21" x14ac:dyDescent="0.35">
      <c r="J1816">
        <f t="shared" si="231"/>
        <v>1813</v>
      </c>
      <c r="K1816">
        <f>demanda!D1814</f>
        <v>0</v>
      </c>
      <c r="L1816">
        <f>demanda!I1814</f>
        <v>15</v>
      </c>
      <c r="M1816">
        <v>14.416809279416043</v>
      </c>
      <c r="N1816">
        <f t="shared" si="224"/>
        <v>0.58319072058395705</v>
      </c>
      <c r="O1816">
        <v>7.4087557083441532E-4</v>
      </c>
      <c r="P1816">
        <f t="shared" si="225"/>
        <v>5.8760813658909554E-2</v>
      </c>
      <c r="Q1816">
        <f t="shared" si="226"/>
        <v>98.553306243487526</v>
      </c>
      <c r="R1816">
        <f t="shared" si="227"/>
        <v>5.8767327956256402E-2</v>
      </c>
      <c r="S1816">
        <f t="shared" si="228"/>
        <v>0.95314355069247325</v>
      </c>
      <c r="T1816">
        <f t="shared" si="229"/>
        <v>1.2809572488725558E-6</v>
      </c>
      <c r="U1816">
        <f t="shared" si="230"/>
        <v>1.6001825154010173E-3</v>
      </c>
    </row>
    <row r="1817" spans="10:21" x14ac:dyDescent="0.35">
      <c r="J1817">
        <f t="shared" si="231"/>
        <v>1814</v>
      </c>
      <c r="K1817">
        <f>demanda!D1815</f>
        <v>0</v>
      </c>
      <c r="L1817">
        <f>demanda!I1815</f>
        <v>15</v>
      </c>
      <c r="M1817">
        <v>14.416809279416043</v>
      </c>
      <c r="N1817">
        <f t="shared" si="224"/>
        <v>0.58319072058395705</v>
      </c>
      <c r="O1817">
        <v>7.4087557083441532E-4</v>
      </c>
      <c r="P1817">
        <f t="shared" si="225"/>
        <v>5.8760813658909554E-2</v>
      </c>
      <c r="Q1817">
        <f t="shared" si="226"/>
        <v>98.553306243487526</v>
      </c>
      <c r="R1817">
        <f t="shared" si="227"/>
        <v>5.8767327956256402E-2</v>
      </c>
      <c r="S1817">
        <f t="shared" si="228"/>
        <v>0.95314355069247325</v>
      </c>
      <c r="T1817">
        <f t="shared" si="229"/>
        <v>1.2809572488725558E-6</v>
      </c>
      <c r="U1817">
        <f t="shared" si="230"/>
        <v>1.6001825154010173E-3</v>
      </c>
    </row>
    <row r="1818" spans="10:21" x14ac:dyDescent="0.35">
      <c r="J1818">
        <f t="shared" si="231"/>
        <v>1815</v>
      </c>
      <c r="K1818">
        <f>demanda!D1816</f>
        <v>0</v>
      </c>
      <c r="L1818">
        <f>demanda!I1816</f>
        <v>15</v>
      </c>
      <c r="M1818">
        <v>14.416809279416043</v>
      </c>
      <c r="N1818">
        <f t="shared" si="224"/>
        <v>0.58319072058395705</v>
      </c>
      <c r="O1818">
        <v>7.4087557083441532E-4</v>
      </c>
      <c r="P1818">
        <f t="shared" si="225"/>
        <v>5.8760813658909554E-2</v>
      </c>
      <c r="Q1818">
        <f t="shared" si="226"/>
        <v>98.553306243487526</v>
      </c>
      <c r="R1818">
        <f t="shared" si="227"/>
        <v>5.8767327956256402E-2</v>
      </c>
      <c r="S1818">
        <f t="shared" si="228"/>
        <v>0.95314355069247325</v>
      </c>
      <c r="T1818">
        <f t="shared" si="229"/>
        <v>1.2809572488725558E-6</v>
      </c>
      <c r="U1818">
        <f t="shared" si="230"/>
        <v>1.6001825154010173E-3</v>
      </c>
    </row>
    <row r="1819" spans="10:21" x14ac:dyDescent="0.35">
      <c r="J1819">
        <f t="shared" si="231"/>
        <v>1816</v>
      </c>
      <c r="K1819">
        <f>demanda!D1817</f>
        <v>0</v>
      </c>
      <c r="L1819">
        <f>demanda!I1817</f>
        <v>15</v>
      </c>
      <c r="M1819">
        <v>14.416809279416043</v>
      </c>
      <c r="N1819">
        <f t="shared" si="224"/>
        <v>0.58319072058395705</v>
      </c>
      <c r="O1819">
        <v>7.4087557083441532E-4</v>
      </c>
      <c r="P1819">
        <f t="shared" si="225"/>
        <v>5.8760813658909554E-2</v>
      </c>
      <c r="Q1819">
        <f t="shared" si="226"/>
        <v>98.553306243487526</v>
      </c>
      <c r="R1819">
        <f t="shared" si="227"/>
        <v>5.8767327956256402E-2</v>
      </c>
      <c r="S1819">
        <f t="shared" si="228"/>
        <v>0.95314355069247325</v>
      </c>
      <c r="T1819">
        <f t="shared" si="229"/>
        <v>1.2809572488725558E-6</v>
      </c>
      <c r="U1819">
        <f t="shared" si="230"/>
        <v>1.6001825154010173E-3</v>
      </c>
    </row>
    <row r="1820" spans="10:21" x14ac:dyDescent="0.35">
      <c r="J1820">
        <f t="shared" si="231"/>
        <v>1817</v>
      </c>
      <c r="K1820">
        <f>demanda!D1818</f>
        <v>0</v>
      </c>
      <c r="L1820">
        <f>demanda!I1818</f>
        <v>15</v>
      </c>
      <c r="M1820">
        <v>14.416809279416043</v>
      </c>
      <c r="N1820">
        <f t="shared" si="224"/>
        <v>0.58319072058395705</v>
      </c>
      <c r="O1820">
        <v>7.4087557083441532E-4</v>
      </c>
      <c r="P1820">
        <f t="shared" si="225"/>
        <v>5.8760813658909554E-2</v>
      </c>
      <c r="Q1820">
        <f t="shared" si="226"/>
        <v>98.553306243487526</v>
      </c>
      <c r="R1820">
        <f t="shared" si="227"/>
        <v>5.8767327956256402E-2</v>
      </c>
      <c r="S1820">
        <f t="shared" si="228"/>
        <v>0.95314355069247325</v>
      </c>
      <c r="T1820">
        <f t="shared" si="229"/>
        <v>1.2809572488725558E-6</v>
      </c>
      <c r="U1820">
        <f t="shared" si="230"/>
        <v>1.6001825154010173E-3</v>
      </c>
    </row>
    <row r="1821" spans="10:21" x14ac:dyDescent="0.35">
      <c r="J1821">
        <f t="shared" si="231"/>
        <v>1818</v>
      </c>
      <c r="K1821">
        <f>demanda!D1819</f>
        <v>0</v>
      </c>
      <c r="L1821">
        <f>demanda!I1819</f>
        <v>15</v>
      </c>
      <c r="M1821">
        <v>14.416809279416043</v>
      </c>
      <c r="N1821">
        <f t="shared" si="224"/>
        <v>0.58319072058395705</v>
      </c>
      <c r="O1821">
        <v>7.4087557083441532E-4</v>
      </c>
      <c r="P1821">
        <f t="shared" si="225"/>
        <v>5.8760813658909554E-2</v>
      </c>
      <c r="Q1821">
        <f t="shared" si="226"/>
        <v>98.553306243487526</v>
      </c>
      <c r="R1821">
        <f t="shared" si="227"/>
        <v>5.8767327956256402E-2</v>
      </c>
      <c r="S1821">
        <f t="shared" si="228"/>
        <v>0.95314355069247325</v>
      </c>
      <c r="T1821">
        <f t="shared" si="229"/>
        <v>1.2809572488725558E-6</v>
      </c>
      <c r="U1821">
        <f t="shared" si="230"/>
        <v>1.6001825154010173E-3</v>
      </c>
    </row>
    <row r="1822" spans="10:21" x14ac:dyDescent="0.35">
      <c r="J1822">
        <f t="shared" si="231"/>
        <v>1819</v>
      </c>
      <c r="K1822">
        <f>demanda!D1820</f>
        <v>0</v>
      </c>
      <c r="L1822">
        <f>demanda!I1820</f>
        <v>15</v>
      </c>
      <c r="M1822">
        <v>14.416809279416043</v>
      </c>
      <c r="N1822">
        <f t="shared" si="224"/>
        <v>0.58319072058395705</v>
      </c>
      <c r="O1822">
        <v>7.4087557083441532E-4</v>
      </c>
      <c r="P1822">
        <f t="shared" si="225"/>
        <v>5.8760813658909554E-2</v>
      </c>
      <c r="Q1822">
        <f t="shared" si="226"/>
        <v>98.553306243487526</v>
      </c>
      <c r="R1822">
        <f t="shared" si="227"/>
        <v>5.8767327956256402E-2</v>
      </c>
      <c r="S1822">
        <f t="shared" si="228"/>
        <v>0.95314355069247325</v>
      </c>
      <c r="T1822">
        <f t="shared" si="229"/>
        <v>1.2809572488725558E-6</v>
      </c>
      <c r="U1822">
        <f t="shared" si="230"/>
        <v>1.6001825154010173E-3</v>
      </c>
    </row>
    <row r="1823" spans="10:21" x14ac:dyDescent="0.35">
      <c r="J1823">
        <f t="shared" si="231"/>
        <v>1820</v>
      </c>
      <c r="K1823">
        <f>demanda!D1821</f>
        <v>0</v>
      </c>
      <c r="L1823">
        <f>demanda!I1821</f>
        <v>15</v>
      </c>
      <c r="M1823">
        <v>14.416809279416043</v>
      </c>
      <c r="N1823">
        <f t="shared" si="224"/>
        <v>0.58319072058395705</v>
      </c>
      <c r="O1823">
        <v>7.4087557083441532E-4</v>
      </c>
      <c r="P1823">
        <f t="shared" si="225"/>
        <v>5.8760813658909554E-2</v>
      </c>
      <c r="Q1823">
        <f t="shared" si="226"/>
        <v>98.553306243487526</v>
      </c>
      <c r="R1823">
        <f t="shared" si="227"/>
        <v>5.8767327956256402E-2</v>
      </c>
      <c r="S1823">
        <f t="shared" si="228"/>
        <v>0.95314355069247325</v>
      </c>
      <c r="T1823">
        <f t="shared" si="229"/>
        <v>1.2809572488725558E-6</v>
      </c>
      <c r="U1823">
        <f t="shared" si="230"/>
        <v>1.6001825154010173E-3</v>
      </c>
    </row>
    <row r="1824" spans="10:21" x14ac:dyDescent="0.35">
      <c r="J1824">
        <f t="shared" si="231"/>
        <v>1821</v>
      </c>
      <c r="K1824">
        <f>demanda!D1822</f>
        <v>0</v>
      </c>
      <c r="L1824">
        <f>demanda!I1822</f>
        <v>15</v>
      </c>
      <c r="M1824">
        <v>14.416809279416043</v>
      </c>
      <c r="N1824">
        <f t="shared" si="224"/>
        <v>0.58319072058395705</v>
      </c>
      <c r="O1824">
        <v>7.4087557083441532E-4</v>
      </c>
      <c r="P1824">
        <f t="shared" si="225"/>
        <v>5.8760813658909554E-2</v>
      </c>
      <c r="Q1824">
        <f t="shared" si="226"/>
        <v>98.553306243487526</v>
      </c>
      <c r="R1824">
        <f t="shared" si="227"/>
        <v>5.8767327956256402E-2</v>
      </c>
      <c r="S1824">
        <f t="shared" si="228"/>
        <v>0.95314355069247325</v>
      </c>
      <c r="T1824">
        <f t="shared" si="229"/>
        <v>1.2809572488725558E-6</v>
      </c>
      <c r="U1824">
        <f t="shared" si="230"/>
        <v>1.6001825154010173E-3</v>
      </c>
    </row>
    <row r="1825" spans="10:21" x14ac:dyDescent="0.35">
      <c r="J1825">
        <f t="shared" si="231"/>
        <v>1822</v>
      </c>
      <c r="K1825">
        <f>demanda!D1823</f>
        <v>0</v>
      </c>
      <c r="L1825">
        <f>demanda!I1823</f>
        <v>15</v>
      </c>
      <c r="M1825">
        <v>14.416809279416043</v>
      </c>
      <c r="N1825">
        <f t="shared" si="224"/>
        <v>0.58319072058395705</v>
      </c>
      <c r="O1825">
        <v>7.4087557083441532E-4</v>
      </c>
      <c r="P1825">
        <f t="shared" si="225"/>
        <v>5.8760813658909554E-2</v>
      </c>
      <c r="Q1825">
        <f t="shared" si="226"/>
        <v>98.553306243487526</v>
      </c>
      <c r="R1825">
        <f t="shared" si="227"/>
        <v>5.8767327956256402E-2</v>
      </c>
      <c r="S1825">
        <f t="shared" si="228"/>
        <v>0.95314355069247325</v>
      </c>
      <c r="T1825">
        <f t="shared" si="229"/>
        <v>1.2809572488725558E-6</v>
      </c>
      <c r="U1825">
        <f t="shared" si="230"/>
        <v>1.6001825154010173E-3</v>
      </c>
    </row>
    <row r="1826" spans="10:21" x14ac:dyDescent="0.35">
      <c r="J1826">
        <f t="shared" si="231"/>
        <v>1823</v>
      </c>
      <c r="K1826">
        <f>demanda!D1824</f>
        <v>0</v>
      </c>
      <c r="L1826">
        <f>demanda!I1824</f>
        <v>15</v>
      </c>
      <c r="M1826">
        <v>14.416809279416043</v>
      </c>
      <c r="N1826">
        <f t="shared" si="224"/>
        <v>0.58319072058395705</v>
      </c>
      <c r="O1826">
        <v>7.4087557083441532E-4</v>
      </c>
      <c r="P1826">
        <f t="shared" si="225"/>
        <v>5.8760813658909554E-2</v>
      </c>
      <c r="Q1826">
        <f t="shared" si="226"/>
        <v>98.553306243487526</v>
      </c>
      <c r="R1826">
        <f t="shared" si="227"/>
        <v>5.8767327956256402E-2</v>
      </c>
      <c r="S1826">
        <f t="shared" si="228"/>
        <v>0.95314355069247325</v>
      </c>
      <c r="T1826">
        <f t="shared" si="229"/>
        <v>1.2809572488725558E-6</v>
      </c>
      <c r="U1826">
        <f t="shared" si="230"/>
        <v>1.6001825154010173E-3</v>
      </c>
    </row>
    <row r="1827" spans="10:21" x14ac:dyDescent="0.35">
      <c r="J1827">
        <f t="shared" si="231"/>
        <v>1824</v>
      </c>
      <c r="K1827">
        <f>demanda!D1825</f>
        <v>0</v>
      </c>
      <c r="L1827">
        <f>demanda!I1825</f>
        <v>15</v>
      </c>
      <c r="M1827">
        <v>14.416809279416043</v>
      </c>
      <c r="N1827">
        <f t="shared" si="224"/>
        <v>0.58319072058395705</v>
      </c>
      <c r="O1827">
        <v>7.4087557083441532E-4</v>
      </c>
      <c r="P1827">
        <f t="shared" si="225"/>
        <v>5.8760813658909554E-2</v>
      </c>
      <c r="Q1827">
        <f t="shared" si="226"/>
        <v>98.553306243487526</v>
      </c>
      <c r="R1827">
        <f t="shared" si="227"/>
        <v>5.8767327956256402E-2</v>
      </c>
      <c r="S1827">
        <f t="shared" si="228"/>
        <v>0.95314355069247325</v>
      </c>
      <c r="T1827">
        <f t="shared" si="229"/>
        <v>1.2809572488725558E-6</v>
      </c>
      <c r="U1827">
        <f t="shared" si="230"/>
        <v>1.6001825154010173E-3</v>
      </c>
    </row>
    <row r="1828" spans="10:21" x14ac:dyDescent="0.35">
      <c r="J1828">
        <f t="shared" si="231"/>
        <v>1825</v>
      </c>
      <c r="K1828">
        <f>demanda!D1826</f>
        <v>0</v>
      </c>
      <c r="L1828">
        <f>demanda!I1826</f>
        <v>15</v>
      </c>
      <c r="M1828">
        <v>14.416809279416043</v>
      </c>
      <c r="N1828">
        <f t="shared" si="224"/>
        <v>0.58319072058395705</v>
      </c>
      <c r="O1828">
        <v>7.4087557083441532E-4</v>
      </c>
      <c r="P1828">
        <f t="shared" si="225"/>
        <v>5.8760813658909554E-2</v>
      </c>
      <c r="Q1828">
        <f t="shared" si="226"/>
        <v>98.553306243487526</v>
      </c>
      <c r="R1828">
        <f t="shared" si="227"/>
        <v>5.8767327956256402E-2</v>
      </c>
      <c r="S1828">
        <f t="shared" si="228"/>
        <v>0.95314355069247325</v>
      </c>
      <c r="T1828">
        <f t="shared" si="229"/>
        <v>1.2809572488725558E-6</v>
      </c>
      <c r="U1828">
        <f t="shared" si="230"/>
        <v>1.6001825154010173E-3</v>
      </c>
    </row>
    <row r="1829" spans="10:21" x14ac:dyDescent="0.35">
      <c r="J1829">
        <f t="shared" si="231"/>
        <v>1826</v>
      </c>
      <c r="K1829">
        <f>demanda!D1827</f>
        <v>0</v>
      </c>
      <c r="L1829">
        <f>demanda!I1827</f>
        <v>13</v>
      </c>
      <c r="M1829">
        <v>14.416809279416043</v>
      </c>
      <c r="N1829">
        <f t="shared" si="224"/>
        <v>-1.416809279416043</v>
      </c>
      <c r="O1829">
        <v>7.4087557083441532E-4</v>
      </c>
      <c r="P1829">
        <f t="shared" si="225"/>
        <v>-0.14275409933583605</v>
      </c>
      <c r="Q1829">
        <f t="shared" si="226"/>
        <v>98.552436340855238</v>
      </c>
      <c r="R1829">
        <f t="shared" si="227"/>
        <v>-0.14277055533334676</v>
      </c>
      <c r="S1829">
        <f t="shared" si="228"/>
        <v>0.88648638054980111</v>
      </c>
      <c r="T1829">
        <f t="shared" si="229"/>
        <v>7.5602509372950483E-6</v>
      </c>
      <c r="U1829">
        <f t="shared" si="230"/>
        <v>-3.8875163173756836E-3</v>
      </c>
    </row>
    <row r="1830" spans="10:21" x14ac:dyDescent="0.35">
      <c r="J1830">
        <f t="shared" si="231"/>
        <v>1827</v>
      </c>
      <c r="K1830">
        <f>demanda!D1828</f>
        <v>0</v>
      </c>
      <c r="L1830">
        <f>demanda!I1828</f>
        <v>15</v>
      </c>
      <c r="M1830">
        <v>14.416809279416043</v>
      </c>
      <c r="N1830">
        <f t="shared" si="224"/>
        <v>0.58319072058395705</v>
      </c>
      <c r="O1830">
        <v>7.4087557083441532E-4</v>
      </c>
      <c r="P1830">
        <f t="shared" si="225"/>
        <v>5.8760813658909554E-2</v>
      </c>
      <c r="Q1830">
        <f t="shared" si="226"/>
        <v>98.553306243487526</v>
      </c>
      <c r="R1830">
        <f t="shared" si="227"/>
        <v>5.8767327956256402E-2</v>
      </c>
      <c r="S1830">
        <f t="shared" si="228"/>
        <v>0.95314355069247325</v>
      </c>
      <c r="T1830">
        <f t="shared" si="229"/>
        <v>1.2809572488725558E-6</v>
      </c>
      <c r="U1830">
        <f t="shared" si="230"/>
        <v>1.6001825154010173E-3</v>
      </c>
    </row>
    <row r="1831" spans="10:21" x14ac:dyDescent="0.35">
      <c r="J1831">
        <f t="shared" si="231"/>
        <v>1828</v>
      </c>
      <c r="K1831">
        <f>demanda!D1829</f>
        <v>0</v>
      </c>
      <c r="L1831">
        <f>demanda!I1829</f>
        <v>15</v>
      </c>
      <c r="M1831">
        <v>14.416809279416043</v>
      </c>
      <c r="N1831">
        <f t="shared" si="224"/>
        <v>0.58319072058395705</v>
      </c>
      <c r="O1831">
        <v>7.4087557083441532E-4</v>
      </c>
      <c r="P1831">
        <f t="shared" si="225"/>
        <v>5.8760813658909554E-2</v>
      </c>
      <c r="Q1831">
        <f t="shared" si="226"/>
        <v>98.553306243487526</v>
      </c>
      <c r="R1831">
        <f t="shared" si="227"/>
        <v>5.8767327956256402E-2</v>
      </c>
      <c r="S1831">
        <f t="shared" si="228"/>
        <v>0.95314355069247325</v>
      </c>
      <c r="T1831">
        <f t="shared" si="229"/>
        <v>1.2809572488725558E-6</v>
      </c>
      <c r="U1831">
        <f t="shared" si="230"/>
        <v>1.6001825154010173E-3</v>
      </c>
    </row>
    <row r="1832" spans="10:21" x14ac:dyDescent="0.35">
      <c r="J1832">
        <f t="shared" si="231"/>
        <v>1829</v>
      </c>
      <c r="K1832">
        <f>demanda!D1830</f>
        <v>0</v>
      </c>
      <c r="L1832">
        <f>demanda!I1830</f>
        <v>15</v>
      </c>
      <c r="M1832">
        <v>14.416809279416043</v>
      </c>
      <c r="N1832">
        <f t="shared" si="224"/>
        <v>0.58319072058395705</v>
      </c>
      <c r="O1832">
        <v>7.4087557083441532E-4</v>
      </c>
      <c r="P1832">
        <f t="shared" si="225"/>
        <v>5.8760813658909554E-2</v>
      </c>
      <c r="Q1832">
        <f t="shared" si="226"/>
        <v>98.553306243487526</v>
      </c>
      <c r="R1832">
        <f t="shared" si="227"/>
        <v>5.8767327956256402E-2</v>
      </c>
      <c r="S1832">
        <f t="shared" si="228"/>
        <v>0.95314355069247325</v>
      </c>
      <c r="T1832">
        <f t="shared" si="229"/>
        <v>1.2809572488725558E-6</v>
      </c>
      <c r="U1832">
        <f t="shared" si="230"/>
        <v>1.6001825154010173E-3</v>
      </c>
    </row>
    <row r="1833" spans="10:21" x14ac:dyDescent="0.35">
      <c r="J1833">
        <f t="shared" si="231"/>
        <v>1830</v>
      </c>
      <c r="K1833">
        <f>demanda!D1831</f>
        <v>0</v>
      </c>
      <c r="L1833">
        <f>demanda!I1831</f>
        <v>15</v>
      </c>
      <c r="M1833">
        <v>14.416809279416043</v>
      </c>
      <c r="N1833">
        <f t="shared" si="224"/>
        <v>0.58319072058395705</v>
      </c>
      <c r="O1833">
        <v>7.4087557083441532E-4</v>
      </c>
      <c r="P1833">
        <f t="shared" si="225"/>
        <v>5.8760813658909554E-2</v>
      </c>
      <c r="Q1833">
        <f t="shared" si="226"/>
        <v>98.553306243487526</v>
      </c>
      <c r="R1833">
        <f t="shared" si="227"/>
        <v>5.8767327956256402E-2</v>
      </c>
      <c r="S1833">
        <f t="shared" si="228"/>
        <v>0.95314355069247325</v>
      </c>
      <c r="T1833">
        <f t="shared" si="229"/>
        <v>1.2809572488725558E-6</v>
      </c>
      <c r="U1833">
        <f t="shared" si="230"/>
        <v>1.6001825154010173E-3</v>
      </c>
    </row>
    <row r="1834" spans="10:21" x14ac:dyDescent="0.35">
      <c r="J1834">
        <f t="shared" si="231"/>
        <v>1831</v>
      </c>
      <c r="K1834">
        <f>demanda!D1832</f>
        <v>0</v>
      </c>
      <c r="L1834">
        <f>demanda!I1832</f>
        <v>12</v>
      </c>
      <c r="M1834">
        <v>14.416809279416043</v>
      </c>
      <c r="N1834">
        <f t="shared" si="224"/>
        <v>-2.416809279416043</v>
      </c>
      <c r="O1834">
        <v>7.4087557083441532E-4</v>
      </c>
      <c r="P1834">
        <f t="shared" si="225"/>
        <v>-0.24351155583320885</v>
      </c>
      <c r="Q1834">
        <f t="shared" si="226"/>
        <v>98.55043610055337</v>
      </c>
      <c r="R1834">
        <f t="shared" si="227"/>
        <v>-0.24354209816225414</v>
      </c>
      <c r="S1834">
        <f t="shared" si="228"/>
        <v>0.80761150818210881</v>
      </c>
      <c r="T1834">
        <f t="shared" si="229"/>
        <v>2.199875915262289E-5</v>
      </c>
      <c r="U1834">
        <f t="shared" si="230"/>
        <v>-6.6314365617133417E-3</v>
      </c>
    </row>
    <row r="1835" spans="10:21" x14ac:dyDescent="0.35">
      <c r="J1835">
        <f t="shared" si="231"/>
        <v>1832</v>
      </c>
      <c r="K1835">
        <f>demanda!D1833</f>
        <v>0</v>
      </c>
      <c r="L1835">
        <f>demanda!I1833</f>
        <v>4</v>
      </c>
      <c r="M1835">
        <v>14.416809279416043</v>
      </c>
      <c r="N1835">
        <f t="shared" si="224"/>
        <v>-10.416809279416043</v>
      </c>
      <c r="O1835">
        <v>7.4087557083441532E-4</v>
      </c>
      <c r="P1835">
        <f t="shared" si="225"/>
        <v>-1.0495712078121913</v>
      </c>
      <c r="Q1835">
        <f t="shared" si="226"/>
        <v>98.49686724248096</v>
      </c>
      <c r="R1835">
        <f t="shared" si="227"/>
        <v>-1.049988258586362</v>
      </c>
      <c r="S1835">
        <f t="shared" si="228"/>
        <v>0.29385572056513598</v>
      </c>
      <c r="T1835">
        <f t="shared" si="229"/>
        <v>4.0867949778204384E-4</v>
      </c>
      <c r="U1835">
        <f t="shared" si="230"/>
        <v>-2.8590254333443563E-2</v>
      </c>
    </row>
    <row r="1836" spans="10:21" x14ac:dyDescent="0.35">
      <c r="J1836">
        <f t="shared" si="231"/>
        <v>1833</v>
      </c>
      <c r="K1836">
        <f>demanda!D1834</f>
        <v>0</v>
      </c>
      <c r="L1836">
        <f>demanda!I1834</f>
        <v>4</v>
      </c>
      <c r="M1836">
        <v>14.416809279416043</v>
      </c>
      <c r="N1836">
        <f t="shared" si="224"/>
        <v>-10.416809279416043</v>
      </c>
      <c r="O1836">
        <v>7.4087557083441532E-4</v>
      </c>
      <c r="P1836">
        <f t="shared" si="225"/>
        <v>-1.0495712078121913</v>
      </c>
      <c r="Q1836">
        <f t="shared" si="226"/>
        <v>98.49686724248096</v>
      </c>
      <c r="R1836">
        <f t="shared" si="227"/>
        <v>-1.049988258586362</v>
      </c>
      <c r="S1836">
        <f t="shared" si="228"/>
        <v>0.29385572056513598</v>
      </c>
      <c r="T1836">
        <f t="shared" si="229"/>
        <v>4.0867949778204384E-4</v>
      </c>
      <c r="U1836">
        <f t="shared" si="230"/>
        <v>-2.8590254333443563E-2</v>
      </c>
    </row>
    <row r="1837" spans="10:21" x14ac:dyDescent="0.35">
      <c r="J1837">
        <f t="shared" si="231"/>
        <v>1834</v>
      </c>
      <c r="K1837">
        <f>demanda!D1835</f>
        <v>0</v>
      </c>
      <c r="L1837">
        <f>demanda!I1835</f>
        <v>9</v>
      </c>
      <c r="M1837">
        <v>14.416809279416043</v>
      </c>
      <c r="N1837">
        <f t="shared" si="224"/>
        <v>-5.416809279416043</v>
      </c>
      <c r="O1837">
        <v>7.4087557083441532E-4</v>
      </c>
      <c r="P1837">
        <f t="shared" si="225"/>
        <v>-0.54578392532532727</v>
      </c>
      <c r="Q1837">
        <f t="shared" si="226"/>
        <v>98.538174223704843</v>
      </c>
      <c r="R1837">
        <f t="shared" si="227"/>
        <v>-0.54588634131956315</v>
      </c>
      <c r="S1837">
        <f t="shared" si="228"/>
        <v>0.58520751823074413</v>
      </c>
      <c r="T1837">
        <f t="shared" si="229"/>
        <v>1.1050972928307278E-4</v>
      </c>
      <c r="U1837">
        <f t="shared" si="230"/>
        <v>-1.4864003676090257E-2</v>
      </c>
    </row>
    <row r="1838" spans="10:21" x14ac:dyDescent="0.35">
      <c r="J1838">
        <f t="shared" si="231"/>
        <v>1835</v>
      </c>
      <c r="K1838">
        <f>demanda!D1836</f>
        <v>0</v>
      </c>
      <c r="L1838">
        <f>demanda!I1836</f>
        <v>6</v>
      </c>
      <c r="M1838">
        <v>14.416809279416043</v>
      </c>
      <c r="N1838">
        <f t="shared" si="224"/>
        <v>-8.416809279416043</v>
      </c>
      <c r="O1838">
        <v>7.4087557083441532E-4</v>
      </c>
      <c r="P1838">
        <f t="shared" si="225"/>
        <v>-0.84805629481744571</v>
      </c>
      <c r="Q1838">
        <f t="shared" si="226"/>
        <v>98.51652061294196</v>
      </c>
      <c r="R1838">
        <f t="shared" si="227"/>
        <v>-0.8483086443975183</v>
      </c>
      <c r="S1838">
        <f t="shared" si="228"/>
        <v>0.39637190285902191</v>
      </c>
      <c r="T1838">
        <f t="shared" si="229"/>
        <v>2.6681386764022222E-4</v>
      </c>
      <c r="U1838">
        <f t="shared" si="230"/>
        <v>-2.3098696293268058E-2</v>
      </c>
    </row>
    <row r="1839" spans="10:21" x14ac:dyDescent="0.35">
      <c r="J1839">
        <f t="shared" si="231"/>
        <v>1836</v>
      </c>
      <c r="K1839">
        <f>demanda!D1837</f>
        <v>8</v>
      </c>
      <c r="L1839">
        <f>demanda!I1837</f>
        <v>2</v>
      </c>
      <c r="M1839">
        <v>-6.6282602396703254</v>
      </c>
      <c r="N1839">
        <f t="shared" si="224"/>
        <v>8.6282602396703254</v>
      </c>
      <c r="O1839">
        <v>1.1050739315714665E-2</v>
      </c>
      <c r="P1839">
        <f t="shared" si="225"/>
        <v>0.86936155574659424</v>
      </c>
      <c r="Q1839">
        <f t="shared" si="226"/>
        <v>98.514235129232773</v>
      </c>
      <c r="R1839">
        <f t="shared" si="227"/>
        <v>0.87415155720615656</v>
      </c>
      <c r="S1839">
        <f t="shared" si="228"/>
        <v>0.38214510450020234</v>
      </c>
      <c r="T1839">
        <f t="shared" si="229"/>
        <v>4.2698653587366752E-3</v>
      </c>
      <c r="U1839">
        <f t="shared" si="230"/>
        <v>9.2404984294500905E-2</v>
      </c>
    </row>
    <row r="1840" spans="10:21" x14ac:dyDescent="0.35">
      <c r="J1840">
        <f t="shared" si="231"/>
        <v>1837</v>
      </c>
      <c r="K1840">
        <f>demanda!D1838</f>
        <v>4</v>
      </c>
      <c r="L1840">
        <f>demanda!I1838</f>
        <v>3</v>
      </c>
      <c r="M1840">
        <v>3.8942745198728588</v>
      </c>
      <c r="N1840">
        <f t="shared" si="224"/>
        <v>-0.89427451987285878</v>
      </c>
      <c r="O1840">
        <v>2.4466175697261316E-3</v>
      </c>
      <c r="P1840">
        <f t="shared" si="225"/>
        <v>-9.0104826032798527E-2</v>
      </c>
      <c r="Q1840">
        <f t="shared" si="226"/>
        <v>98.553065719630368</v>
      </c>
      <c r="R1840">
        <f t="shared" si="227"/>
        <v>-9.0191937130002245E-2</v>
      </c>
      <c r="S1840">
        <f t="shared" si="228"/>
        <v>0.92814410376796586</v>
      </c>
      <c r="T1840">
        <f t="shared" si="229"/>
        <v>9.9806748742546123E-6</v>
      </c>
      <c r="U1840">
        <f t="shared" si="230"/>
        <v>-4.4666578568412878E-3</v>
      </c>
    </row>
    <row r="1841" spans="10:21" x14ac:dyDescent="0.35">
      <c r="J1841">
        <f t="shared" si="231"/>
        <v>1838</v>
      </c>
      <c r="K1841">
        <f>demanda!D1839</f>
        <v>1</v>
      </c>
      <c r="L1841">
        <f>demanda!I1839</f>
        <v>14</v>
      </c>
      <c r="M1841">
        <v>11.786175589530247</v>
      </c>
      <c r="N1841">
        <f t="shared" si="224"/>
        <v>2.2138244104697531</v>
      </c>
      <c r="O1841">
        <v>5.2058796926701797E-4</v>
      </c>
      <c r="P1841">
        <f t="shared" si="225"/>
        <v>0.22305931673072815</v>
      </c>
      <c r="Q1841">
        <f t="shared" si="226"/>
        <v>98.550927094542288</v>
      </c>
      <c r="R1841">
        <f t="shared" si="227"/>
        <v>0.2230621523462217</v>
      </c>
      <c r="S1841">
        <f t="shared" si="228"/>
        <v>0.82351087455410243</v>
      </c>
      <c r="T1841">
        <f t="shared" si="229"/>
        <v>1.2964541478310422E-5</v>
      </c>
      <c r="U1841">
        <f t="shared" si="230"/>
        <v>5.0907998870362093E-3</v>
      </c>
    </row>
    <row r="1842" spans="10:21" x14ac:dyDescent="0.35">
      <c r="J1842">
        <f t="shared" si="231"/>
        <v>1839</v>
      </c>
      <c r="K1842">
        <f>demanda!D1840</f>
        <v>3</v>
      </c>
      <c r="L1842">
        <f>demanda!I1840</f>
        <v>4</v>
      </c>
      <c r="M1842">
        <v>6.5249082097586548</v>
      </c>
      <c r="N1842">
        <f t="shared" si="224"/>
        <v>-2.5249082097586548</v>
      </c>
      <c r="O1842">
        <v>1.3734589687128761E-3</v>
      </c>
      <c r="P1842">
        <f t="shared" si="225"/>
        <v>-0.2544033291046171</v>
      </c>
      <c r="Q1842">
        <f t="shared" si="226"/>
        <v>98.550155270625524</v>
      </c>
      <c r="R1842">
        <f t="shared" si="227"/>
        <v>-0.25451617384299874</v>
      </c>
      <c r="S1842">
        <f t="shared" si="228"/>
        <v>0.79912408038987892</v>
      </c>
      <c r="T1842">
        <f t="shared" si="229"/>
        <v>4.4568197050885148E-5</v>
      </c>
      <c r="U1842">
        <f t="shared" si="230"/>
        <v>-9.4389063786870474E-3</v>
      </c>
    </row>
    <row r="1843" spans="10:21" x14ac:dyDescent="0.35">
      <c r="J1843">
        <f t="shared" si="231"/>
        <v>1840</v>
      </c>
      <c r="K1843">
        <f>demanda!D1841</f>
        <v>1</v>
      </c>
      <c r="L1843">
        <f>demanda!I1841</f>
        <v>5</v>
      </c>
      <c r="M1843">
        <v>11.786175589530247</v>
      </c>
      <c r="N1843">
        <f t="shared" si="224"/>
        <v>-6.7861755895302469</v>
      </c>
      <c r="O1843">
        <v>5.2058796926701797E-4</v>
      </c>
      <c r="P1843">
        <f t="shared" si="225"/>
        <v>-0.68375779174562712</v>
      </c>
      <c r="Q1843">
        <f t="shared" si="226"/>
        <v>98.529460674016264</v>
      </c>
      <c r="R1843">
        <f t="shared" si="227"/>
        <v>-0.68384096531208116</v>
      </c>
      <c r="S1843">
        <f t="shared" si="228"/>
        <v>0.49415815943295716</v>
      </c>
      <c r="T1843">
        <f t="shared" si="229"/>
        <v>1.2182067544499816E-4</v>
      </c>
      <c r="U1843">
        <f t="shared" si="230"/>
        <v>-1.560684980551091E-2</v>
      </c>
    </row>
    <row r="1844" spans="10:21" x14ac:dyDescent="0.35">
      <c r="J1844">
        <f t="shared" si="231"/>
        <v>1841</v>
      </c>
      <c r="K1844">
        <f>demanda!D1842</f>
        <v>3</v>
      </c>
      <c r="L1844">
        <f>demanda!I1842</f>
        <v>24</v>
      </c>
      <c r="M1844">
        <v>6.5249082097586548</v>
      </c>
      <c r="N1844">
        <f t="shared" si="224"/>
        <v>17.475091790241343</v>
      </c>
      <c r="O1844">
        <v>1.3734589687128761E-3</v>
      </c>
      <c r="P1844">
        <f t="shared" si="225"/>
        <v>1.7607458008428387</v>
      </c>
      <c r="Q1844">
        <f t="shared" si="226"/>
        <v>98.394047394870967</v>
      </c>
      <c r="R1844">
        <f t="shared" si="227"/>
        <v>1.7629236368291248</v>
      </c>
      <c r="S1844">
        <f t="shared" si="228"/>
        <v>7.8072515774616436E-2</v>
      </c>
      <c r="T1844">
        <f t="shared" si="229"/>
        <v>2.1348767520169443E-3</v>
      </c>
      <c r="U1844">
        <f t="shared" si="230"/>
        <v>6.5379228791444949E-2</v>
      </c>
    </row>
    <row r="1845" spans="10:21" x14ac:dyDescent="0.35">
      <c r="J1845">
        <f t="shared" si="231"/>
        <v>1842</v>
      </c>
      <c r="K1845">
        <f>demanda!D1843</f>
        <v>1</v>
      </c>
      <c r="L1845">
        <f>demanda!I1843</f>
        <v>16</v>
      </c>
      <c r="M1845">
        <v>11.786175589530247</v>
      </c>
      <c r="N1845">
        <f t="shared" si="224"/>
        <v>4.2138244104697531</v>
      </c>
      <c r="O1845">
        <v>5.2058796926701797E-4</v>
      </c>
      <c r="P1845">
        <f t="shared" si="225"/>
        <v>0.42457422972547376</v>
      </c>
      <c r="Q1845">
        <f t="shared" si="226"/>
        <v>98.544221154270687</v>
      </c>
      <c r="R1845">
        <f t="shared" si="227"/>
        <v>0.4245940731647706</v>
      </c>
      <c r="S1845">
        <f t="shared" si="228"/>
        <v>0.67118021179708642</v>
      </c>
      <c r="T1845">
        <f t="shared" si="229"/>
        <v>4.6970338191938198E-5</v>
      </c>
      <c r="U1845">
        <f t="shared" si="230"/>
        <v>9.6902295479893447E-3</v>
      </c>
    </row>
    <row r="1846" spans="10:21" x14ac:dyDescent="0.35">
      <c r="J1846">
        <f t="shared" si="231"/>
        <v>1843</v>
      </c>
      <c r="K1846">
        <f>demanda!D1844</f>
        <v>1</v>
      </c>
      <c r="L1846">
        <f>demanda!I1844</f>
        <v>9</v>
      </c>
      <c r="M1846">
        <v>11.786175589530247</v>
      </c>
      <c r="N1846">
        <f t="shared" si="224"/>
        <v>-2.7861755895302469</v>
      </c>
      <c r="O1846">
        <v>5.2058796926701797E-4</v>
      </c>
      <c r="P1846">
        <f t="shared" si="225"/>
        <v>-0.2807279657561359</v>
      </c>
      <c r="Q1846">
        <f t="shared" si="226"/>
        <v>98.549434265310296</v>
      </c>
      <c r="R1846">
        <f t="shared" si="227"/>
        <v>-0.2807336607336009</v>
      </c>
      <c r="S1846">
        <f t="shared" si="228"/>
        <v>0.77894495126310248</v>
      </c>
      <c r="T1846">
        <f t="shared" si="229"/>
        <v>2.0534672635962656E-5</v>
      </c>
      <c r="U1846">
        <f t="shared" si="230"/>
        <v>-6.4069985576559628E-3</v>
      </c>
    </row>
    <row r="1847" spans="10:21" x14ac:dyDescent="0.35">
      <c r="J1847">
        <f t="shared" si="231"/>
        <v>1844</v>
      </c>
      <c r="K1847">
        <f>demanda!D1845</f>
        <v>0</v>
      </c>
      <c r="L1847">
        <f>demanda!I1845</f>
        <v>5</v>
      </c>
      <c r="M1847">
        <v>14.416809279416043</v>
      </c>
      <c r="N1847">
        <f t="shared" si="224"/>
        <v>-9.416809279416043</v>
      </c>
      <c r="O1847">
        <v>7.4087557083441532E-4</v>
      </c>
      <c r="P1847">
        <f t="shared" si="225"/>
        <v>-0.94881375131481849</v>
      </c>
      <c r="Q1847">
        <f t="shared" si="226"/>
        <v>98.507215690706701</v>
      </c>
      <c r="R1847">
        <f t="shared" si="227"/>
        <v>-0.94914090693055775</v>
      </c>
      <c r="S1847">
        <f t="shared" si="228"/>
        <v>0.34266846368408377</v>
      </c>
      <c r="T1847">
        <f t="shared" si="229"/>
        <v>3.339803955874275E-4</v>
      </c>
      <c r="U1847">
        <f t="shared" si="230"/>
        <v>-2.5844269881602652E-2</v>
      </c>
    </row>
    <row r="1848" spans="10:21" x14ac:dyDescent="0.35">
      <c r="J1848">
        <f t="shared" si="231"/>
        <v>1845</v>
      </c>
      <c r="K1848">
        <f>demanda!D1846</f>
        <v>2</v>
      </c>
      <c r="L1848">
        <f>demanda!I1846</f>
        <v>2</v>
      </c>
      <c r="M1848">
        <v>9.1555418996444509</v>
      </c>
      <c r="N1848">
        <f t="shared" si="224"/>
        <v>-7.1555418996444509</v>
      </c>
      <c r="O1848">
        <v>7.3144910189317154E-4</v>
      </c>
      <c r="P1848">
        <f t="shared" si="225"/>
        <v>-0.72097420166855408</v>
      </c>
      <c r="Q1848">
        <f t="shared" si="226"/>
        <v>98.526768759022602</v>
      </c>
      <c r="R1848">
        <f t="shared" si="227"/>
        <v>-0.72114782718324122</v>
      </c>
      <c r="S1848">
        <f t="shared" si="228"/>
        <v>0.47090641241117204</v>
      </c>
      <c r="T1848">
        <f t="shared" si="229"/>
        <v>1.9038342084795563E-4</v>
      </c>
      <c r="U1848">
        <f t="shared" si="230"/>
        <v>-1.9510807546913981E-2</v>
      </c>
    </row>
    <row r="1849" spans="10:21" x14ac:dyDescent="0.35">
      <c r="J1849">
        <f t="shared" si="231"/>
        <v>1846</v>
      </c>
      <c r="K1849">
        <f>demanda!D1847</f>
        <v>0</v>
      </c>
      <c r="L1849">
        <f>demanda!I1847</f>
        <v>20</v>
      </c>
      <c r="M1849">
        <v>14.416809279416043</v>
      </c>
      <c r="N1849">
        <f t="shared" si="224"/>
        <v>5.583190720583957</v>
      </c>
      <c r="O1849">
        <v>7.4087557083441532E-4</v>
      </c>
      <c r="P1849">
        <f t="shared" si="225"/>
        <v>0.56254809614577361</v>
      </c>
      <c r="Q1849">
        <f t="shared" si="226"/>
        <v>98.537219295234792</v>
      </c>
      <c r="R1849">
        <f t="shared" si="227"/>
        <v>0.56265638426953379</v>
      </c>
      <c r="S1849">
        <f t="shared" si="228"/>
        <v>0.57373461200688847</v>
      </c>
      <c r="T1849">
        <f t="shared" si="229"/>
        <v>1.1740277235750991E-4</v>
      </c>
      <c r="U1849">
        <f t="shared" si="230"/>
        <v>1.5320637156704552E-2</v>
      </c>
    </row>
    <row r="1850" spans="10:21" x14ac:dyDescent="0.35">
      <c r="J1850">
        <f t="shared" si="231"/>
        <v>1847</v>
      </c>
      <c r="K1850">
        <f>demanda!D1848</f>
        <v>4</v>
      </c>
      <c r="L1850">
        <f>demanda!I1848</f>
        <v>2</v>
      </c>
      <c r="M1850">
        <v>3.8942745198728588</v>
      </c>
      <c r="N1850">
        <f t="shared" si="224"/>
        <v>-1.8942745198728588</v>
      </c>
      <c r="O1850">
        <v>2.4466175697261316E-3</v>
      </c>
      <c r="P1850">
        <f t="shared" si="225"/>
        <v>-0.19086228253017132</v>
      </c>
      <c r="Q1850">
        <f t="shared" si="226"/>
        <v>98.551608270054842</v>
      </c>
      <c r="R1850">
        <f t="shared" si="227"/>
        <v>-0.19104821608300357</v>
      </c>
      <c r="S1850">
        <f t="shared" si="228"/>
        <v>0.84850802764464628</v>
      </c>
      <c r="T1850">
        <f t="shared" si="229"/>
        <v>4.4782056131641625E-5</v>
      </c>
      <c r="U1850">
        <f t="shared" si="230"/>
        <v>-9.4614556750527434E-3</v>
      </c>
    </row>
    <row r="1851" spans="10:21" x14ac:dyDescent="0.35">
      <c r="J1851">
        <f t="shared" si="231"/>
        <v>1848</v>
      </c>
      <c r="K1851">
        <f>demanda!D1849</f>
        <v>2</v>
      </c>
      <c r="L1851">
        <f>demanda!I1849</f>
        <v>5</v>
      </c>
      <c r="M1851">
        <v>9.1555418996444509</v>
      </c>
      <c r="N1851">
        <f t="shared" si="224"/>
        <v>-4.1555418996444509</v>
      </c>
      <c r="O1851">
        <v>7.3144910189317154E-4</v>
      </c>
      <c r="P1851">
        <f t="shared" si="225"/>
        <v>-0.4187018321764357</v>
      </c>
      <c r="Q1851">
        <f t="shared" si="226"/>
        <v>98.544473706891381</v>
      </c>
      <c r="R1851">
        <f t="shared" si="227"/>
        <v>-0.41876504056165376</v>
      </c>
      <c r="S1851">
        <f t="shared" si="228"/>
        <v>0.67543472022045181</v>
      </c>
      <c r="T1851">
        <f t="shared" si="229"/>
        <v>6.420951640425571E-5</v>
      </c>
      <c r="U1851">
        <f t="shared" si="230"/>
        <v>-1.1329777066218591E-2</v>
      </c>
    </row>
    <row r="1852" spans="10:21" x14ac:dyDescent="0.35">
      <c r="J1852">
        <f t="shared" si="231"/>
        <v>1849</v>
      </c>
      <c r="K1852">
        <f>demanda!D1850</f>
        <v>1</v>
      </c>
      <c r="L1852">
        <f>demanda!I1850</f>
        <v>4</v>
      </c>
      <c r="M1852">
        <v>11.786175589530247</v>
      </c>
      <c r="N1852">
        <f t="shared" si="224"/>
        <v>-7.7861755895302469</v>
      </c>
      <c r="O1852">
        <v>5.2058796926701797E-4</v>
      </c>
      <c r="P1852">
        <f t="shared" si="225"/>
        <v>-0.7845152482429999</v>
      </c>
      <c r="Q1852">
        <f t="shared" si="226"/>
        <v>98.52185903620547</v>
      </c>
      <c r="R1852">
        <f t="shared" si="227"/>
        <v>-0.784640946599786</v>
      </c>
      <c r="S1852">
        <f t="shared" si="228"/>
        <v>0.43276096337473069</v>
      </c>
      <c r="T1852">
        <f t="shared" si="229"/>
        <v>1.6036855085321727E-4</v>
      </c>
      <c r="U1852">
        <f t="shared" si="230"/>
        <v>-1.7907341071981879E-2</v>
      </c>
    </row>
    <row r="1853" spans="10:21" x14ac:dyDescent="0.35">
      <c r="J1853">
        <f t="shared" si="231"/>
        <v>1850</v>
      </c>
      <c r="K1853">
        <f>demanda!D1851</f>
        <v>0</v>
      </c>
      <c r="L1853">
        <f>demanda!I1851</f>
        <v>11</v>
      </c>
      <c r="M1853">
        <v>14.416809279416043</v>
      </c>
      <c r="N1853">
        <f t="shared" si="224"/>
        <v>-3.416809279416043</v>
      </c>
      <c r="O1853">
        <v>7.4087557083441532E-4</v>
      </c>
      <c r="P1853">
        <f t="shared" si="225"/>
        <v>-0.34426901233058166</v>
      </c>
      <c r="Q1853">
        <f t="shared" si="226"/>
        <v>98.547392334261005</v>
      </c>
      <c r="R1853">
        <f t="shared" si="227"/>
        <v>-0.34431750934619676</v>
      </c>
      <c r="S1853">
        <f t="shared" si="228"/>
        <v>0.73064524437297085</v>
      </c>
      <c r="T1853">
        <f t="shared" si="229"/>
        <v>4.3969841615361785E-5</v>
      </c>
      <c r="U1853">
        <f t="shared" si="230"/>
        <v>-9.3754621379472432E-3</v>
      </c>
    </row>
    <row r="1854" spans="10:21" x14ac:dyDescent="0.35">
      <c r="J1854">
        <f t="shared" si="231"/>
        <v>1851</v>
      </c>
      <c r="K1854">
        <f>demanda!D1852</f>
        <v>1</v>
      </c>
      <c r="L1854">
        <f>demanda!I1852</f>
        <v>6</v>
      </c>
      <c r="M1854">
        <v>11.786175589530247</v>
      </c>
      <c r="N1854">
        <f t="shared" si="224"/>
        <v>-5.7861755895302469</v>
      </c>
      <c r="O1854">
        <v>5.2058796926701797E-4</v>
      </c>
      <c r="P1854">
        <f t="shared" si="225"/>
        <v>-0.58300033524825434</v>
      </c>
      <c r="Q1854">
        <f t="shared" si="226"/>
        <v>98.536019015832139</v>
      </c>
      <c r="R1854">
        <f t="shared" si="227"/>
        <v>-0.58305184819450462</v>
      </c>
      <c r="S1854">
        <f t="shared" si="228"/>
        <v>0.55992690572315473</v>
      </c>
      <c r="T1854">
        <f t="shared" si="229"/>
        <v>8.8563349919163143E-5</v>
      </c>
      <c r="U1854">
        <f t="shared" si="230"/>
        <v>-1.3306606484805191E-2</v>
      </c>
    </row>
    <row r="1855" spans="10:21" x14ac:dyDescent="0.35">
      <c r="J1855">
        <f t="shared" si="231"/>
        <v>1852</v>
      </c>
      <c r="K1855">
        <f>demanda!D1853</f>
        <v>4</v>
      </c>
      <c r="L1855">
        <f>demanda!I1853</f>
        <v>8</v>
      </c>
      <c r="M1855">
        <v>3.8942745198728588</v>
      </c>
      <c r="N1855">
        <f t="shared" si="224"/>
        <v>4.1057254801271412</v>
      </c>
      <c r="O1855">
        <v>2.4466175697261316E-3</v>
      </c>
      <c r="P1855">
        <f t="shared" si="225"/>
        <v>0.41368245645406548</v>
      </c>
      <c r="Q1855">
        <f t="shared" si="226"/>
        <v>98.544673312374655</v>
      </c>
      <c r="R1855">
        <f t="shared" si="227"/>
        <v>0.41410002630267911</v>
      </c>
      <c r="S1855">
        <f t="shared" si="228"/>
        <v>0.67884713170182909</v>
      </c>
      <c r="T1855">
        <f t="shared" si="229"/>
        <v>2.1037688032775874E-4</v>
      </c>
      <c r="U1855">
        <f t="shared" si="230"/>
        <v>2.0507854636018945E-2</v>
      </c>
    </row>
    <row r="1856" spans="10:21" x14ac:dyDescent="0.35">
      <c r="J1856">
        <f t="shared" si="231"/>
        <v>1853</v>
      </c>
      <c r="K1856">
        <f>demanda!D1854</f>
        <v>0</v>
      </c>
      <c r="L1856">
        <f>demanda!I1854</f>
        <v>7</v>
      </c>
      <c r="M1856">
        <v>14.416809279416043</v>
      </c>
      <c r="N1856">
        <f t="shared" si="224"/>
        <v>-7.416809279416043</v>
      </c>
      <c r="O1856">
        <v>7.4087557083441532E-4</v>
      </c>
      <c r="P1856">
        <f t="shared" si="225"/>
        <v>-0.74729883832007293</v>
      </c>
      <c r="Q1856">
        <f t="shared" si="226"/>
        <v>98.524782009186751</v>
      </c>
      <c r="R1856">
        <f t="shared" si="227"/>
        <v>-0.74748986544241569</v>
      </c>
      <c r="S1856">
        <f t="shared" si="228"/>
        <v>0.45485950007005715</v>
      </c>
      <c r="T1856">
        <f t="shared" si="229"/>
        <v>2.0717991394042799E-4</v>
      </c>
      <c r="U1856">
        <f t="shared" si="230"/>
        <v>-2.0353489850869988E-2</v>
      </c>
    </row>
    <row r="1857" spans="10:21" x14ac:dyDescent="0.35">
      <c r="J1857">
        <f t="shared" si="231"/>
        <v>1854</v>
      </c>
      <c r="K1857">
        <f>demanda!D1855</f>
        <v>1</v>
      </c>
      <c r="L1857">
        <f>demanda!I1855</f>
        <v>12</v>
      </c>
      <c r="M1857">
        <v>11.786175589530247</v>
      </c>
      <c r="N1857">
        <f t="shared" si="224"/>
        <v>0.21382441046975309</v>
      </c>
      <c r="O1857">
        <v>5.2058796926701797E-4</v>
      </c>
      <c r="P1857">
        <f t="shared" si="225"/>
        <v>2.1544403735982532E-2</v>
      </c>
      <c r="Q1857">
        <f t="shared" si="226"/>
        <v>98.55345985083423</v>
      </c>
      <c r="R1857">
        <f t="shared" si="227"/>
        <v>2.1544400773202785E-2</v>
      </c>
      <c r="S1857">
        <f t="shared" si="228"/>
        <v>0.98281362479024093</v>
      </c>
      <c r="T1857">
        <f t="shared" si="229"/>
        <v>1.2094429421903031E-7</v>
      </c>
      <c r="U1857">
        <f t="shared" si="230"/>
        <v>4.9169360139701592E-4</v>
      </c>
    </row>
    <row r="1858" spans="10:21" x14ac:dyDescent="0.35">
      <c r="J1858">
        <f t="shared" si="231"/>
        <v>1855</v>
      </c>
      <c r="K1858">
        <f>demanda!D1856</f>
        <v>0</v>
      </c>
      <c r="L1858">
        <f>demanda!I1856</f>
        <v>37</v>
      </c>
      <c r="M1858">
        <v>14.416809279416043</v>
      </c>
      <c r="N1858">
        <f t="shared" si="224"/>
        <v>22.583190720583957</v>
      </c>
      <c r="O1858">
        <v>7.4087557083441532E-4</v>
      </c>
      <c r="P1858">
        <f t="shared" si="225"/>
        <v>2.2754248566011115</v>
      </c>
      <c r="Q1858">
        <f t="shared" si="226"/>
        <v>98.287384310954877</v>
      </c>
      <c r="R1858">
        <f t="shared" si="227"/>
        <v>2.2787535185019636</v>
      </c>
      <c r="S1858">
        <f t="shared" si="228"/>
        <v>2.2791143982754013E-2</v>
      </c>
      <c r="T1858">
        <f t="shared" si="229"/>
        <v>1.9208083279927454E-3</v>
      </c>
      <c r="U1858">
        <f t="shared" si="230"/>
        <v>6.2048448755907586E-2</v>
      </c>
    </row>
    <row r="1859" spans="10:21" x14ac:dyDescent="0.35">
      <c r="J1859">
        <f t="shared" si="231"/>
        <v>1856</v>
      </c>
      <c r="K1859">
        <f>demanda!D1857</f>
        <v>1</v>
      </c>
      <c r="L1859">
        <f>demanda!I1857</f>
        <v>4</v>
      </c>
      <c r="M1859">
        <v>11.786175589530247</v>
      </c>
      <c r="N1859">
        <f t="shared" si="224"/>
        <v>-7.7861755895302469</v>
      </c>
      <c r="O1859">
        <v>5.2058796926701797E-4</v>
      </c>
      <c r="P1859">
        <f t="shared" si="225"/>
        <v>-0.7845152482429999</v>
      </c>
      <c r="Q1859">
        <f t="shared" si="226"/>
        <v>98.52185903620547</v>
      </c>
      <c r="R1859">
        <f t="shared" si="227"/>
        <v>-0.784640946599786</v>
      </c>
      <c r="S1859">
        <f t="shared" si="228"/>
        <v>0.43276096337473069</v>
      </c>
      <c r="T1859">
        <f t="shared" si="229"/>
        <v>1.6036855085321727E-4</v>
      </c>
      <c r="U1859">
        <f t="shared" si="230"/>
        <v>-1.7907341071981879E-2</v>
      </c>
    </row>
    <row r="1860" spans="10:21" x14ac:dyDescent="0.35">
      <c r="J1860">
        <f t="shared" si="231"/>
        <v>1857</v>
      </c>
      <c r="K1860">
        <f>demanda!D1858</f>
        <v>4</v>
      </c>
      <c r="L1860">
        <f>demanda!I1858</f>
        <v>2</v>
      </c>
      <c r="M1860">
        <v>3.8942745198728588</v>
      </c>
      <c r="N1860">
        <f t="shared" si="224"/>
        <v>-1.8942745198728588</v>
      </c>
      <c r="O1860">
        <v>2.4466175697261316E-3</v>
      </c>
      <c r="P1860">
        <f t="shared" si="225"/>
        <v>-0.19086228253017132</v>
      </c>
      <c r="Q1860">
        <f t="shared" si="226"/>
        <v>98.551608270054842</v>
      </c>
      <c r="R1860">
        <f t="shared" si="227"/>
        <v>-0.19104821608300357</v>
      </c>
      <c r="S1860">
        <f t="shared" si="228"/>
        <v>0.84850802764464628</v>
      </c>
      <c r="T1860">
        <f t="shared" si="229"/>
        <v>4.4782056131641625E-5</v>
      </c>
      <c r="U1860">
        <f t="shared" si="230"/>
        <v>-9.4614556750527434E-3</v>
      </c>
    </row>
    <row r="1861" spans="10:21" x14ac:dyDescent="0.35">
      <c r="J1861">
        <f t="shared" si="231"/>
        <v>1858</v>
      </c>
      <c r="K1861">
        <f>demanda!D1859</f>
        <v>1</v>
      </c>
      <c r="L1861">
        <f>demanda!I1859</f>
        <v>4</v>
      </c>
      <c r="M1861">
        <v>11.786175589530247</v>
      </c>
      <c r="N1861">
        <f t="shared" ref="N1861:N1924" si="232">L1861-M1861</f>
        <v>-7.7861755895302469</v>
      </c>
      <c r="O1861">
        <v>5.2058796926701797E-4</v>
      </c>
      <c r="P1861">
        <f t="shared" ref="P1861:P1924" si="233">N1861/SQRT($X$6)</f>
        <v>-0.7845152482429999</v>
      </c>
      <c r="Q1861">
        <f t="shared" ref="Q1861:Q1924" si="234">($X$6-N1861^2/((1-O1861)*$X$5))*$X$5/($X$5-1)</f>
        <v>98.52185903620547</v>
      </c>
      <c r="R1861">
        <f t="shared" ref="R1861:R1924" si="235">N1861/SQRT(Q1861*(1-O1861))</f>
        <v>-0.784640946599786</v>
      </c>
      <c r="S1861">
        <f t="shared" ref="S1861:S1924" si="236">_xlfn.T.DIST.2T(ABS(R1861),$X$5)</f>
        <v>0.43276096337473069</v>
      </c>
      <c r="T1861">
        <f t="shared" ref="T1861:T1924" si="237">(N1861^2/$X$6)*(O1861/(1-O1861)^2)/($X$7+1)</f>
        <v>1.6036855085321727E-4</v>
      </c>
      <c r="U1861">
        <f t="shared" ref="U1861:U1924" si="238">R1861*SQRT(O1861/(1-O1861))</f>
        <v>-1.7907341071981879E-2</v>
      </c>
    </row>
    <row r="1862" spans="10:21" x14ac:dyDescent="0.35">
      <c r="J1862">
        <f t="shared" ref="J1862:J1924" si="239">J1861+1</f>
        <v>1859</v>
      </c>
      <c r="K1862">
        <f>demanda!D1860</f>
        <v>0</v>
      </c>
      <c r="L1862">
        <f>demanda!I1860</f>
        <v>2</v>
      </c>
      <c r="M1862">
        <v>14.416809279416043</v>
      </c>
      <c r="N1862">
        <f t="shared" si="232"/>
        <v>-12.416809279416043</v>
      </c>
      <c r="O1862">
        <v>7.4087557083441532E-4</v>
      </c>
      <c r="P1862">
        <f t="shared" si="233"/>
        <v>-1.2510861208069368</v>
      </c>
      <c r="Q1862">
        <f t="shared" si="234"/>
        <v>98.473039768058015</v>
      </c>
      <c r="R1862">
        <f t="shared" si="235"/>
        <v>-1.2517346575747474</v>
      </c>
      <c r="S1862">
        <f t="shared" si="236"/>
        <v>0.21081911987933932</v>
      </c>
      <c r="T1862">
        <f t="shared" si="237"/>
        <v>5.8067542491350977E-4</v>
      </c>
      <c r="U1862">
        <f t="shared" si="238"/>
        <v>-3.4083630864815417E-2</v>
      </c>
    </row>
    <row r="1863" spans="10:21" x14ac:dyDescent="0.35">
      <c r="J1863">
        <f t="shared" si="239"/>
        <v>1860</v>
      </c>
      <c r="K1863">
        <f>demanda!D1861</f>
        <v>0</v>
      </c>
      <c r="L1863">
        <f>demanda!I1861</f>
        <v>14</v>
      </c>
      <c r="M1863">
        <v>14.416809279416043</v>
      </c>
      <c r="N1863">
        <f t="shared" si="232"/>
        <v>-0.41680927941604295</v>
      </c>
      <c r="O1863">
        <v>7.4087557083441532E-4</v>
      </c>
      <c r="P1863">
        <f t="shared" si="233"/>
        <v>-4.1996642838463258E-2</v>
      </c>
      <c r="Q1863">
        <f t="shared" si="234"/>
        <v>98.553393055166637</v>
      </c>
      <c r="R1863">
        <f t="shared" si="235"/>
        <v>-4.2001280140228352E-2</v>
      </c>
      <c r="S1863">
        <f t="shared" si="236"/>
        <v>0.96650204701357412</v>
      </c>
      <c r="T1863">
        <f t="shared" si="237"/>
        <v>6.5431696937827154E-7</v>
      </c>
      <c r="U1863">
        <f t="shared" si="238"/>
        <v>-1.1436578187608104E-3</v>
      </c>
    </row>
    <row r="1864" spans="10:21" x14ac:dyDescent="0.35">
      <c r="J1864">
        <f t="shared" si="239"/>
        <v>1861</v>
      </c>
      <c r="K1864">
        <f>demanda!D1862</f>
        <v>2</v>
      </c>
      <c r="L1864">
        <f>demanda!I1862</f>
        <v>3</v>
      </c>
      <c r="M1864">
        <v>9.1555418996444509</v>
      </c>
      <c r="N1864">
        <f t="shared" si="232"/>
        <v>-6.1555418996444509</v>
      </c>
      <c r="O1864">
        <v>7.3144910189317154E-4</v>
      </c>
      <c r="P1864">
        <f t="shared" si="233"/>
        <v>-0.62021674517118131</v>
      </c>
      <c r="Q1864">
        <f t="shared" si="234"/>
        <v>98.533713924458709</v>
      </c>
      <c r="R1864">
        <f t="shared" si="235"/>
        <v>-0.62034424251421916</v>
      </c>
      <c r="S1864">
        <f t="shared" si="236"/>
        <v>0.53510483257501296</v>
      </c>
      <c r="T1864">
        <f t="shared" si="237"/>
        <v>1.4088885884323287E-4</v>
      </c>
      <c r="U1864">
        <f t="shared" si="238"/>
        <v>-1.6783545165498539E-2</v>
      </c>
    </row>
    <row r="1865" spans="10:21" x14ac:dyDescent="0.35">
      <c r="J1865">
        <f t="shared" si="239"/>
        <v>1862</v>
      </c>
      <c r="K1865">
        <f>demanda!D1863</f>
        <v>3</v>
      </c>
      <c r="L1865">
        <f>demanda!I1863</f>
        <v>3</v>
      </c>
      <c r="M1865">
        <v>6.5249082097586548</v>
      </c>
      <c r="N1865">
        <f t="shared" si="232"/>
        <v>-3.5249082097586548</v>
      </c>
      <c r="O1865">
        <v>1.3734589687128761E-3</v>
      </c>
      <c r="P1865">
        <f t="shared" si="233"/>
        <v>-0.35516078560198994</v>
      </c>
      <c r="Q1865">
        <f t="shared" si="234"/>
        <v>98.546996700749531</v>
      </c>
      <c r="R1865">
        <f t="shared" si="235"/>
        <v>-0.35532401713098288</v>
      </c>
      <c r="S1865">
        <f t="shared" si="236"/>
        <v>0.72238591463660118</v>
      </c>
      <c r="T1865">
        <f t="shared" si="237"/>
        <v>8.6861935283639592E-5</v>
      </c>
      <c r="U1865">
        <f t="shared" si="238"/>
        <v>-1.3177434192717408E-2</v>
      </c>
    </row>
    <row r="1866" spans="10:21" x14ac:dyDescent="0.35">
      <c r="J1866">
        <f t="shared" si="239"/>
        <v>1863</v>
      </c>
      <c r="K1866">
        <f>demanda!D1864</f>
        <v>0</v>
      </c>
      <c r="L1866">
        <f>demanda!I1864</f>
        <v>9</v>
      </c>
      <c r="M1866">
        <v>14.416809279416043</v>
      </c>
      <c r="N1866">
        <f t="shared" si="232"/>
        <v>-5.416809279416043</v>
      </c>
      <c r="O1866">
        <v>7.4087557083441532E-4</v>
      </c>
      <c r="P1866">
        <f t="shared" si="233"/>
        <v>-0.54578392532532727</v>
      </c>
      <c r="Q1866">
        <f t="shared" si="234"/>
        <v>98.538174223704843</v>
      </c>
      <c r="R1866">
        <f t="shared" si="235"/>
        <v>-0.54588634131956315</v>
      </c>
      <c r="S1866">
        <f t="shared" si="236"/>
        <v>0.58520751823074413</v>
      </c>
      <c r="T1866">
        <f t="shared" si="237"/>
        <v>1.1050972928307278E-4</v>
      </c>
      <c r="U1866">
        <f t="shared" si="238"/>
        <v>-1.4864003676090257E-2</v>
      </c>
    </row>
    <row r="1867" spans="10:21" x14ac:dyDescent="0.35">
      <c r="J1867">
        <f t="shared" si="239"/>
        <v>1864</v>
      </c>
      <c r="K1867">
        <f>demanda!D1865</f>
        <v>5</v>
      </c>
      <c r="L1867">
        <f>demanda!I1865</f>
        <v>4</v>
      </c>
      <c r="M1867">
        <v>1.2636408299870627</v>
      </c>
      <c r="N1867">
        <f t="shared" si="232"/>
        <v>2.7363591700129373</v>
      </c>
      <c r="O1867">
        <v>3.9509249049329382E-3</v>
      </c>
      <c r="P1867">
        <f t="shared" si="233"/>
        <v>0.27570859003376569</v>
      </c>
      <c r="Q1867">
        <f t="shared" si="234"/>
        <v>98.549564325626974</v>
      </c>
      <c r="R1867">
        <f t="shared" si="235"/>
        <v>0.27618836492875143</v>
      </c>
      <c r="S1867">
        <f t="shared" si="236"/>
        <v>0.78243313331472275</v>
      </c>
      <c r="T1867">
        <f t="shared" si="237"/>
        <v>1.513588784422617E-4</v>
      </c>
      <c r="U1867">
        <f t="shared" si="238"/>
        <v>1.7394598075820691E-2</v>
      </c>
    </row>
    <row r="1868" spans="10:21" x14ac:dyDescent="0.35">
      <c r="J1868">
        <f t="shared" si="239"/>
        <v>1865</v>
      </c>
      <c r="K1868">
        <f>demanda!D1866</f>
        <v>0</v>
      </c>
      <c r="L1868">
        <f>demanda!I1866</f>
        <v>9</v>
      </c>
      <c r="M1868">
        <v>14.416809279416043</v>
      </c>
      <c r="N1868">
        <f t="shared" si="232"/>
        <v>-5.416809279416043</v>
      </c>
      <c r="O1868">
        <v>7.4087557083441532E-4</v>
      </c>
      <c r="P1868">
        <f t="shared" si="233"/>
        <v>-0.54578392532532727</v>
      </c>
      <c r="Q1868">
        <f t="shared" si="234"/>
        <v>98.538174223704843</v>
      </c>
      <c r="R1868">
        <f t="shared" si="235"/>
        <v>-0.54588634131956315</v>
      </c>
      <c r="S1868">
        <f t="shared" si="236"/>
        <v>0.58520751823074413</v>
      </c>
      <c r="T1868">
        <f t="shared" si="237"/>
        <v>1.1050972928307278E-4</v>
      </c>
      <c r="U1868">
        <f t="shared" si="238"/>
        <v>-1.4864003676090257E-2</v>
      </c>
    </row>
    <row r="1869" spans="10:21" x14ac:dyDescent="0.35">
      <c r="J1869">
        <f t="shared" si="239"/>
        <v>1866</v>
      </c>
      <c r="K1869">
        <f>demanda!D1867</f>
        <v>0</v>
      </c>
      <c r="L1869">
        <f>demanda!I1867</f>
        <v>10</v>
      </c>
      <c r="M1869">
        <v>14.416809279416043</v>
      </c>
      <c r="N1869">
        <f t="shared" si="232"/>
        <v>-4.416809279416043</v>
      </c>
      <c r="O1869">
        <v>7.4087557083441532E-4</v>
      </c>
      <c r="P1869">
        <f t="shared" si="233"/>
        <v>-0.44502646882795449</v>
      </c>
      <c r="Q1869">
        <f t="shared" si="234"/>
        <v>98.543305041978172</v>
      </c>
      <c r="R1869">
        <f t="shared" si="235"/>
        <v>-0.44509838991165818</v>
      </c>
      <c r="S1869">
        <f t="shared" si="236"/>
        <v>0.65629885256814913</v>
      </c>
      <c r="T1869">
        <f t="shared" si="237"/>
        <v>7.3473498325511761E-5</v>
      </c>
      <c r="U1869">
        <f t="shared" si="238"/>
        <v>-1.2119636640616644E-2</v>
      </c>
    </row>
    <row r="1870" spans="10:21" x14ac:dyDescent="0.35">
      <c r="J1870">
        <f t="shared" si="239"/>
        <v>1867</v>
      </c>
      <c r="K1870">
        <f>demanda!D1868</f>
        <v>0</v>
      </c>
      <c r="L1870">
        <f>demanda!I1868</f>
        <v>21</v>
      </c>
      <c r="M1870">
        <v>14.416809279416043</v>
      </c>
      <c r="N1870">
        <f t="shared" si="232"/>
        <v>6.583190720583957</v>
      </c>
      <c r="O1870">
        <v>7.4087557083441532E-4</v>
      </c>
      <c r="P1870">
        <f t="shared" si="233"/>
        <v>0.66330555264314639</v>
      </c>
      <c r="Q1870">
        <f t="shared" si="234"/>
        <v>98.530871327612786</v>
      </c>
      <c r="R1870">
        <f t="shared" si="235"/>
        <v>0.66345460704039183</v>
      </c>
      <c r="S1870">
        <f t="shared" si="236"/>
        <v>0.507119133075143</v>
      </c>
      <c r="T1870">
        <f t="shared" si="237"/>
        <v>1.6322485812147056E-4</v>
      </c>
      <c r="U1870">
        <f t="shared" si="238"/>
        <v>1.8065283872333419E-2</v>
      </c>
    </row>
    <row r="1871" spans="10:21" x14ac:dyDescent="0.35">
      <c r="J1871">
        <f t="shared" si="239"/>
        <v>1868</v>
      </c>
      <c r="K1871">
        <f>demanda!D1869</f>
        <v>0</v>
      </c>
      <c r="L1871">
        <f>demanda!I1869</f>
        <v>65</v>
      </c>
      <c r="M1871">
        <v>14.416809279416043</v>
      </c>
      <c r="N1871">
        <f t="shared" si="232"/>
        <v>50.583190720583957</v>
      </c>
      <c r="O1871">
        <v>7.4087557083441532E-4</v>
      </c>
      <c r="P1871">
        <f t="shared" si="233"/>
        <v>5.0966336385275497</v>
      </c>
      <c r="Q1871">
        <f t="shared" si="234"/>
        <v>97.218470021665269</v>
      </c>
      <c r="R1871">
        <f t="shared" si="235"/>
        <v>5.1320723264128647</v>
      </c>
      <c r="S1871">
        <f t="shared" si="236"/>
        <v>3.1552902982263013E-7</v>
      </c>
      <c r="T1871">
        <f t="shared" si="237"/>
        <v>9.6366451366726915E-3</v>
      </c>
      <c r="U1871">
        <f t="shared" si="238"/>
        <v>0.13974180365341943</v>
      </c>
    </row>
    <row r="1872" spans="10:21" x14ac:dyDescent="0.35">
      <c r="J1872">
        <f t="shared" si="239"/>
        <v>1869</v>
      </c>
      <c r="K1872">
        <f>demanda!D1870</f>
        <v>0</v>
      </c>
      <c r="L1872">
        <f>demanda!I1870</f>
        <v>25</v>
      </c>
      <c r="M1872">
        <v>14.416809279416043</v>
      </c>
      <c r="N1872">
        <f t="shared" si="232"/>
        <v>10.583190720583957</v>
      </c>
      <c r="O1872">
        <v>7.4087557083441532E-4</v>
      </c>
      <c r="P1872">
        <f t="shared" si="233"/>
        <v>1.0663353786326375</v>
      </c>
      <c r="Q1872">
        <f t="shared" si="234"/>
        <v>98.49504419721994</v>
      </c>
      <c r="R1872">
        <f t="shared" si="235"/>
        <v>1.0667689629874253</v>
      </c>
      <c r="S1872">
        <f t="shared" si="236"/>
        <v>0.28621036416391138</v>
      </c>
      <c r="T1872">
        <f t="shared" si="237"/>
        <v>4.2183894365142377E-4</v>
      </c>
      <c r="U1872">
        <f t="shared" si="238"/>
        <v>2.9047178115969151E-2</v>
      </c>
    </row>
    <row r="1873" spans="10:21" x14ac:dyDescent="0.35">
      <c r="J1873">
        <f t="shared" si="239"/>
        <v>1870</v>
      </c>
      <c r="K1873">
        <f>demanda!D1871</f>
        <v>0</v>
      </c>
      <c r="L1873">
        <f>demanda!I1871</f>
        <v>27</v>
      </c>
      <c r="M1873">
        <v>14.416809279416043</v>
      </c>
      <c r="N1873">
        <f t="shared" si="232"/>
        <v>12.583190720583957</v>
      </c>
      <c r="O1873">
        <v>7.4087557083441532E-4</v>
      </c>
      <c r="P1873">
        <f t="shared" si="233"/>
        <v>1.2678502916273833</v>
      </c>
      <c r="Q1873">
        <f t="shared" si="234"/>
        <v>98.470869476080594</v>
      </c>
      <c r="R1873">
        <f t="shared" si="235"/>
        <v>1.2685214974265175</v>
      </c>
      <c r="S1873">
        <f t="shared" si="236"/>
        <v>0.20476563644072704</v>
      </c>
      <c r="T1873">
        <f t="shared" si="237"/>
        <v>5.9634143190086687E-4</v>
      </c>
      <c r="U1873">
        <f t="shared" si="238"/>
        <v>3.454072171025311E-2</v>
      </c>
    </row>
    <row r="1874" spans="10:21" x14ac:dyDescent="0.35">
      <c r="J1874">
        <f t="shared" si="239"/>
        <v>1871</v>
      </c>
      <c r="K1874">
        <f>demanda!D1872</f>
        <v>0</v>
      </c>
      <c r="L1874">
        <f>demanda!I1872</f>
        <v>17</v>
      </c>
      <c r="M1874">
        <v>14.416809279416043</v>
      </c>
      <c r="N1874">
        <f t="shared" si="232"/>
        <v>2.583190720583957</v>
      </c>
      <c r="O1874">
        <v>7.4087557083441532E-4</v>
      </c>
      <c r="P1874">
        <f t="shared" si="233"/>
        <v>0.26027572665365517</v>
      </c>
      <c r="Q1874">
        <f t="shared" si="234"/>
        <v>98.550002042157871</v>
      </c>
      <c r="R1874">
        <f t="shared" si="235"/>
        <v>0.26030894487816103</v>
      </c>
      <c r="S1874">
        <f t="shared" si="236"/>
        <v>0.79465340036911658</v>
      </c>
      <c r="T1874">
        <f t="shared" si="237"/>
        <v>2.5131960550094309E-5</v>
      </c>
      <c r="U1874">
        <f t="shared" si="238"/>
        <v>7.0879830116927275E-3</v>
      </c>
    </row>
    <row r="1875" spans="10:21" x14ac:dyDescent="0.35">
      <c r="J1875">
        <f t="shared" si="239"/>
        <v>1872</v>
      </c>
      <c r="K1875">
        <f>demanda!D1873</f>
        <v>0</v>
      </c>
      <c r="L1875">
        <f>demanda!I1873</f>
        <v>77</v>
      </c>
      <c r="M1875">
        <v>14.416809279416043</v>
      </c>
      <c r="N1875">
        <f t="shared" si="232"/>
        <v>62.583190720583957</v>
      </c>
      <c r="O1875">
        <v>7.4087557083441532E-4</v>
      </c>
      <c r="P1875">
        <f t="shared" si="233"/>
        <v>6.3057231164960239</v>
      </c>
      <c r="Q1875">
        <f t="shared" si="234"/>
        <v>96.509917659967769</v>
      </c>
      <c r="R1875">
        <f t="shared" si="235"/>
        <v>6.3728349005358673</v>
      </c>
      <c r="S1875">
        <f t="shared" si="236"/>
        <v>2.3175172545503594E-10</v>
      </c>
      <c r="T1875">
        <f t="shared" si="237"/>
        <v>1.4751250159771323E-2</v>
      </c>
      <c r="U1875">
        <f t="shared" si="238"/>
        <v>0.17352667436173985</v>
      </c>
    </row>
    <row r="1876" spans="10:21" x14ac:dyDescent="0.35">
      <c r="J1876">
        <f t="shared" si="239"/>
        <v>1873</v>
      </c>
      <c r="K1876">
        <f>demanda!D1874</f>
        <v>1</v>
      </c>
      <c r="L1876">
        <f>demanda!I1874</f>
        <v>24</v>
      </c>
      <c r="M1876">
        <v>11.786175589530247</v>
      </c>
      <c r="N1876">
        <f t="shared" si="232"/>
        <v>12.213824410469753</v>
      </c>
      <c r="O1876">
        <v>5.2058796926701797E-4</v>
      </c>
      <c r="P1876">
        <f t="shared" si="233"/>
        <v>1.2306338817044562</v>
      </c>
      <c r="Q1876">
        <f t="shared" si="234"/>
        <v>98.475665553387771</v>
      </c>
      <c r="R1876">
        <f t="shared" si="235"/>
        <v>1.2311197075839402</v>
      </c>
      <c r="S1876">
        <f t="shared" si="236"/>
        <v>0.21842895613878141</v>
      </c>
      <c r="T1876">
        <f t="shared" si="237"/>
        <v>3.9461552034181306E-4</v>
      </c>
      <c r="U1876">
        <f t="shared" si="238"/>
        <v>2.8097030367431282E-2</v>
      </c>
    </row>
    <row r="1877" spans="10:21" x14ac:dyDescent="0.35">
      <c r="J1877">
        <f t="shared" si="239"/>
        <v>1874</v>
      </c>
      <c r="K1877">
        <f>demanda!D1875</f>
        <v>0</v>
      </c>
      <c r="L1877">
        <f>demanda!I1875</f>
        <v>4</v>
      </c>
      <c r="M1877">
        <v>14.416809279416043</v>
      </c>
      <c r="N1877">
        <f t="shared" si="232"/>
        <v>-10.416809279416043</v>
      </c>
      <c r="O1877">
        <v>7.4087557083441532E-4</v>
      </c>
      <c r="P1877">
        <f t="shared" si="233"/>
        <v>-1.0495712078121913</v>
      </c>
      <c r="Q1877">
        <f t="shared" si="234"/>
        <v>98.49686724248096</v>
      </c>
      <c r="R1877">
        <f t="shared" si="235"/>
        <v>-1.049988258586362</v>
      </c>
      <c r="S1877">
        <f t="shared" si="236"/>
        <v>0.29385572056513598</v>
      </c>
      <c r="T1877">
        <f t="shared" si="237"/>
        <v>4.0867949778204384E-4</v>
      </c>
      <c r="U1877">
        <f t="shared" si="238"/>
        <v>-2.8590254333443563E-2</v>
      </c>
    </row>
    <row r="1878" spans="10:21" x14ac:dyDescent="0.35">
      <c r="J1878">
        <f t="shared" si="239"/>
        <v>1875</v>
      </c>
      <c r="K1878">
        <f>demanda!D1876</f>
        <v>2</v>
      </c>
      <c r="L1878">
        <f>demanda!I1876</f>
        <v>4</v>
      </c>
      <c r="M1878">
        <v>9.1555418996444509</v>
      </c>
      <c r="N1878">
        <f t="shared" si="232"/>
        <v>-5.1555418996444509</v>
      </c>
      <c r="O1878">
        <v>7.3144910189317154E-4</v>
      </c>
      <c r="P1878">
        <f t="shared" si="233"/>
        <v>-0.51945928867380853</v>
      </c>
      <c r="Q1878">
        <f t="shared" si="234"/>
        <v>98.539615573748293</v>
      </c>
      <c r="R1878">
        <f t="shared" si="235"/>
        <v>-0.51955051447259837</v>
      </c>
      <c r="S1878">
        <f t="shared" si="236"/>
        <v>0.60343681513546954</v>
      </c>
      <c r="T1878">
        <f t="shared" si="237"/>
        <v>9.8830890695332879E-5</v>
      </c>
      <c r="U1878">
        <f t="shared" si="238"/>
        <v>-1.4056549457229766E-2</v>
      </c>
    </row>
    <row r="1879" spans="10:21" x14ac:dyDescent="0.35">
      <c r="J1879">
        <f t="shared" si="239"/>
        <v>1876</v>
      </c>
      <c r="K1879">
        <f>demanda!D1877</f>
        <v>1</v>
      </c>
      <c r="L1879">
        <f>demanda!I1877</f>
        <v>3</v>
      </c>
      <c r="M1879">
        <v>11.786175589530247</v>
      </c>
      <c r="N1879">
        <f t="shared" si="232"/>
        <v>-8.7861755895302469</v>
      </c>
      <c r="O1879">
        <v>5.2058796926701797E-4</v>
      </c>
      <c r="P1879">
        <f t="shared" si="233"/>
        <v>-0.88527270474037267</v>
      </c>
      <c r="Q1879">
        <f t="shared" si="234"/>
        <v>98.513214102399758</v>
      </c>
      <c r="R1879">
        <f t="shared" si="235"/>
        <v>-0.88545339538896362</v>
      </c>
      <c r="S1879">
        <f t="shared" si="236"/>
        <v>0.37602308055069167</v>
      </c>
      <c r="T1879">
        <f t="shared" si="237"/>
        <v>2.0420697614382047E-4</v>
      </c>
      <c r="U1879">
        <f t="shared" si="238"/>
        <v>-2.0208116875988336E-2</v>
      </c>
    </row>
    <row r="1880" spans="10:21" x14ac:dyDescent="0.35">
      <c r="J1880">
        <f t="shared" si="239"/>
        <v>1877</v>
      </c>
      <c r="K1880">
        <f>demanda!D1878</f>
        <v>0</v>
      </c>
      <c r="L1880">
        <f>demanda!I1878</f>
        <v>20</v>
      </c>
      <c r="M1880">
        <v>14.416809279416043</v>
      </c>
      <c r="N1880">
        <f t="shared" si="232"/>
        <v>5.583190720583957</v>
      </c>
      <c r="O1880">
        <v>7.4087557083441532E-4</v>
      </c>
      <c r="P1880">
        <f t="shared" si="233"/>
        <v>0.56254809614577361</v>
      </c>
      <c r="Q1880">
        <f t="shared" si="234"/>
        <v>98.537219295234792</v>
      </c>
      <c r="R1880">
        <f t="shared" si="235"/>
        <v>0.56265638426953379</v>
      </c>
      <c r="S1880">
        <f t="shared" si="236"/>
        <v>0.57373461200688847</v>
      </c>
      <c r="T1880">
        <f t="shared" si="237"/>
        <v>1.1740277235750991E-4</v>
      </c>
      <c r="U1880">
        <f t="shared" si="238"/>
        <v>1.5320637156704552E-2</v>
      </c>
    </row>
    <row r="1881" spans="10:21" x14ac:dyDescent="0.35">
      <c r="J1881">
        <f t="shared" si="239"/>
        <v>1878</v>
      </c>
      <c r="K1881">
        <f>demanda!D1879</f>
        <v>0</v>
      </c>
      <c r="L1881">
        <f>demanda!I1879</f>
        <v>5</v>
      </c>
      <c r="M1881">
        <v>14.416809279416043</v>
      </c>
      <c r="N1881">
        <f t="shared" si="232"/>
        <v>-9.416809279416043</v>
      </c>
      <c r="O1881">
        <v>7.4087557083441532E-4</v>
      </c>
      <c r="P1881">
        <f t="shared" si="233"/>
        <v>-0.94881375131481849</v>
      </c>
      <c r="Q1881">
        <f t="shared" si="234"/>
        <v>98.507215690706701</v>
      </c>
      <c r="R1881">
        <f t="shared" si="235"/>
        <v>-0.94914090693055775</v>
      </c>
      <c r="S1881">
        <f t="shared" si="236"/>
        <v>0.34266846368408377</v>
      </c>
      <c r="T1881">
        <f t="shared" si="237"/>
        <v>3.339803955874275E-4</v>
      </c>
      <c r="U1881">
        <f t="shared" si="238"/>
        <v>-2.5844269881602652E-2</v>
      </c>
    </row>
    <row r="1882" spans="10:21" x14ac:dyDescent="0.35">
      <c r="J1882">
        <f t="shared" si="239"/>
        <v>1879</v>
      </c>
      <c r="K1882">
        <f>demanda!D1880</f>
        <v>0</v>
      </c>
      <c r="L1882">
        <f>demanda!I1880</f>
        <v>4</v>
      </c>
      <c r="M1882">
        <v>14.416809279416043</v>
      </c>
      <c r="N1882">
        <f t="shared" si="232"/>
        <v>-10.416809279416043</v>
      </c>
      <c r="O1882">
        <v>7.4087557083441532E-4</v>
      </c>
      <c r="P1882">
        <f t="shared" si="233"/>
        <v>-1.0495712078121913</v>
      </c>
      <c r="Q1882">
        <f t="shared" si="234"/>
        <v>98.49686724248096</v>
      </c>
      <c r="R1882">
        <f t="shared" si="235"/>
        <v>-1.049988258586362</v>
      </c>
      <c r="S1882">
        <f t="shared" si="236"/>
        <v>0.29385572056513598</v>
      </c>
      <c r="T1882">
        <f t="shared" si="237"/>
        <v>4.0867949778204384E-4</v>
      </c>
      <c r="U1882">
        <f t="shared" si="238"/>
        <v>-2.8590254333443563E-2</v>
      </c>
    </row>
    <row r="1883" spans="10:21" x14ac:dyDescent="0.35">
      <c r="J1883">
        <f t="shared" si="239"/>
        <v>1880</v>
      </c>
      <c r="K1883">
        <f>demanda!D1881</f>
        <v>2</v>
      </c>
      <c r="L1883">
        <f>demanda!I1881</f>
        <v>7</v>
      </c>
      <c r="M1883">
        <v>9.1555418996444509</v>
      </c>
      <c r="N1883">
        <f t="shared" si="232"/>
        <v>-2.1555418996444509</v>
      </c>
      <c r="O1883">
        <v>7.3144910189317154E-4</v>
      </c>
      <c r="P1883">
        <f t="shared" si="233"/>
        <v>-0.21718691918169009</v>
      </c>
      <c r="Q1883">
        <f t="shared" si="234"/>
        <v>98.551059424737957</v>
      </c>
      <c r="R1883">
        <f t="shared" si="235"/>
        <v>-0.21721244829655789</v>
      </c>
      <c r="S1883">
        <f t="shared" si="236"/>
        <v>0.82806587463373482</v>
      </c>
      <c r="T1883">
        <f t="shared" si="237"/>
        <v>1.7276549392569864E-5</v>
      </c>
      <c r="U1883">
        <f t="shared" si="238"/>
        <v>-5.8767288976817314E-3</v>
      </c>
    </row>
    <row r="1884" spans="10:21" x14ac:dyDescent="0.35">
      <c r="J1884">
        <f t="shared" si="239"/>
        <v>1881</v>
      </c>
      <c r="K1884">
        <f>demanda!D1882</f>
        <v>2</v>
      </c>
      <c r="L1884">
        <f>demanda!I1882</f>
        <v>2</v>
      </c>
      <c r="M1884">
        <v>9.1555418996444509</v>
      </c>
      <c r="N1884">
        <f t="shared" si="232"/>
        <v>-7.1555418996444509</v>
      </c>
      <c r="O1884">
        <v>7.3144910189317154E-4</v>
      </c>
      <c r="P1884">
        <f t="shared" si="233"/>
        <v>-0.72097420166855408</v>
      </c>
      <c r="Q1884">
        <f t="shared" si="234"/>
        <v>98.526768759022602</v>
      </c>
      <c r="R1884">
        <f t="shared" si="235"/>
        <v>-0.72114782718324122</v>
      </c>
      <c r="S1884">
        <f t="shared" si="236"/>
        <v>0.47090641241117204</v>
      </c>
      <c r="T1884">
        <f t="shared" si="237"/>
        <v>1.9038342084795563E-4</v>
      </c>
      <c r="U1884">
        <f t="shared" si="238"/>
        <v>-1.9510807546913981E-2</v>
      </c>
    </row>
    <row r="1885" spans="10:21" x14ac:dyDescent="0.35">
      <c r="J1885">
        <f t="shared" si="239"/>
        <v>1882</v>
      </c>
      <c r="K1885">
        <f>demanda!D1883</f>
        <v>2</v>
      </c>
      <c r="L1885">
        <f>demanda!I1883</f>
        <v>5</v>
      </c>
      <c r="M1885">
        <v>9.1555418996444509</v>
      </c>
      <c r="N1885">
        <f t="shared" si="232"/>
        <v>-4.1555418996444509</v>
      </c>
      <c r="O1885">
        <v>7.3144910189317154E-4</v>
      </c>
      <c r="P1885">
        <f t="shared" si="233"/>
        <v>-0.4187018321764357</v>
      </c>
      <c r="Q1885">
        <f t="shared" si="234"/>
        <v>98.544473706891381</v>
      </c>
      <c r="R1885">
        <f t="shared" si="235"/>
        <v>-0.41876504056165376</v>
      </c>
      <c r="S1885">
        <f t="shared" si="236"/>
        <v>0.67543472022045181</v>
      </c>
      <c r="T1885">
        <f t="shared" si="237"/>
        <v>6.420951640425571E-5</v>
      </c>
      <c r="U1885">
        <f t="shared" si="238"/>
        <v>-1.1329777066218591E-2</v>
      </c>
    </row>
    <row r="1886" spans="10:21" x14ac:dyDescent="0.35">
      <c r="J1886">
        <f t="shared" si="239"/>
        <v>1883</v>
      </c>
      <c r="K1886">
        <f>demanda!D1884</f>
        <v>0</v>
      </c>
      <c r="L1886">
        <f>demanda!I1884</f>
        <v>7</v>
      </c>
      <c r="M1886">
        <v>14.416809279416043</v>
      </c>
      <c r="N1886">
        <f t="shared" si="232"/>
        <v>-7.416809279416043</v>
      </c>
      <c r="O1886">
        <v>7.4087557083441532E-4</v>
      </c>
      <c r="P1886">
        <f t="shared" si="233"/>
        <v>-0.74729883832007293</v>
      </c>
      <c r="Q1886">
        <f t="shared" si="234"/>
        <v>98.524782009186751</v>
      </c>
      <c r="R1886">
        <f t="shared" si="235"/>
        <v>-0.74748986544241569</v>
      </c>
      <c r="S1886">
        <f t="shared" si="236"/>
        <v>0.45485950007005715</v>
      </c>
      <c r="T1886">
        <f t="shared" si="237"/>
        <v>2.0717991394042799E-4</v>
      </c>
      <c r="U1886">
        <f t="shared" si="238"/>
        <v>-2.0353489850869988E-2</v>
      </c>
    </row>
    <row r="1887" spans="10:21" x14ac:dyDescent="0.35">
      <c r="J1887">
        <f t="shared" si="239"/>
        <v>1884</v>
      </c>
      <c r="K1887">
        <f>demanda!D1885</f>
        <v>0</v>
      </c>
      <c r="L1887">
        <f>demanda!I1885</f>
        <v>24</v>
      </c>
      <c r="M1887">
        <v>14.416809279416043</v>
      </c>
      <c r="N1887">
        <f t="shared" si="232"/>
        <v>9.583190720583957</v>
      </c>
      <c r="O1887">
        <v>7.4087557083441532E-4</v>
      </c>
      <c r="P1887">
        <f t="shared" si="233"/>
        <v>0.96557792213526483</v>
      </c>
      <c r="Q1887">
        <f t="shared" si="234"/>
        <v>98.505566268803875</v>
      </c>
      <c r="R1887">
        <f t="shared" si="235"/>
        <v>0.9659189449099983</v>
      </c>
      <c r="S1887">
        <f t="shared" si="236"/>
        <v>0.33420645107335933</v>
      </c>
      <c r="T1887">
        <f t="shared" si="237"/>
        <v>3.4588656089781892E-4</v>
      </c>
      <c r="U1887">
        <f t="shared" si="238"/>
        <v>2.6301121059818876E-2</v>
      </c>
    </row>
    <row r="1888" spans="10:21" x14ac:dyDescent="0.35">
      <c r="J1888">
        <f t="shared" si="239"/>
        <v>1885</v>
      </c>
      <c r="K1888">
        <f>demanda!D1886</f>
        <v>0</v>
      </c>
      <c r="L1888">
        <f>demanda!I1886</f>
        <v>14</v>
      </c>
      <c r="M1888">
        <v>14.416809279416043</v>
      </c>
      <c r="N1888">
        <f t="shared" si="232"/>
        <v>-0.41680927941604295</v>
      </c>
      <c r="O1888">
        <v>7.4087557083441532E-4</v>
      </c>
      <c r="P1888">
        <f t="shared" si="233"/>
        <v>-4.1996642838463258E-2</v>
      </c>
      <c r="Q1888">
        <f t="shared" si="234"/>
        <v>98.553393055166637</v>
      </c>
      <c r="R1888">
        <f t="shared" si="235"/>
        <v>-4.2001280140228352E-2</v>
      </c>
      <c r="S1888">
        <f t="shared" si="236"/>
        <v>0.96650204701357412</v>
      </c>
      <c r="T1888">
        <f t="shared" si="237"/>
        <v>6.5431696937827154E-7</v>
      </c>
      <c r="U1888">
        <f t="shared" si="238"/>
        <v>-1.1436578187608104E-3</v>
      </c>
    </row>
    <row r="1889" spans="10:21" x14ac:dyDescent="0.35">
      <c r="J1889">
        <f t="shared" si="239"/>
        <v>1886</v>
      </c>
      <c r="K1889">
        <f>demanda!D1887</f>
        <v>0</v>
      </c>
      <c r="L1889">
        <f>demanda!I1887</f>
        <v>7</v>
      </c>
      <c r="M1889">
        <v>14.416809279416043</v>
      </c>
      <c r="N1889">
        <f t="shared" si="232"/>
        <v>-7.416809279416043</v>
      </c>
      <c r="O1889">
        <v>7.4087557083441532E-4</v>
      </c>
      <c r="P1889">
        <f t="shared" si="233"/>
        <v>-0.74729883832007293</v>
      </c>
      <c r="Q1889">
        <f t="shared" si="234"/>
        <v>98.524782009186751</v>
      </c>
      <c r="R1889">
        <f t="shared" si="235"/>
        <v>-0.74748986544241569</v>
      </c>
      <c r="S1889">
        <f t="shared" si="236"/>
        <v>0.45485950007005715</v>
      </c>
      <c r="T1889">
        <f t="shared" si="237"/>
        <v>2.0717991394042799E-4</v>
      </c>
      <c r="U1889">
        <f t="shared" si="238"/>
        <v>-2.0353489850869988E-2</v>
      </c>
    </row>
    <row r="1890" spans="10:21" x14ac:dyDescent="0.35">
      <c r="J1890">
        <f t="shared" si="239"/>
        <v>1887</v>
      </c>
      <c r="K1890">
        <f>demanda!D1888</f>
        <v>0</v>
      </c>
      <c r="L1890">
        <f>demanda!I1888</f>
        <v>15</v>
      </c>
      <c r="M1890">
        <v>14.416809279416043</v>
      </c>
      <c r="N1890">
        <f t="shared" si="232"/>
        <v>0.58319072058395705</v>
      </c>
      <c r="O1890">
        <v>7.4087557083441532E-4</v>
      </c>
      <c r="P1890">
        <f t="shared" si="233"/>
        <v>5.8760813658909554E-2</v>
      </c>
      <c r="Q1890">
        <f t="shared" si="234"/>
        <v>98.553306243487526</v>
      </c>
      <c r="R1890">
        <f t="shared" si="235"/>
        <v>5.8767327956256402E-2</v>
      </c>
      <c r="S1890">
        <f t="shared" si="236"/>
        <v>0.95314355069247325</v>
      </c>
      <c r="T1890">
        <f t="shared" si="237"/>
        <v>1.2809572488725558E-6</v>
      </c>
      <c r="U1890">
        <f t="shared" si="238"/>
        <v>1.6001825154010173E-3</v>
      </c>
    </row>
    <row r="1891" spans="10:21" x14ac:dyDescent="0.35">
      <c r="J1891">
        <f t="shared" si="239"/>
        <v>1888</v>
      </c>
      <c r="K1891">
        <f>demanda!D1889</f>
        <v>3</v>
      </c>
      <c r="L1891">
        <f>demanda!I1889</f>
        <v>3</v>
      </c>
      <c r="M1891">
        <v>6.5249082097586548</v>
      </c>
      <c r="N1891">
        <f t="shared" si="232"/>
        <v>-3.5249082097586548</v>
      </c>
      <c r="O1891">
        <v>1.3734589687128761E-3</v>
      </c>
      <c r="P1891">
        <f t="shared" si="233"/>
        <v>-0.35516078560198994</v>
      </c>
      <c r="Q1891">
        <f t="shared" si="234"/>
        <v>98.546996700749531</v>
      </c>
      <c r="R1891">
        <f t="shared" si="235"/>
        <v>-0.35532401713098288</v>
      </c>
      <c r="S1891">
        <f t="shared" si="236"/>
        <v>0.72238591463660118</v>
      </c>
      <c r="T1891">
        <f t="shared" si="237"/>
        <v>8.6861935283639592E-5</v>
      </c>
      <c r="U1891">
        <f t="shared" si="238"/>
        <v>-1.3177434192717408E-2</v>
      </c>
    </row>
    <row r="1892" spans="10:21" x14ac:dyDescent="0.35">
      <c r="J1892">
        <f t="shared" si="239"/>
        <v>1889</v>
      </c>
      <c r="K1892">
        <f>demanda!D1890</f>
        <v>3</v>
      </c>
      <c r="L1892">
        <f>demanda!I1890</f>
        <v>3</v>
      </c>
      <c r="M1892">
        <v>6.5249082097586548</v>
      </c>
      <c r="N1892">
        <f t="shared" si="232"/>
        <v>-3.5249082097586548</v>
      </c>
      <c r="O1892">
        <v>1.3734589687128761E-3</v>
      </c>
      <c r="P1892">
        <f t="shared" si="233"/>
        <v>-0.35516078560198994</v>
      </c>
      <c r="Q1892">
        <f t="shared" si="234"/>
        <v>98.546996700749531</v>
      </c>
      <c r="R1892">
        <f t="shared" si="235"/>
        <v>-0.35532401713098288</v>
      </c>
      <c r="S1892">
        <f t="shared" si="236"/>
        <v>0.72238591463660118</v>
      </c>
      <c r="T1892">
        <f t="shared" si="237"/>
        <v>8.6861935283639592E-5</v>
      </c>
      <c r="U1892">
        <f t="shared" si="238"/>
        <v>-1.3177434192717408E-2</v>
      </c>
    </row>
    <row r="1893" spans="10:21" x14ac:dyDescent="0.35">
      <c r="J1893">
        <f t="shared" si="239"/>
        <v>1890</v>
      </c>
      <c r="K1893">
        <f>demanda!D1891</f>
        <v>0</v>
      </c>
      <c r="L1893">
        <f>demanda!I1891</f>
        <v>4</v>
      </c>
      <c r="M1893">
        <v>14.416809279416043</v>
      </c>
      <c r="N1893">
        <f t="shared" si="232"/>
        <v>-10.416809279416043</v>
      </c>
      <c r="O1893">
        <v>7.4087557083441532E-4</v>
      </c>
      <c r="P1893">
        <f t="shared" si="233"/>
        <v>-1.0495712078121913</v>
      </c>
      <c r="Q1893">
        <f t="shared" si="234"/>
        <v>98.49686724248096</v>
      </c>
      <c r="R1893">
        <f t="shared" si="235"/>
        <v>-1.049988258586362</v>
      </c>
      <c r="S1893">
        <f t="shared" si="236"/>
        <v>0.29385572056513598</v>
      </c>
      <c r="T1893">
        <f t="shared" si="237"/>
        <v>4.0867949778204384E-4</v>
      </c>
      <c r="U1893">
        <f t="shared" si="238"/>
        <v>-2.8590254333443563E-2</v>
      </c>
    </row>
    <row r="1894" spans="10:21" x14ac:dyDescent="0.35">
      <c r="J1894">
        <f t="shared" si="239"/>
        <v>1891</v>
      </c>
      <c r="K1894">
        <f>demanda!D1892</f>
        <v>0</v>
      </c>
      <c r="L1894">
        <f>demanda!I1892</f>
        <v>12</v>
      </c>
      <c r="M1894">
        <v>14.416809279416043</v>
      </c>
      <c r="N1894">
        <f t="shared" si="232"/>
        <v>-2.416809279416043</v>
      </c>
      <c r="O1894">
        <v>7.4087557083441532E-4</v>
      </c>
      <c r="P1894">
        <f t="shared" si="233"/>
        <v>-0.24351155583320885</v>
      </c>
      <c r="Q1894">
        <f t="shared" si="234"/>
        <v>98.55043610055337</v>
      </c>
      <c r="R1894">
        <f t="shared" si="235"/>
        <v>-0.24354209816225414</v>
      </c>
      <c r="S1894">
        <f t="shared" si="236"/>
        <v>0.80761150818210881</v>
      </c>
      <c r="T1894">
        <f t="shared" si="237"/>
        <v>2.199875915262289E-5</v>
      </c>
      <c r="U1894">
        <f t="shared" si="238"/>
        <v>-6.6314365617133417E-3</v>
      </c>
    </row>
    <row r="1895" spans="10:21" x14ac:dyDescent="0.35">
      <c r="J1895">
        <f t="shared" si="239"/>
        <v>1892</v>
      </c>
      <c r="K1895">
        <f>demanda!D1893</f>
        <v>3</v>
      </c>
      <c r="L1895">
        <f>demanda!I1893</f>
        <v>4</v>
      </c>
      <c r="M1895">
        <v>6.5249082097586548</v>
      </c>
      <c r="N1895">
        <f t="shared" si="232"/>
        <v>-2.5249082097586548</v>
      </c>
      <c r="O1895">
        <v>1.3734589687128761E-3</v>
      </c>
      <c r="P1895">
        <f t="shared" si="233"/>
        <v>-0.2544033291046171</v>
      </c>
      <c r="Q1895">
        <f t="shared" si="234"/>
        <v>98.550155270625524</v>
      </c>
      <c r="R1895">
        <f t="shared" si="235"/>
        <v>-0.25451617384299874</v>
      </c>
      <c r="S1895">
        <f t="shared" si="236"/>
        <v>0.79912408038987892</v>
      </c>
      <c r="T1895">
        <f t="shared" si="237"/>
        <v>4.4568197050885148E-5</v>
      </c>
      <c r="U1895">
        <f t="shared" si="238"/>
        <v>-9.4389063786870474E-3</v>
      </c>
    </row>
    <row r="1896" spans="10:21" x14ac:dyDescent="0.35">
      <c r="J1896">
        <f t="shared" si="239"/>
        <v>1893</v>
      </c>
      <c r="K1896">
        <f>demanda!D1894</f>
        <v>0</v>
      </c>
      <c r="L1896">
        <f>demanda!I1894</f>
        <v>7</v>
      </c>
      <c r="M1896">
        <v>14.416809279416043</v>
      </c>
      <c r="N1896">
        <f t="shared" si="232"/>
        <v>-7.416809279416043</v>
      </c>
      <c r="O1896">
        <v>7.4087557083441532E-4</v>
      </c>
      <c r="P1896">
        <f t="shared" si="233"/>
        <v>-0.74729883832007293</v>
      </c>
      <c r="Q1896">
        <f t="shared" si="234"/>
        <v>98.524782009186751</v>
      </c>
      <c r="R1896">
        <f t="shared" si="235"/>
        <v>-0.74748986544241569</v>
      </c>
      <c r="S1896">
        <f t="shared" si="236"/>
        <v>0.45485950007005715</v>
      </c>
      <c r="T1896">
        <f t="shared" si="237"/>
        <v>2.0717991394042799E-4</v>
      </c>
      <c r="U1896">
        <f t="shared" si="238"/>
        <v>-2.0353489850869988E-2</v>
      </c>
    </row>
    <row r="1897" spans="10:21" x14ac:dyDescent="0.35">
      <c r="J1897">
        <f t="shared" si="239"/>
        <v>1894</v>
      </c>
      <c r="K1897">
        <f>demanda!D1895</f>
        <v>1</v>
      </c>
      <c r="L1897">
        <f>demanda!I1895</f>
        <v>5</v>
      </c>
      <c r="M1897">
        <v>11.786175589530247</v>
      </c>
      <c r="N1897">
        <f t="shared" si="232"/>
        <v>-6.7861755895302469</v>
      </c>
      <c r="O1897">
        <v>5.2058796926701797E-4</v>
      </c>
      <c r="P1897">
        <f t="shared" si="233"/>
        <v>-0.68375779174562712</v>
      </c>
      <c r="Q1897">
        <f t="shared" si="234"/>
        <v>98.529460674016264</v>
      </c>
      <c r="R1897">
        <f t="shared" si="235"/>
        <v>-0.68384096531208116</v>
      </c>
      <c r="S1897">
        <f t="shared" si="236"/>
        <v>0.49415815943295716</v>
      </c>
      <c r="T1897">
        <f t="shared" si="237"/>
        <v>1.2182067544499816E-4</v>
      </c>
      <c r="U1897">
        <f t="shared" si="238"/>
        <v>-1.560684980551091E-2</v>
      </c>
    </row>
    <row r="1898" spans="10:21" x14ac:dyDescent="0.35">
      <c r="J1898">
        <f t="shared" si="239"/>
        <v>1895</v>
      </c>
      <c r="K1898">
        <f>demanda!D1896</f>
        <v>7</v>
      </c>
      <c r="L1898">
        <f>demanda!I1896</f>
        <v>4</v>
      </c>
      <c r="M1898">
        <v>-3.9976265497845276</v>
      </c>
      <c r="N1898">
        <f t="shared" si="232"/>
        <v>7.9976265497845276</v>
      </c>
      <c r="O1898">
        <v>8.2529857779272044E-3</v>
      </c>
      <c r="P1898">
        <f t="shared" si="233"/>
        <v>0.80582050917214831</v>
      </c>
      <c r="Q1898">
        <f t="shared" si="234"/>
        <v>98.519857892395308</v>
      </c>
      <c r="R1898">
        <f t="shared" si="235"/>
        <v>0.80909362936815232</v>
      </c>
      <c r="S1898">
        <f t="shared" si="236"/>
        <v>0.41856159350407873</v>
      </c>
      <c r="T1898">
        <f t="shared" si="237"/>
        <v>2.7243062757089306E-3</v>
      </c>
      <c r="U1898">
        <f t="shared" si="238"/>
        <v>7.3808075101744933E-2</v>
      </c>
    </row>
    <row r="1899" spans="10:21" x14ac:dyDescent="0.35">
      <c r="J1899">
        <f t="shared" si="239"/>
        <v>1896</v>
      </c>
      <c r="K1899">
        <f>demanda!D1897</f>
        <v>0</v>
      </c>
      <c r="L1899">
        <f>demanda!I1897</f>
        <v>15</v>
      </c>
      <c r="M1899">
        <v>14.416809279416043</v>
      </c>
      <c r="N1899">
        <f t="shared" si="232"/>
        <v>0.58319072058395705</v>
      </c>
      <c r="O1899">
        <v>7.4087557083441532E-4</v>
      </c>
      <c r="P1899">
        <f t="shared" si="233"/>
        <v>5.8760813658909554E-2</v>
      </c>
      <c r="Q1899">
        <f t="shared" si="234"/>
        <v>98.553306243487526</v>
      </c>
      <c r="R1899">
        <f t="shared" si="235"/>
        <v>5.8767327956256402E-2</v>
      </c>
      <c r="S1899">
        <f t="shared" si="236"/>
        <v>0.95314355069247325</v>
      </c>
      <c r="T1899">
        <f t="shared" si="237"/>
        <v>1.2809572488725558E-6</v>
      </c>
      <c r="U1899">
        <f t="shared" si="238"/>
        <v>1.6001825154010173E-3</v>
      </c>
    </row>
    <row r="1900" spans="10:21" x14ac:dyDescent="0.35">
      <c r="J1900">
        <f t="shared" si="239"/>
        <v>1897</v>
      </c>
      <c r="K1900">
        <f>demanda!D1898</f>
        <v>1</v>
      </c>
      <c r="L1900">
        <f>demanda!I1898</f>
        <v>14</v>
      </c>
      <c r="M1900">
        <v>11.786175589530247</v>
      </c>
      <c r="N1900">
        <f t="shared" si="232"/>
        <v>2.2138244104697531</v>
      </c>
      <c r="O1900">
        <v>5.2058796926701797E-4</v>
      </c>
      <c r="P1900">
        <f t="shared" si="233"/>
        <v>0.22305931673072815</v>
      </c>
      <c r="Q1900">
        <f t="shared" si="234"/>
        <v>98.550927094542288</v>
      </c>
      <c r="R1900">
        <f t="shared" si="235"/>
        <v>0.2230621523462217</v>
      </c>
      <c r="S1900">
        <f t="shared" si="236"/>
        <v>0.82351087455410243</v>
      </c>
      <c r="T1900">
        <f t="shared" si="237"/>
        <v>1.2964541478310422E-5</v>
      </c>
      <c r="U1900">
        <f t="shared" si="238"/>
        <v>5.0907998870362093E-3</v>
      </c>
    </row>
    <row r="1901" spans="10:21" x14ac:dyDescent="0.35">
      <c r="J1901">
        <f t="shared" si="239"/>
        <v>1898</v>
      </c>
      <c r="K1901">
        <f>demanda!D1899</f>
        <v>1</v>
      </c>
      <c r="L1901">
        <f>demanda!I1899</f>
        <v>9</v>
      </c>
      <c r="M1901">
        <v>11.786175589530247</v>
      </c>
      <c r="N1901">
        <f t="shared" si="232"/>
        <v>-2.7861755895302469</v>
      </c>
      <c r="O1901">
        <v>5.2058796926701797E-4</v>
      </c>
      <c r="P1901">
        <f t="shared" si="233"/>
        <v>-0.2807279657561359</v>
      </c>
      <c r="Q1901">
        <f t="shared" si="234"/>
        <v>98.549434265310296</v>
      </c>
      <c r="R1901">
        <f t="shared" si="235"/>
        <v>-0.2807336607336009</v>
      </c>
      <c r="S1901">
        <f t="shared" si="236"/>
        <v>0.77894495126310248</v>
      </c>
      <c r="T1901">
        <f t="shared" si="237"/>
        <v>2.0534672635962656E-5</v>
      </c>
      <c r="U1901">
        <f t="shared" si="238"/>
        <v>-6.4069985576559628E-3</v>
      </c>
    </row>
    <row r="1902" spans="10:21" x14ac:dyDescent="0.35">
      <c r="J1902">
        <f t="shared" si="239"/>
        <v>1899</v>
      </c>
      <c r="K1902">
        <f>demanda!D1900</f>
        <v>0</v>
      </c>
      <c r="L1902">
        <f>demanda!I1900</f>
        <v>15</v>
      </c>
      <c r="M1902">
        <v>14.416809279416043</v>
      </c>
      <c r="N1902">
        <f t="shared" si="232"/>
        <v>0.58319072058395705</v>
      </c>
      <c r="O1902">
        <v>7.4087557083441532E-4</v>
      </c>
      <c r="P1902">
        <f t="shared" si="233"/>
        <v>5.8760813658909554E-2</v>
      </c>
      <c r="Q1902">
        <f t="shared" si="234"/>
        <v>98.553306243487526</v>
      </c>
      <c r="R1902">
        <f t="shared" si="235"/>
        <v>5.8767327956256402E-2</v>
      </c>
      <c r="S1902">
        <f t="shared" si="236"/>
        <v>0.95314355069247325</v>
      </c>
      <c r="T1902">
        <f t="shared" si="237"/>
        <v>1.2809572488725558E-6</v>
      </c>
      <c r="U1902">
        <f t="shared" si="238"/>
        <v>1.6001825154010173E-3</v>
      </c>
    </row>
    <row r="1903" spans="10:21" x14ac:dyDescent="0.35">
      <c r="J1903">
        <f t="shared" si="239"/>
        <v>1900</v>
      </c>
      <c r="K1903">
        <f>demanda!D1901</f>
        <v>0</v>
      </c>
      <c r="L1903">
        <f>demanda!I1901</f>
        <v>15</v>
      </c>
      <c r="M1903">
        <v>14.416809279416043</v>
      </c>
      <c r="N1903">
        <f t="shared" si="232"/>
        <v>0.58319072058395705</v>
      </c>
      <c r="O1903">
        <v>7.4087557083441532E-4</v>
      </c>
      <c r="P1903">
        <f t="shared" si="233"/>
        <v>5.8760813658909554E-2</v>
      </c>
      <c r="Q1903">
        <f t="shared" si="234"/>
        <v>98.553306243487526</v>
      </c>
      <c r="R1903">
        <f t="shared" si="235"/>
        <v>5.8767327956256402E-2</v>
      </c>
      <c r="S1903">
        <f t="shared" si="236"/>
        <v>0.95314355069247325</v>
      </c>
      <c r="T1903">
        <f t="shared" si="237"/>
        <v>1.2809572488725558E-6</v>
      </c>
      <c r="U1903">
        <f t="shared" si="238"/>
        <v>1.6001825154010173E-3</v>
      </c>
    </row>
    <row r="1904" spans="10:21" x14ac:dyDescent="0.35">
      <c r="J1904">
        <f t="shared" si="239"/>
        <v>1901</v>
      </c>
      <c r="K1904">
        <f>demanda!D1902</f>
        <v>0</v>
      </c>
      <c r="L1904">
        <f>demanda!I1902</f>
        <v>15</v>
      </c>
      <c r="M1904">
        <v>14.416809279416043</v>
      </c>
      <c r="N1904">
        <f t="shared" si="232"/>
        <v>0.58319072058395705</v>
      </c>
      <c r="O1904">
        <v>7.4087557083441532E-4</v>
      </c>
      <c r="P1904">
        <f t="shared" si="233"/>
        <v>5.8760813658909554E-2</v>
      </c>
      <c r="Q1904">
        <f t="shared" si="234"/>
        <v>98.553306243487526</v>
      </c>
      <c r="R1904">
        <f t="shared" si="235"/>
        <v>5.8767327956256402E-2</v>
      </c>
      <c r="S1904">
        <f t="shared" si="236"/>
        <v>0.95314355069247325</v>
      </c>
      <c r="T1904">
        <f t="shared" si="237"/>
        <v>1.2809572488725558E-6</v>
      </c>
      <c r="U1904">
        <f t="shared" si="238"/>
        <v>1.6001825154010173E-3</v>
      </c>
    </row>
    <row r="1905" spans="10:21" x14ac:dyDescent="0.35">
      <c r="J1905">
        <f t="shared" si="239"/>
        <v>1902</v>
      </c>
      <c r="K1905">
        <f>demanda!D1903</f>
        <v>0</v>
      </c>
      <c r="L1905">
        <f>demanda!I1903</f>
        <v>15</v>
      </c>
      <c r="M1905">
        <v>14.416809279416043</v>
      </c>
      <c r="N1905">
        <f t="shared" si="232"/>
        <v>0.58319072058395705</v>
      </c>
      <c r="O1905">
        <v>7.4087557083441532E-4</v>
      </c>
      <c r="P1905">
        <f t="shared" si="233"/>
        <v>5.8760813658909554E-2</v>
      </c>
      <c r="Q1905">
        <f t="shared" si="234"/>
        <v>98.553306243487526</v>
      </c>
      <c r="R1905">
        <f t="shared" si="235"/>
        <v>5.8767327956256402E-2</v>
      </c>
      <c r="S1905">
        <f t="shared" si="236"/>
        <v>0.95314355069247325</v>
      </c>
      <c r="T1905">
        <f t="shared" si="237"/>
        <v>1.2809572488725558E-6</v>
      </c>
      <c r="U1905">
        <f t="shared" si="238"/>
        <v>1.6001825154010173E-3</v>
      </c>
    </row>
    <row r="1906" spans="10:21" x14ac:dyDescent="0.35">
      <c r="J1906">
        <f t="shared" si="239"/>
        <v>1903</v>
      </c>
      <c r="K1906">
        <f>demanda!D1904</f>
        <v>0</v>
      </c>
      <c r="L1906">
        <f>demanda!I1904</f>
        <v>15</v>
      </c>
      <c r="M1906">
        <v>14.416809279416043</v>
      </c>
      <c r="N1906">
        <f t="shared" si="232"/>
        <v>0.58319072058395705</v>
      </c>
      <c r="O1906">
        <v>7.4087557083441532E-4</v>
      </c>
      <c r="P1906">
        <f t="shared" si="233"/>
        <v>5.8760813658909554E-2</v>
      </c>
      <c r="Q1906">
        <f t="shared" si="234"/>
        <v>98.553306243487526</v>
      </c>
      <c r="R1906">
        <f t="shared" si="235"/>
        <v>5.8767327956256402E-2</v>
      </c>
      <c r="S1906">
        <f t="shared" si="236"/>
        <v>0.95314355069247325</v>
      </c>
      <c r="T1906">
        <f t="shared" si="237"/>
        <v>1.2809572488725558E-6</v>
      </c>
      <c r="U1906">
        <f t="shared" si="238"/>
        <v>1.6001825154010173E-3</v>
      </c>
    </row>
    <row r="1907" spans="10:21" x14ac:dyDescent="0.35">
      <c r="J1907">
        <f t="shared" si="239"/>
        <v>1904</v>
      </c>
      <c r="K1907">
        <f>demanda!D1905</f>
        <v>0</v>
      </c>
      <c r="L1907">
        <f>demanda!I1905</f>
        <v>15</v>
      </c>
      <c r="M1907">
        <v>14.416809279416043</v>
      </c>
      <c r="N1907">
        <f t="shared" si="232"/>
        <v>0.58319072058395705</v>
      </c>
      <c r="O1907">
        <v>7.4087557083441532E-4</v>
      </c>
      <c r="P1907">
        <f t="shared" si="233"/>
        <v>5.8760813658909554E-2</v>
      </c>
      <c r="Q1907">
        <f t="shared" si="234"/>
        <v>98.553306243487526</v>
      </c>
      <c r="R1907">
        <f t="shared" si="235"/>
        <v>5.8767327956256402E-2</v>
      </c>
      <c r="S1907">
        <f t="shared" si="236"/>
        <v>0.95314355069247325</v>
      </c>
      <c r="T1907">
        <f t="shared" si="237"/>
        <v>1.2809572488725558E-6</v>
      </c>
      <c r="U1907">
        <f t="shared" si="238"/>
        <v>1.6001825154010173E-3</v>
      </c>
    </row>
    <row r="1908" spans="10:21" x14ac:dyDescent="0.35">
      <c r="J1908">
        <f t="shared" si="239"/>
        <v>1905</v>
      </c>
      <c r="K1908">
        <f>demanda!D1906</f>
        <v>0</v>
      </c>
      <c r="L1908">
        <f>demanda!I1906</f>
        <v>15</v>
      </c>
      <c r="M1908">
        <v>14.416809279416043</v>
      </c>
      <c r="N1908">
        <f t="shared" si="232"/>
        <v>0.58319072058395705</v>
      </c>
      <c r="O1908">
        <v>7.4087557083441532E-4</v>
      </c>
      <c r="P1908">
        <f t="shared" si="233"/>
        <v>5.8760813658909554E-2</v>
      </c>
      <c r="Q1908">
        <f t="shared" si="234"/>
        <v>98.553306243487526</v>
      </c>
      <c r="R1908">
        <f t="shared" si="235"/>
        <v>5.8767327956256402E-2</v>
      </c>
      <c r="S1908">
        <f t="shared" si="236"/>
        <v>0.95314355069247325</v>
      </c>
      <c r="T1908">
        <f t="shared" si="237"/>
        <v>1.2809572488725558E-6</v>
      </c>
      <c r="U1908">
        <f t="shared" si="238"/>
        <v>1.6001825154010173E-3</v>
      </c>
    </row>
    <row r="1909" spans="10:21" x14ac:dyDescent="0.35">
      <c r="J1909">
        <f t="shared" si="239"/>
        <v>1906</v>
      </c>
      <c r="K1909">
        <f>demanda!D1907</f>
        <v>0</v>
      </c>
      <c r="L1909">
        <f>demanda!I1907</f>
        <v>15</v>
      </c>
      <c r="M1909">
        <v>14.416809279416043</v>
      </c>
      <c r="N1909">
        <f t="shared" si="232"/>
        <v>0.58319072058395705</v>
      </c>
      <c r="O1909">
        <v>7.4087557083441532E-4</v>
      </c>
      <c r="P1909">
        <f t="shared" si="233"/>
        <v>5.8760813658909554E-2</v>
      </c>
      <c r="Q1909">
        <f t="shared" si="234"/>
        <v>98.553306243487526</v>
      </c>
      <c r="R1909">
        <f t="shared" si="235"/>
        <v>5.8767327956256402E-2</v>
      </c>
      <c r="S1909">
        <f t="shared" si="236"/>
        <v>0.95314355069247325</v>
      </c>
      <c r="T1909">
        <f t="shared" si="237"/>
        <v>1.2809572488725558E-6</v>
      </c>
      <c r="U1909">
        <f t="shared" si="238"/>
        <v>1.6001825154010173E-3</v>
      </c>
    </row>
    <row r="1910" spans="10:21" x14ac:dyDescent="0.35">
      <c r="J1910">
        <f t="shared" si="239"/>
        <v>1907</v>
      </c>
      <c r="K1910">
        <f>demanda!D1908</f>
        <v>0</v>
      </c>
      <c r="L1910">
        <f>demanda!I1908</f>
        <v>15</v>
      </c>
      <c r="M1910">
        <v>14.416809279416043</v>
      </c>
      <c r="N1910">
        <f t="shared" si="232"/>
        <v>0.58319072058395705</v>
      </c>
      <c r="O1910">
        <v>7.4087557083441532E-4</v>
      </c>
      <c r="P1910">
        <f t="shared" si="233"/>
        <v>5.8760813658909554E-2</v>
      </c>
      <c r="Q1910">
        <f t="shared" si="234"/>
        <v>98.553306243487526</v>
      </c>
      <c r="R1910">
        <f t="shared" si="235"/>
        <v>5.8767327956256402E-2</v>
      </c>
      <c r="S1910">
        <f t="shared" si="236"/>
        <v>0.95314355069247325</v>
      </c>
      <c r="T1910">
        <f t="shared" si="237"/>
        <v>1.2809572488725558E-6</v>
      </c>
      <c r="U1910">
        <f t="shared" si="238"/>
        <v>1.6001825154010173E-3</v>
      </c>
    </row>
    <row r="1911" spans="10:21" x14ac:dyDescent="0.35">
      <c r="J1911">
        <f t="shared" si="239"/>
        <v>1908</v>
      </c>
      <c r="K1911">
        <f>demanda!D1909</f>
        <v>0</v>
      </c>
      <c r="L1911">
        <f>demanda!I1909</f>
        <v>14</v>
      </c>
      <c r="M1911">
        <v>14.416809279416043</v>
      </c>
      <c r="N1911">
        <f t="shared" si="232"/>
        <v>-0.41680927941604295</v>
      </c>
      <c r="O1911">
        <v>7.4087557083441532E-4</v>
      </c>
      <c r="P1911">
        <f t="shared" si="233"/>
        <v>-4.1996642838463258E-2</v>
      </c>
      <c r="Q1911">
        <f t="shared" si="234"/>
        <v>98.553393055166637</v>
      </c>
      <c r="R1911">
        <f t="shared" si="235"/>
        <v>-4.2001280140228352E-2</v>
      </c>
      <c r="S1911">
        <f t="shared" si="236"/>
        <v>0.96650204701357412</v>
      </c>
      <c r="T1911">
        <f t="shared" si="237"/>
        <v>6.5431696937827154E-7</v>
      </c>
      <c r="U1911">
        <f t="shared" si="238"/>
        <v>-1.1436578187608104E-3</v>
      </c>
    </row>
    <row r="1912" spans="10:21" x14ac:dyDescent="0.35">
      <c r="J1912">
        <f t="shared" si="239"/>
        <v>1909</v>
      </c>
      <c r="K1912">
        <f>demanda!D1910</f>
        <v>0</v>
      </c>
      <c r="L1912">
        <f>demanda!I1910</f>
        <v>15</v>
      </c>
      <c r="M1912">
        <v>14.416809279416043</v>
      </c>
      <c r="N1912">
        <f t="shared" si="232"/>
        <v>0.58319072058395705</v>
      </c>
      <c r="O1912">
        <v>7.4087557083441532E-4</v>
      </c>
      <c r="P1912">
        <f t="shared" si="233"/>
        <v>5.8760813658909554E-2</v>
      </c>
      <c r="Q1912">
        <f t="shared" si="234"/>
        <v>98.553306243487526</v>
      </c>
      <c r="R1912">
        <f t="shared" si="235"/>
        <v>5.8767327956256402E-2</v>
      </c>
      <c r="S1912">
        <f t="shared" si="236"/>
        <v>0.95314355069247325</v>
      </c>
      <c r="T1912">
        <f t="shared" si="237"/>
        <v>1.2809572488725558E-6</v>
      </c>
      <c r="U1912">
        <f t="shared" si="238"/>
        <v>1.6001825154010173E-3</v>
      </c>
    </row>
    <row r="1913" spans="10:21" x14ac:dyDescent="0.35">
      <c r="J1913">
        <f t="shared" si="239"/>
        <v>1910</v>
      </c>
      <c r="K1913">
        <f>demanda!D1911</f>
        <v>0</v>
      </c>
      <c r="L1913">
        <f>demanda!I1911</f>
        <v>15</v>
      </c>
      <c r="M1913">
        <v>14.416809279416043</v>
      </c>
      <c r="N1913">
        <f t="shared" si="232"/>
        <v>0.58319072058395705</v>
      </c>
      <c r="O1913">
        <v>7.4087557083441532E-4</v>
      </c>
      <c r="P1913">
        <f t="shared" si="233"/>
        <v>5.8760813658909554E-2</v>
      </c>
      <c r="Q1913">
        <f t="shared" si="234"/>
        <v>98.553306243487526</v>
      </c>
      <c r="R1913">
        <f t="shared" si="235"/>
        <v>5.8767327956256402E-2</v>
      </c>
      <c r="S1913">
        <f t="shared" si="236"/>
        <v>0.95314355069247325</v>
      </c>
      <c r="T1913">
        <f t="shared" si="237"/>
        <v>1.2809572488725558E-6</v>
      </c>
      <c r="U1913">
        <f t="shared" si="238"/>
        <v>1.6001825154010173E-3</v>
      </c>
    </row>
    <row r="1914" spans="10:21" x14ac:dyDescent="0.35">
      <c r="J1914">
        <f t="shared" si="239"/>
        <v>1911</v>
      </c>
      <c r="K1914">
        <f>demanda!D1912</f>
        <v>0</v>
      </c>
      <c r="L1914">
        <f>demanda!I1912</f>
        <v>15</v>
      </c>
      <c r="M1914">
        <v>14.416809279416043</v>
      </c>
      <c r="N1914">
        <f t="shared" si="232"/>
        <v>0.58319072058395705</v>
      </c>
      <c r="O1914">
        <v>7.4087557083441532E-4</v>
      </c>
      <c r="P1914">
        <f t="shared" si="233"/>
        <v>5.8760813658909554E-2</v>
      </c>
      <c r="Q1914">
        <f t="shared" si="234"/>
        <v>98.553306243487526</v>
      </c>
      <c r="R1914">
        <f t="shared" si="235"/>
        <v>5.8767327956256402E-2</v>
      </c>
      <c r="S1914">
        <f t="shared" si="236"/>
        <v>0.95314355069247325</v>
      </c>
      <c r="T1914">
        <f t="shared" si="237"/>
        <v>1.2809572488725558E-6</v>
      </c>
      <c r="U1914">
        <f t="shared" si="238"/>
        <v>1.6001825154010173E-3</v>
      </c>
    </row>
    <row r="1915" spans="10:21" x14ac:dyDescent="0.35">
      <c r="J1915">
        <f t="shared" si="239"/>
        <v>1912</v>
      </c>
      <c r="K1915">
        <f>demanda!D1913</f>
        <v>0</v>
      </c>
      <c r="L1915">
        <f>demanda!I1913</f>
        <v>15</v>
      </c>
      <c r="M1915">
        <v>14.416809279416043</v>
      </c>
      <c r="N1915">
        <f t="shared" si="232"/>
        <v>0.58319072058395705</v>
      </c>
      <c r="O1915">
        <v>7.4087557083441532E-4</v>
      </c>
      <c r="P1915">
        <f t="shared" si="233"/>
        <v>5.8760813658909554E-2</v>
      </c>
      <c r="Q1915">
        <f t="shared" si="234"/>
        <v>98.553306243487526</v>
      </c>
      <c r="R1915">
        <f t="shared" si="235"/>
        <v>5.8767327956256402E-2</v>
      </c>
      <c r="S1915">
        <f t="shared" si="236"/>
        <v>0.95314355069247325</v>
      </c>
      <c r="T1915">
        <f t="shared" si="237"/>
        <v>1.2809572488725558E-6</v>
      </c>
      <c r="U1915">
        <f t="shared" si="238"/>
        <v>1.6001825154010173E-3</v>
      </c>
    </row>
    <row r="1916" spans="10:21" x14ac:dyDescent="0.35">
      <c r="J1916">
        <f t="shared" si="239"/>
        <v>1913</v>
      </c>
      <c r="K1916">
        <f>demanda!D1914</f>
        <v>0</v>
      </c>
      <c r="L1916">
        <f>demanda!I1914</f>
        <v>15</v>
      </c>
      <c r="M1916">
        <v>14.416809279416043</v>
      </c>
      <c r="N1916">
        <f t="shared" si="232"/>
        <v>0.58319072058395705</v>
      </c>
      <c r="O1916">
        <v>7.4087557083441532E-4</v>
      </c>
      <c r="P1916">
        <f t="shared" si="233"/>
        <v>5.8760813658909554E-2</v>
      </c>
      <c r="Q1916">
        <f t="shared" si="234"/>
        <v>98.553306243487526</v>
      </c>
      <c r="R1916">
        <f t="shared" si="235"/>
        <v>5.8767327956256402E-2</v>
      </c>
      <c r="S1916">
        <f t="shared" si="236"/>
        <v>0.95314355069247325</v>
      </c>
      <c r="T1916">
        <f t="shared" si="237"/>
        <v>1.2809572488725558E-6</v>
      </c>
      <c r="U1916">
        <f t="shared" si="238"/>
        <v>1.6001825154010173E-3</v>
      </c>
    </row>
    <row r="1917" spans="10:21" x14ac:dyDescent="0.35">
      <c r="J1917">
        <f t="shared" si="239"/>
        <v>1914</v>
      </c>
      <c r="K1917">
        <f>demanda!D1915</f>
        <v>0</v>
      </c>
      <c r="L1917">
        <f>demanda!I1915</f>
        <v>15</v>
      </c>
      <c r="M1917">
        <v>14.416809279416043</v>
      </c>
      <c r="N1917">
        <f t="shared" si="232"/>
        <v>0.58319072058395705</v>
      </c>
      <c r="O1917">
        <v>7.4087557083441532E-4</v>
      </c>
      <c r="P1917">
        <f t="shared" si="233"/>
        <v>5.8760813658909554E-2</v>
      </c>
      <c r="Q1917">
        <f t="shared" si="234"/>
        <v>98.553306243487526</v>
      </c>
      <c r="R1917">
        <f t="shared" si="235"/>
        <v>5.8767327956256402E-2</v>
      </c>
      <c r="S1917">
        <f t="shared" si="236"/>
        <v>0.95314355069247325</v>
      </c>
      <c r="T1917">
        <f t="shared" si="237"/>
        <v>1.2809572488725558E-6</v>
      </c>
      <c r="U1917">
        <f t="shared" si="238"/>
        <v>1.6001825154010173E-3</v>
      </c>
    </row>
    <row r="1918" spans="10:21" x14ac:dyDescent="0.35">
      <c r="J1918">
        <f t="shared" si="239"/>
        <v>1915</v>
      </c>
      <c r="K1918">
        <f>demanda!D1916</f>
        <v>0</v>
      </c>
      <c r="L1918">
        <f>demanda!I1916</f>
        <v>15</v>
      </c>
      <c r="M1918">
        <v>14.416809279416043</v>
      </c>
      <c r="N1918">
        <f t="shared" si="232"/>
        <v>0.58319072058395705</v>
      </c>
      <c r="O1918">
        <v>7.4087557083441532E-4</v>
      </c>
      <c r="P1918">
        <f t="shared" si="233"/>
        <v>5.8760813658909554E-2</v>
      </c>
      <c r="Q1918">
        <f t="shared" si="234"/>
        <v>98.553306243487526</v>
      </c>
      <c r="R1918">
        <f t="shared" si="235"/>
        <v>5.8767327956256402E-2</v>
      </c>
      <c r="S1918">
        <f t="shared" si="236"/>
        <v>0.95314355069247325</v>
      </c>
      <c r="T1918">
        <f t="shared" si="237"/>
        <v>1.2809572488725558E-6</v>
      </c>
      <c r="U1918">
        <f t="shared" si="238"/>
        <v>1.6001825154010173E-3</v>
      </c>
    </row>
    <row r="1919" spans="10:21" x14ac:dyDescent="0.35">
      <c r="J1919">
        <f t="shared" si="239"/>
        <v>1916</v>
      </c>
      <c r="K1919">
        <f>demanda!D1917</f>
        <v>0</v>
      </c>
      <c r="L1919">
        <f>demanda!I1917</f>
        <v>15</v>
      </c>
      <c r="M1919">
        <v>14.416809279416043</v>
      </c>
      <c r="N1919">
        <f t="shared" si="232"/>
        <v>0.58319072058395705</v>
      </c>
      <c r="O1919">
        <v>7.4087557083441532E-4</v>
      </c>
      <c r="P1919">
        <f t="shared" si="233"/>
        <v>5.8760813658909554E-2</v>
      </c>
      <c r="Q1919">
        <f t="shared" si="234"/>
        <v>98.553306243487526</v>
      </c>
      <c r="R1919">
        <f t="shared" si="235"/>
        <v>5.8767327956256402E-2</v>
      </c>
      <c r="S1919">
        <f t="shared" si="236"/>
        <v>0.95314355069247325</v>
      </c>
      <c r="T1919">
        <f t="shared" si="237"/>
        <v>1.2809572488725558E-6</v>
      </c>
      <c r="U1919">
        <f t="shared" si="238"/>
        <v>1.6001825154010173E-3</v>
      </c>
    </row>
    <row r="1920" spans="10:21" x14ac:dyDescent="0.35">
      <c r="J1920">
        <f t="shared" si="239"/>
        <v>1917</v>
      </c>
      <c r="K1920">
        <f>demanda!D1918</f>
        <v>0</v>
      </c>
      <c r="L1920">
        <f>demanda!I1918</f>
        <v>15</v>
      </c>
      <c r="M1920">
        <v>14.416809279416043</v>
      </c>
      <c r="N1920">
        <f t="shared" si="232"/>
        <v>0.58319072058395705</v>
      </c>
      <c r="O1920">
        <v>7.4087557083441532E-4</v>
      </c>
      <c r="P1920">
        <f t="shared" si="233"/>
        <v>5.8760813658909554E-2</v>
      </c>
      <c r="Q1920">
        <f t="shared" si="234"/>
        <v>98.553306243487526</v>
      </c>
      <c r="R1920">
        <f t="shared" si="235"/>
        <v>5.8767327956256402E-2</v>
      </c>
      <c r="S1920">
        <f t="shared" si="236"/>
        <v>0.95314355069247325</v>
      </c>
      <c r="T1920">
        <f t="shared" si="237"/>
        <v>1.2809572488725558E-6</v>
      </c>
      <c r="U1920">
        <f t="shared" si="238"/>
        <v>1.6001825154010173E-3</v>
      </c>
    </row>
    <row r="1921" spans="10:21" x14ac:dyDescent="0.35">
      <c r="J1921">
        <f t="shared" si="239"/>
        <v>1918</v>
      </c>
      <c r="K1921">
        <f>demanda!D1919</f>
        <v>0</v>
      </c>
      <c r="L1921">
        <f>demanda!I1919</f>
        <v>15</v>
      </c>
      <c r="M1921">
        <v>14.416809279416043</v>
      </c>
      <c r="N1921">
        <f t="shared" si="232"/>
        <v>0.58319072058395705</v>
      </c>
      <c r="O1921">
        <v>7.4087557083441532E-4</v>
      </c>
      <c r="P1921">
        <f t="shared" si="233"/>
        <v>5.8760813658909554E-2</v>
      </c>
      <c r="Q1921">
        <f t="shared" si="234"/>
        <v>98.553306243487526</v>
      </c>
      <c r="R1921">
        <f t="shared" si="235"/>
        <v>5.8767327956256402E-2</v>
      </c>
      <c r="S1921">
        <f t="shared" si="236"/>
        <v>0.95314355069247325</v>
      </c>
      <c r="T1921">
        <f t="shared" si="237"/>
        <v>1.2809572488725558E-6</v>
      </c>
      <c r="U1921">
        <f t="shared" si="238"/>
        <v>1.6001825154010173E-3</v>
      </c>
    </row>
    <row r="1922" spans="10:21" x14ac:dyDescent="0.35">
      <c r="J1922">
        <f t="shared" si="239"/>
        <v>1919</v>
      </c>
      <c r="K1922">
        <f>demanda!D1920</f>
        <v>0</v>
      </c>
      <c r="L1922">
        <f>demanda!I1920</f>
        <v>15</v>
      </c>
      <c r="M1922">
        <v>14.416809279416043</v>
      </c>
      <c r="N1922">
        <f t="shared" si="232"/>
        <v>0.58319072058395705</v>
      </c>
      <c r="O1922">
        <v>7.4087557083441532E-4</v>
      </c>
      <c r="P1922">
        <f t="shared" si="233"/>
        <v>5.8760813658909554E-2</v>
      </c>
      <c r="Q1922">
        <f t="shared" si="234"/>
        <v>98.553306243487526</v>
      </c>
      <c r="R1922">
        <f t="shared" si="235"/>
        <v>5.8767327956256402E-2</v>
      </c>
      <c r="S1922">
        <f t="shared" si="236"/>
        <v>0.95314355069247325</v>
      </c>
      <c r="T1922">
        <f t="shared" si="237"/>
        <v>1.2809572488725558E-6</v>
      </c>
      <c r="U1922">
        <f t="shared" si="238"/>
        <v>1.6001825154010173E-3</v>
      </c>
    </row>
    <row r="1923" spans="10:21" x14ac:dyDescent="0.35">
      <c r="J1923">
        <f t="shared" si="239"/>
        <v>1920</v>
      </c>
      <c r="K1923">
        <f>demanda!D1921</f>
        <v>0</v>
      </c>
      <c r="L1923">
        <f>demanda!I1921</f>
        <v>15</v>
      </c>
      <c r="M1923">
        <v>14.416809279416043</v>
      </c>
      <c r="N1923">
        <f t="shared" si="232"/>
        <v>0.58319072058395705</v>
      </c>
      <c r="O1923">
        <v>7.4087557083441532E-4</v>
      </c>
      <c r="P1923">
        <f t="shared" si="233"/>
        <v>5.8760813658909554E-2</v>
      </c>
      <c r="Q1923">
        <f t="shared" si="234"/>
        <v>98.553306243487526</v>
      </c>
      <c r="R1923">
        <f t="shared" si="235"/>
        <v>5.8767327956256402E-2</v>
      </c>
      <c r="S1923">
        <f t="shared" si="236"/>
        <v>0.95314355069247325</v>
      </c>
      <c r="T1923">
        <f t="shared" si="237"/>
        <v>1.2809572488725558E-6</v>
      </c>
      <c r="U1923">
        <f t="shared" si="238"/>
        <v>1.6001825154010173E-3</v>
      </c>
    </row>
    <row r="1924" spans="10:21" x14ac:dyDescent="0.35">
      <c r="J1924" s="2">
        <f t="shared" si="239"/>
        <v>1921</v>
      </c>
      <c r="K1924" s="2">
        <f>demanda!D1922</f>
        <v>0</v>
      </c>
      <c r="L1924" s="2">
        <f>demanda!I1922</f>
        <v>15</v>
      </c>
      <c r="M1924" s="2">
        <v>14.416809279416043</v>
      </c>
      <c r="N1924" s="2">
        <f t="shared" si="232"/>
        <v>0.58319072058395705</v>
      </c>
      <c r="O1924" s="2">
        <v>7.4087557083441532E-4</v>
      </c>
      <c r="P1924" s="2">
        <f t="shared" si="233"/>
        <v>5.8760813658909554E-2</v>
      </c>
      <c r="Q1924" s="2">
        <f t="shared" si="234"/>
        <v>98.553306243487526</v>
      </c>
      <c r="R1924" s="2">
        <f t="shared" si="235"/>
        <v>5.8767327956256402E-2</v>
      </c>
      <c r="S1924" s="2">
        <f t="shared" si="236"/>
        <v>0.95314355069247325</v>
      </c>
      <c r="T1924" s="2">
        <f t="shared" si="237"/>
        <v>1.2809572488725558E-6</v>
      </c>
      <c r="U1924" s="2">
        <f t="shared" si="238"/>
        <v>1.6001825154010173E-3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22"/>
  <sheetViews>
    <sheetView tabSelected="1" topLeftCell="J4" zoomScale="85" zoomScaleNormal="85" workbookViewId="0">
      <selection activeCell="Y7" sqref="Y7"/>
    </sheetView>
  </sheetViews>
  <sheetFormatPr baseColWidth="10" defaultColWidth="8.7265625" defaultRowHeight="14.5" x14ac:dyDescent="0.35"/>
  <cols>
    <col min="4" max="4" width="18" customWidth="1"/>
    <col min="9" max="9" width="20.6328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>
        <v>0</v>
      </c>
      <c r="E2">
        <v>23</v>
      </c>
      <c r="F2" t="s">
        <v>17</v>
      </c>
      <c r="G2">
        <v>18</v>
      </c>
      <c r="H2" t="s">
        <v>18</v>
      </c>
      <c r="I2">
        <v>3</v>
      </c>
      <c r="J2">
        <v>29.4</v>
      </c>
      <c r="K2">
        <v>2</v>
      </c>
      <c r="L2">
        <v>4</v>
      </c>
      <c r="M2">
        <v>22</v>
      </c>
      <c r="N2" t="s">
        <v>19</v>
      </c>
    </row>
    <row r="3" spans="1:14" x14ac:dyDescent="0.35">
      <c r="A3" t="s">
        <v>14</v>
      </c>
      <c r="B3" t="s">
        <v>20</v>
      </c>
      <c r="C3" t="s">
        <v>16</v>
      </c>
      <c r="D3">
        <v>5</v>
      </c>
      <c r="E3">
        <v>14</v>
      </c>
      <c r="F3" t="s">
        <v>21</v>
      </c>
      <c r="G3">
        <v>18</v>
      </c>
      <c r="H3" t="s">
        <v>18</v>
      </c>
      <c r="I3">
        <v>2</v>
      </c>
      <c r="J3">
        <v>28.5</v>
      </c>
      <c r="K3">
        <v>0</v>
      </c>
      <c r="L3">
        <v>0</v>
      </c>
      <c r="M3">
        <v>18</v>
      </c>
      <c r="N3" t="s">
        <v>22</v>
      </c>
    </row>
    <row r="4" spans="1:14" x14ac:dyDescent="0.35">
      <c r="A4" t="s">
        <v>14</v>
      </c>
      <c r="B4" t="s">
        <v>23</v>
      </c>
      <c r="C4" t="s">
        <v>16</v>
      </c>
      <c r="D4">
        <v>1</v>
      </c>
      <c r="E4">
        <v>17</v>
      </c>
      <c r="F4" t="s">
        <v>24</v>
      </c>
      <c r="G4">
        <v>18</v>
      </c>
      <c r="H4" t="s">
        <v>18</v>
      </c>
      <c r="I4">
        <v>3</v>
      </c>
      <c r="J4">
        <v>27.7</v>
      </c>
      <c r="K4">
        <v>1</v>
      </c>
      <c r="L4">
        <v>4</v>
      </c>
      <c r="M4">
        <v>22</v>
      </c>
      <c r="N4" t="s">
        <v>25</v>
      </c>
    </row>
    <row r="5" spans="1:14" x14ac:dyDescent="0.35">
      <c r="A5" t="s">
        <v>14</v>
      </c>
      <c r="B5" t="s">
        <v>26</v>
      </c>
      <c r="C5" t="s">
        <v>16</v>
      </c>
      <c r="D5">
        <v>0</v>
      </c>
      <c r="E5">
        <v>20</v>
      </c>
      <c r="F5" t="s">
        <v>27</v>
      </c>
      <c r="G5">
        <v>18</v>
      </c>
      <c r="H5" t="s">
        <v>18</v>
      </c>
      <c r="I5">
        <v>5</v>
      </c>
      <c r="J5">
        <v>25.8</v>
      </c>
      <c r="K5">
        <v>2</v>
      </c>
      <c r="L5">
        <v>2</v>
      </c>
      <c r="M5">
        <v>20</v>
      </c>
      <c r="N5" t="s">
        <v>28</v>
      </c>
    </row>
    <row r="6" spans="1:14" x14ac:dyDescent="0.35">
      <c r="A6" t="s">
        <v>14</v>
      </c>
      <c r="B6" t="s">
        <v>15</v>
      </c>
      <c r="C6" t="s">
        <v>29</v>
      </c>
      <c r="D6">
        <v>0</v>
      </c>
      <c r="E6">
        <v>18</v>
      </c>
      <c r="F6" t="s">
        <v>27</v>
      </c>
      <c r="G6">
        <v>18</v>
      </c>
      <c r="H6" t="s">
        <v>18</v>
      </c>
      <c r="I6">
        <v>16</v>
      </c>
      <c r="J6">
        <v>18.899999999999999</v>
      </c>
      <c r="K6">
        <v>3</v>
      </c>
      <c r="L6">
        <v>2</v>
      </c>
      <c r="M6">
        <v>20</v>
      </c>
      <c r="N6" t="s">
        <v>22</v>
      </c>
    </row>
    <row r="7" spans="1:14" x14ac:dyDescent="0.35">
      <c r="A7" t="s">
        <v>14</v>
      </c>
      <c r="B7" t="s">
        <v>30</v>
      </c>
      <c r="C7" t="s">
        <v>16</v>
      </c>
      <c r="D7">
        <v>2</v>
      </c>
      <c r="E7">
        <v>19</v>
      </c>
      <c r="F7" t="s">
        <v>31</v>
      </c>
      <c r="G7">
        <v>18</v>
      </c>
      <c r="H7" t="s">
        <v>18</v>
      </c>
      <c r="I7">
        <v>3</v>
      </c>
      <c r="J7">
        <v>31.9</v>
      </c>
      <c r="K7">
        <v>3</v>
      </c>
      <c r="L7">
        <v>4</v>
      </c>
      <c r="M7">
        <v>22</v>
      </c>
      <c r="N7" t="s">
        <v>32</v>
      </c>
    </row>
    <row r="8" spans="1:14" x14ac:dyDescent="0.35">
      <c r="A8" t="s">
        <v>14</v>
      </c>
      <c r="B8" t="s">
        <v>33</v>
      </c>
      <c r="C8" t="s">
        <v>16</v>
      </c>
      <c r="D8">
        <v>3</v>
      </c>
      <c r="E8">
        <v>17</v>
      </c>
      <c r="F8" t="s">
        <v>34</v>
      </c>
      <c r="G8">
        <v>18</v>
      </c>
      <c r="H8" t="s">
        <v>18</v>
      </c>
      <c r="I8">
        <v>4</v>
      </c>
      <c r="J8">
        <v>28</v>
      </c>
      <c r="K8">
        <v>2</v>
      </c>
      <c r="L8">
        <v>3</v>
      </c>
      <c r="M8">
        <v>21</v>
      </c>
      <c r="N8" t="s">
        <v>35</v>
      </c>
    </row>
    <row r="9" spans="1:14" x14ac:dyDescent="0.35">
      <c r="A9" t="s">
        <v>14</v>
      </c>
      <c r="B9" t="s">
        <v>30</v>
      </c>
      <c r="C9" t="s">
        <v>29</v>
      </c>
      <c r="D9">
        <v>0</v>
      </c>
      <c r="E9">
        <v>18</v>
      </c>
      <c r="F9" t="s">
        <v>36</v>
      </c>
      <c r="G9">
        <v>18</v>
      </c>
      <c r="H9" t="s">
        <v>18</v>
      </c>
      <c r="I9">
        <v>10</v>
      </c>
      <c r="J9">
        <v>22.1</v>
      </c>
      <c r="K9">
        <v>4</v>
      </c>
      <c r="L9">
        <v>3</v>
      </c>
      <c r="M9">
        <v>21</v>
      </c>
      <c r="N9" t="s">
        <v>37</v>
      </c>
    </row>
    <row r="10" spans="1:14" x14ac:dyDescent="0.35">
      <c r="A10" t="s">
        <v>14</v>
      </c>
      <c r="B10" t="s">
        <v>38</v>
      </c>
      <c r="C10" t="s">
        <v>16</v>
      </c>
      <c r="D10">
        <v>2</v>
      </c>
      <c r="E10">
        <v>17</v>
      </c>
      <c r="F10" t="s">
        <v>39</v>
      </c>
      <c r="G10">
        <v>18</v>
      </c>
      <c r="H10" t="s">
        <v>18</v>
      </c>
      <c r="I10">
        <v>3</v>
      </c>
      <c r="J10">
        <v>26.9</v>
      </c>
      <c r="K10">
        <v>3</v>
      </c>
      <c r="L10">
        <v>3</v>
      </c>
      <c r="M10">
        <v>21</v>
      </c>
      <c r="N10" t="s">
        <v>40</v>
      </c>
    </row>
    <row r="11" spans="1:14" x14ac:dyDescent="0.35">
      <c r="A11" t="s">
        <v>14</v>
      </c>
      <c r="B11" t="s">
        <v>41</v>
      </c>
      <c r="C11" t="s">
        <v>16</v>
      </c>
      <c r="D11">
        <v>1</v>
      </c>
      <c r="E11">
        <v>17</v>
      </c>
      <c r="F11" t="s">
        <v>42</v>
      </c>
      <c r="G11">
        <v>18</v>
      </c>
      <c r="H11" t="s">
        <v>18</v>
      </c>
      <c r="I11">
        <v>17</v>
      </c>
      <c r="J11">
        <v>26.2</v>
      </c>
      <c r="K11">
        <v>2</v>
      </c>
      <c r="L11">
        <v>3</v>
      </c>
      <c r="M11">
        <v>21</v>
      </c>
      <c r="N11" t="s">
        <v>43</v>
      </c>
    </row>
    <row r="12" spans="1:14" x14ac:dyDescent="0.35">
      <c r="A12" t="s">
        <v>14</v>
      </c>
      <c r="B12" t="s">
        <v>44</v>
      </c>
      <c r="C12" t="s">
        <v>16</v>
      </c>
      <c r="D12">
        <v>0</v>
      </c>
      <c r="E12">
        <v>18</v>
      </c>
      <c r="F12" t="s">
        <v>45</v>
      </c>
      <c r="G12">
        <v>18</v>
      </c>
      <c r="H12" t="s">
        <v>18</v>
      </c>
      <c r="I12">
        <v>9</v>
      </c>
      <c r="J12">
        <v>26.9</v>
      </c>
      <c r="K12">
        <v>3</v>
      </c>
      <c r="L12">
        <v>3</v>
      </c>
      <c r="M12">
        <v>21</v>
      </c>
      <c r="N12" t="s">
        <v>46</v>
      </c>
    </row>
    <row r="13" spans="1:14" x14ac:dyDescent="0.35">
      <c r="A13" t="s">
        <v>14</v>
      </c>
      <c r="B13" t="s">
        <v>47</v>
      </c>
      <c r="C13" t="s">
        <v>16</v>
      </c>
      <c r="D13">
        <v>0</v>
      </c>
      <c r="E13">
        <v>20</v>
      </c>
      <c r="F13" t="s">
        <v>48</v>
      </c>
      <c r="G13">
        <v>18</v>
      </c>
      <c r="H13" t="s">
        <v>18</v>
      </c>
      <c r="I13">
        <v>5</v>
      </c>
      <c r="J13">
        <v>24.6</v>
      </c>
      <c r="K13">
        <v>0</v>
      </c>
      <c r="L13">
        <v>0</v>
      </c>
      <c r="M13">
        <v>18</v>
      </c>
      <c r="N13" t="s">
        <v>49</v>
      </c>
    </row>
    <row r="14" spans="1:14" x14ac:dyDescent="0.35">
      <c r="A14" t="s">
        <v>14</v>
      </c>
      <c r="B14" t="s">
        <v>50</v>
      </c>
      <c r="C14" t="s">
        <v>29</v>
      </c>
      <c r="D14">
        <v>0</v>
      </c>
      <c r="E14">
        <v>18</v>
      </c>
      <c r="F14" t="s">
        <v>48</v>
      </c>
      <c r="G14">
        <v>18</v>
      </c>
      <c r="H14" t="s">
        <v>18</v>
      </c>
      <c r="I14">
        <v>35</v>
      </c>
      <c r="J14">
        <v>19.100000000000001</v>
      </c>
      <c r="K14">
        <v>3</v>
      </c>
      <c r="L14">
        <v>3</v>
      </c>
      <c r="M14">
        <v>21</v>
      </c>
      <c r="N14" t="s">
        <v>51</v>
      </c>
    </row>
    <row r="15" spans="1:14" x14ac:dyDescent="0.35">
      <c r="A15" t="s">
        <v>14</v>
      </c>
      <c r="B15" t="s">
        <v>52</v>
      </c>
      <c r="C15" t="s">
        <v>16</v>
      </c>
      <c r="D15">
        <v>2</v>
      </c>
      <c r="E15">
        <v>17</v>
      </c>
      <c r="F15" t="s">
        <v>53</v>
      </c>
      <c r="G15">
        <v>18</v>
      </c>
      <c r="H15" t="s">
        <v>18</v>
      </c>
      <c r="I15">
        <v>5</v>
      </c>
      <c r="J15">
        <v>30.7</v>
      </c>
      <c r="K15">
        <v>2</v>
      </c>
      <c r="L15">
        <v>2</v>
      </c>
      <c r="M15">
        <v>20</v>
      </c>
      <c r="N15" t="s">
        <v>54</v>
      </c>
    </row>
    <row r="16" spans="1:14" x14ac:dyDescent="0.35">
      <c r="A16" t="s">
        <v>14</v>
      </c>
      <c r="B16" t="s">
        <v>55</v>
      </c>
      <c r="C16" t="s">
        <v>16</v>
      </c>
      <c r="D16">
        <v>1</v>
      </c>
      <c r="E16">
        <v>17</v>
      </c>
      <c r="F16" t="s">
        <v>56</v>
      </c>
      <c r="G16">
        <v>18</v>
      </c>
      <c r="H16" t="s">
        <v>18</v>
      </c>
      <c r="I16">
        <v>2</v>
      </c>
      <c r="J16">
        <v>28.5</v>
      </c>
      <c r="K16">
        <v>4</v>
      </c>
      <c r="L16">
        <v>3</v>
      </c>
      <c r="M16">
        <v>21</v>
      </c>
      <c r="N16" t="s">
        <v>57</v>
      </c>
    </row>
    <row r="17" spans="1:14" x14ac:dyDescent="0.35">
      <c r="A17" t="s">
        <v>14</v>
      </c>
      <c r="B17" t="s">
        <v>52</v>
      </c>
      <c r="C17" t="s">
        <v>29</v>
      </c>
      <c r="D17">
        <v>0</v>
      </c>
      <c r="E17">
        <v>20</v>
      </c>
      <c r="F17" t="s">
        <v>56</v>
      </c>
      <c r="G17">
        <v>18</v>
      </c>
      <c r="H17" t="s">
        <v>18</v>
      </c>
      <c r="I17">
        <v>8</v>
      </c>
      <c r="J17">
        <v>23.9</v>
      </c>
      <c r="K17">
        <v>2</v>
      </c>
      <c r="L17">
        <v>4</v>
      </c>
      <c r="M17">
        <v>22</v>
      </c>
      <c r="N17" t="s">
        <v>58</v>
      </c>
    </row>
    <row r="18" spans="1:14" x14ac:dyDescent="0.35">
      <c r="A18" t="s">
        <v>14</v>
      </c>
      <c r="B18" t="s">
        <v>43</v>
      </c>
      <c r="C18" t="s">
        <v>16</v>
      </c>
      <c r="D18">
        <v>0</v>
      </c>
      <c r="E18">
        <v>20</v>
      </c>
      <c r="F18" t="s">
        <v>59</v>
      </c>
      <c r="G18">
        <v>18</v>
      </c>
      <c r="H18" t="s">
        <v>18</v>
      </c>
      <c r="I18">
        <v>3</v>
      </c>
      <c r="J18">
        <v>32.4</v>
      </c>
      <c r="K18">
        <v>4</v>
      </c>
      <c r="L18">
        <v>3</v>
      </c>
      <c r="M18">
        <v>21</v>
      </c>
      <c r="N18" t="s">
        <v>60</v>
      </c>
    </row>
    <row r="19" spans="1:14" x14ac:dyDescent="0.35">
      <c r="A19" t="s">
        <v>14</v>
      </c>
      <c r="B19" t="s">
        <v>61</v>
      </c>
      <c r="C19" t="s">
        <v>16</v>
      </c>
      <c r="D19">
        <v>2</v>
      </c>
      <c r="E19">
        <v>16</v>
      </c>
      <c r="F19" t="s">
        <v>62</v>
      </c>
      <c r="G19">
        <v>18</v>
      </c>
      <c r="H19" t="s">
        <v>18</v>
      </c>
      <c r="I19">
        <v>2</v>
      </c>
      <c r="J19">
        <v>29.6</v>
      </c>
      <c r="K19">
        <v>4</v>
      </c>
      <c r="L19">
        <v>5</v>
      </c>
      <c r="M19">
        <v>23</v>
      </c>
      <c r="N19" t="s">
        <v>60</v>
      </c>
    </row>
    <row r="20" spans="1:14" x14ac:dyDescent="0.35">
      <c r="A20" t="s">
        <v>14</v>
      </c>
      <c r="B20" t="s">
        <v>63</v>
      </c>
      <c r="C20" t="s">
        <v>16</v>
      </c>
      <c r="D20">
        <v>0</v>
      </c>
      <c r="E20">
        <v>23</v>
      </c>
      <c r="F20" t="s">
        <v>46</v>
      </c>
      <c r="G20">
        <v>18</v>
      </c>
      <c r="H20" t="s">
        <v>18</v>
      </c>
      <c r="I20">
        <v>3</v>
      </c>
      <c r="J20">
        <v>28.6</v>
      </c>
      <c r="K20">
        <v>2</v>
      </c>
      <c r="L20">
        <v>3</v>
      </c>
      <c r="M20">
        <v>21</v>
      </c>
      <c r="N20" t="s">
        <v>64</v>
      </c>
    </row>
    <row r="21" spans="1:14" x14ac:dyDescent="0.35">
      <c r="A21" t="s">
        <v>14</v>
      </c>
      <c r="B21" t="s">
        <v>43</v>
      </c>
      <c r="C21" t="s">
        <v>29</v>
      </c>
      <c r="D21">
        <v>2</v>
      </c>
      <c r="E21">
        <v>16</v>
      </c>
      <c r="F21" t="s">
        <v>65</v>
      </c>
      <c r="G21">
        <v>18</v>
      </c>
      <c r="H21" t="s">
        <v>18</v>
      </c>
      <c r="I21">
        <v>12</v>
      </c>
      <c r="J21">
        <v>24</v>
      </c>
      <c r="K21">
        <v>1</v>
      </c>
      <c r="L21">
        <v>3</v>
      </c>
      <c r="M21">
        <v>21</v>
      </c>
      <c r="N21" t="s">
        <v>66</v>
      </c>
    </row>
    <row r="22" spans="1:14" x14ac:dyDescent="0.35">
      <c r="A22" t="s">
        <v>14</v>
      </c>
      <c r="B22" t="s">
        <v>67</v>
      </c>
      <c r="C22" t="s">
        <v>16</v>
      </c>
      <c r="D22">
        <v>5</v>
      </c>
      <c r="E22">
        <v>17</v>
      </c>
      <c r="F22" t="s">
        <v>68</v>
      </c>
      <c r="G22">
        <v>18</v>
      </c>
      <c r="H22" t="s">
        <v>18</v>
      </c>
      <c r="I22">
        <v>2</v>
      </c>
      <c r="J22">
        <v>27.9</v>
      </c>
      <c r="K22">
        <v>2</v>
      </c>
      <c r="L22">
        <v>3</v>
      </c>
      <c r="M22">
        <v>21</v>
      </c>
      <c r="N22" t="s">
        <v>69</v>
      </c>
    </row>
    <row r="23" spans="1:14" x14ac:dyDescent="0.35">
      <c r="A23" t="s">
        <v>14</v>
      </c>
      <c r="B23" t="s">
        <v>49</v>
      </c>
      <c r="C23" t="s">
        <v>16</v>
      </c>
      <c r="D23">
        <v>4</v>
      </c>
      <c r="E23">
        <v>16</v>
      </c>
      <c r="F23" t="s">
        <v>70</v>
      </c>
      <c r="G23">
        <v>18</v>
      </c>
      <c r="H23" t="s">
        <v>18</v>
      </c>
      <c r="I23">
        <v>7</v>
      </c>
      <c r="J23">
        <v>26.1</v>
      </c>
      <c r="K23">
        <v>2</v>
      </c>
      <c r="L23">
        <v>2</v>
      </c>
      <c r="M23">
        <v>20</v>
      </c>
      <c r="N23" t="s">
        <v>71</v>
      </c>
    </row>
    <row r="24" spans="1:14" x14ac:dyDescent="0.35">
      <c r="A24" t="s">
        <v>14</v>
      </c>
      <c r="B24" t="s">
        <v>58</v>
      </c>
      <c r="C24" t="s">
        <v>16</v>
      </c>
      <c r="D24">
        <v>2</v>
      </c>
      <c r="E24">
        <v>16</v>
      </c>
      <c r="F24" t="s">
        <v>72</v>
      </c>
      <c r="G24">
        <v>18</v>
      </c>
      <c r="H24" t="s">
        <v>18</v>
      </c>
      <c r="I24">
        <v>10</v>
      </c>
      <c r="J24">
        <v>32.9</v>
      </c>
      <c r="K24">
        <v>0</v>
      </c>
      <c r="L24">
        <v>0</v>
      </c>
      <c r="M24">
        <v>18</v>
      </c>
      <c r="N24" t="s">
        <v>73</v>
      </c>
    </row>
    <row r="25" spans="1:14" x14ac:dyDescent="0.35">
      <c r="A25" t="s">
        <v>14</v>
      </c>
      <c r="B25" t="s">
        <v>60</v>
      </c>
      <c r="C25" t="s">
        <v>16</v>
      </c>
      <c r="D25">
        <v>0</v>
      </c>
      <c r="E25">
        <v>22</v>
      </c>
      <c r="F25" t="s">
        <v>71</v>
      </c>
      <c r="G25">
        <v>18</v>
      </c>
      <c r="H25" t="s">
        <v>18</v>
      </c>
      <c r="I25">
        <v>12</v>
      </c>
      <c r="J25">
        <v>29.7</v>
      </c>
      <c r="K25">
        <v>0</v>
      </c>
      <c r="L25">
        <v>0</v>
      </c>
      <c r="M25">
        <v>18</v>
      </c>
      <c r="N25" t="s">
        <v>74</v>
      </c>
    </row>
    <row r="26" spans="1:14" x14ac:dyDescent="0.35">
      <c r="A26" t="s">
        <v>14</v>
      </c>
      <c r="B26" t="s">
        <v>68</v>
      </c>
      <c r="C26" t="s">
        <v>29</v>
      </c>
      <c r="D26">
        <v>0</v>
      </c>
      <c r="E26">
        <v>18</v>
      </c>
      <c r="F26" t="s">
        <v>75</v>
      </c>
      <c r="G26">
        <v>18</v>
      </c>
      <c r="H26" t="s">
        <v>18</v>
      </c>
      <c r="I26">
        <v>35</v>
      </c>
      <c r="J26">
        <v>23.3</v>
      </c>
      <c r="K26">
        <v>4</v>
      </c>
      <c r="L26">
        <v>3</v>
      </c>
      <c r="M26">
        <v>21</v>
      </c>
      <c r="N26" t="s">
        <v>76</v>
      </c>
    </row>
    <row r="27" spans="1:14" x14ac:dyDescent="0.35">
      <c r="A27" t="s">
        <v>14</v>
      </c>
      <c r="B27" t="s">
        <v>75</v>
      </c>
      <c r="C27" t="s">
        <v>16</v>
      </c>
      <c r="D27">
        <v>4</v>
      </c>
      <c r="E27">
        <v>18</v>
      </c>
      <c r="F27" t="s">
        <v>77</v>
      </c>
      <c r="G27">
        <v>18</v>
      </c>
      <c r="H27" t="s">
        <v>18</v>
      </c>
      <c r="I27">
        <v>4</v>
      </c>
      <c r="J27">
        <v>27.8</v>
      </c>
      <c r="K27">
        <v>0</v>
      </c>
      <c r="L27">
        <v>0</v>
      </c>
      <c r="M27">
        <v>18</v>
      </c>
      <c r="N27" t="s">
        <v>78</v>
      </c>
    </row>
    <row r="28" spans="1:14" x14ac:dyDescent="0.35">
      <c r="A28" t="s">
        <v>14</v>
      </c>
      <c r="B28" t="s">
        <v>79</v>
      </c>
      <c r="C28" t="s">
        <v>16</v>
      </c>
      <c r="D28">
        <v>4</v>
      </c>
      <c r="E28">
        <v>16</v>
      </c>
      <c r="F28" t="s">
        <v>80</v>
      </c>
      <c r="G28">
        <v>18</v>
      </c>
      <c r="H28" t="s">
        <v>18</v>
      </c>
      <c r="I28">
        <v>3</v>
      </c>
      <c r="J28">
        <v>27.2</v>
      </c>
      <c r="K28">
        <v>3</v>
      </c>
      <c r="L28">
        <v>4</v>
      </c>
      <c r="M28">
        <v>22</v>
      </c>
      <c r="N28" t="s">
        <v>81</v>
      </c>
    </row>
    <row r="29" spans="1:14" x14ac:dyDescent="0.35">
      <c r="A29" t="s">
        <v>14</v>
      </c>
      <c r="B29" t="s">
        <v>82</v>
      </c>
      <c r="C29" t="s">
        <v>16</v>
      </c>
      <c r="D29">
        <v>2</v>
      </c>
      <c r="E29">
        <v>21</v>
      </c>
      <c r="F29" t="s">
        <v>83</v>
      </c>
      <c r="G29">
        <v>18</v>
      </c>
      <c r="H29" t="s">
        <v>18</v>
      </c>
      <c r="I29">
        <v>3</v>
      </c>
      <c r="J29">
        <v>29</v>
      </c>
      <c r="K29">
        <v>1</v>
      </c>
      <c r="L29">
        <v>3</v>
      </c>
      <c r="M29">
        <v>21</v>
      </c>
      <c r="N29" t="s">
        <v>84</v>
      </c>
    </row>
    <row r="30" spans="1:14" x14ac:dyDescent="0.35">
      <c r="A30" t="s">
        <v>14</v>
      </c>
      <c r="B30" t="s">
        <v>85</v>
      </c>
      <c r="C30" t="s">
        <v>16</v>
      </c>
      <c r="D30">
        <v>5</v>
      </c>
      <c r="E30">
        <v>17</v>
      </c>
      <c r="F30" t="s">
        <v>73</v>
      </c>
      <c r="G30">
        <v>18</v>
      </c>
      <c r="H30" t="s">
        <v>18</v>
      </c>
      <c r="I30">
        <v>3</v>
      </c>
      <c r="J30">
        <v>33.299999999999997</v>
      </c>
      <c r="K30">
        <v>2</v>
      </c>
      <c r="L30">
        <v>4</v>
      </c>
      <c r="M30">
        <v>22</v>
      </c>
      <c r="N30" t="s">
        <v>86</v>
      </c>
    </row>
    <row r="31" spans="1:14" x14ac:dyDescent="0.35">
      <c r="A31" t="s">
        <v>14</v>
      </c>
      <c r="B31" t="s">
        <v>87</v>
      </c>
      <c r="C31" t="s">
        <v>16</v>
      </c>
      <c r="D31">
        <v>4</v>
      </c>
      <c r="E31">
        <v>16</v>
      </c>
      <c r="F31" t="s">
        <v>88</v>
      </c>
      <c r="G31">
        <v>18</v>
      </c>
      <c r="H31" t="s">
        <v>18</v>
      </c>
      <c r="I31">
        <v>2</v>
      </c>
      <c r="J31">
        <v>27.1</v>
      </c>
      <c r="K31">
        <v>4</v>
      </c>
      <c r="L31">
        <v>3</v>
      </c>
      <c r="M31">
        <v>21</v>
      </c>
      <c r="N31" t="s">
        <v>89</v>
      </c>
    </row>
    <row r="32" spans="1:14" x14ac:dyDescent="0.35">
      <c r="A32" t="s">
        <v>14</v>
      </c>
      <c r="B32" t="s">
        <v>90</v>
      </c>
      <c r="C32" t="s">
        <v>29</v>
      </c>
      <c r="D32">
        <v>0</v>
      </c>
      <c r="E32">
        <v>20</v>
      </c>
      <c r="F32" t="s">
        <v>91</v>
      </c>
      <c r="G32">
        <v>18</v>
      </c>
      <c r="H32" t="s">
        <v>18</v>
      </c>
      <c r="I32">
        <v>21</v>
      </c>
      <c r="J32">
        <v>23</v>
      </c>
      <c r="K32">
        <v>0</v>
      </c>
      <c r="L32">
        <v>0</v>
      </c>
      <c r="M32">
        <v>18</v>
      </c>
      <c r="N32" t="s">
        <v>92</v>
      </c>
    </row>
    <row r="33" spans="1:14" x14ac:dyDescent="0.35">
      <c r="A33" t="s">
        <v>14</v>
      </c>
      <c r="B33" t="s">
        <v>93</v>
      </c>
      <c r="C33" t="s">
        <v>16</v>
      </c>
      <c r="D33">
        <v>2</v>
      </c>
      <c r="E33">
        <v>21</v>
      </c>
      <c r="F33" t="s">
        <v>94</v>
      </c>
      <c r="G33">
        <v>18</v>
      </c>
      <c r="H33" t="s">
        <v>18</v>
      </c>
      <c r="I33">
        <v>5</v>
      </c>
      <c r="J33">
        <v>27.9</v>
      </c>
      <c r="K33">
        <v>4</v>
      </c>
      <c r="L33">
        <v>1</v>
      </c>
      <c r="M33">
        <v>19</v>
      </c>
      <c r="N33" t="s">
        <v>95</v>
      </c>
    </row>
    <row r="34" spans="1:14" x14ac:dyDescent="0.35">
      <c r="A34" t="s">
        <v>14</v>
      </c>
      <c r="B34" t="s">
        <v>96</v>
      </c>
      <c r="C34" t="s">
        <v>16</v>
      </c>
      <c r="D34">
        <v>5</v>
      </c>
      <c r="E34">
        <v>16</v>
      </c>
      <c r="F34" t="s">
        <v>74</v>
      </c>
      <c r="G34">
        <v>18</v>
      </c>
      <c r="H34" t="s">
        <v>18</v>
      </c>
      <c r="I34">
        <v>2</v>
      </c>
      <c r="J34">
        <v>25.4</v>
      </c>
      <c r="K34">
        <v>1</v>
      </c>
      <c r="L34">
        <v>5</v>
      </c>
      <c r="M34">
        <v>23</v>
      </c>
      <c r="N34" t="s">
        <v>97</v>
      </c>
    </row>
    <row r="35" spans="1:14" x14ac:dyDescent="0.35">
      <c r="A35" t="s">
        <v>14</v>
      </c>
      <c r="B35" t="s">
        <v>98</v>
      </c>
      <c r="C35" t="s">
        <v>16</v>
      </c>
      <c r="D35">
        <v>3</v>
      </c>
      <c r="E35">
        <v>15</v>
      </c>
      <c r="F35" t="s">
        <v>99</v>
      </c>
      <c r="G35">
        <v>18</v>
      </c>
      <c r="H35" t="s">
        <v>18</v>
      </c>
      <c r="I35">
        <v>9</v>
      </c>
      <c r="J35">
        <v>30.2</v>
      </c>
      <c r="K35">
        <v>1</v>
      </c>
      <c r="L35">
        <v>3</v>
      </c>
      <c r="M35">
        <v>21</v>
      </c>
      <c r="N35" t="s">
        <v>100</v>
      </c>
    </row>
    <row r="36" spans="1:14" x14ac:dyDescent="0.35">
      <c r="A36" t="s">
        <v>14</v>
      </c>
      <c r="B36" t="s">
        <v>76</v>
      </c>
      <c r="C36" t="s">
        <v>29</v>
      </c>
      <c r="D36">
        <v>2</v>
      </c>
      <c r="E36">
        <v>16</v>
      </c>
      <c r="F36" t="s">
        <v>101</v>
      </c>
      <c r="G36">
        <v>18</v>
      </c>
      <c r="H36" t="s">
        <v>18</v>
      </c>
      <c r="I36">
        <v>21</v>
      </c>
      <c r="J36">
        <v>22</v>
      </c>
      <c r="K36">
        <v>3</v>
      </c>
      <c r="L36">
        <v>4</v>
      </c>
      <c r="M36">
        <v>22</v>
      </c>
      <c r="N36" t="s">
        <v>102</v>
      </c>
    </row>
    <row r="37" spans="1:14" x14ac:dyDescent="0.35">
      <c r="A37" t="s">
        <v>14</v>
      </c>
      <c r="B37" t="s">
        <v>103</v>
      </c>
      <c r="C37" t="s">
        <v>16</v>
      </c>
      <c r="D37">
        <v>0</v>
      </c>
      <c r="E37">
        <v>18</v>
      </c>
      <c r="F37" t="s">
        <v>104</v>
      </c>
      <c r="G37">
        <v>18</v>
      </c>
      <c r="H37" t="s">
        <v>18</v>
      </c>
      <c r="I37">
        <v>16</v>
      </c>
      <c r="J37">
        <v>25.5</v>
      </c>
      <c r="K37">
        <v>3</v>
      </c>
      <c r="L37">
        <v>3</v>
      </c>
      <c r="M37">
        <v>21</v>
      </c>
      <c r="N37" t="s">
        <v>105</v>
      </c>
    </row>
    <row r="38" spans="1:14" x14ac:dyDescent="0.35">
      <c r="A38" t="s">
        <v>14</v>
      </c>
      <c r="B38" t="s">
        <v>106</v>
      </c>
      <c r="C38" t="s">
        <v>16</v>
      </c>
      <c r="D38">
        <v>0</v>
      </c>
      <c r="E38">
        <v>18</v>
      </c>
      <c r="F38" t="s">
        <v>107</v>
      </c>
      <c r="G38">
        <v>18</v>
      </c>
      <c r="H38" t="s">
        <v>18</v>
      </c>
      <c r="I38">
        <v>21</v>
      </c>
      <c r="J38">
        <v>30.6</v>
      </c>
      <c r="K38">
        <v>3</v>
      </c>
      <c r="L38">
        <v>3</v>
      </c>
      <c r="M38">
        <v>21</v>
      </c>
      <c r="N38" t="s">
        <v>108</v>
      </c>
    </row>
    <row r="39" spans="1:14" x14ac:dyDescent="0.35">
      <c r="A39" t="s">
        <v>14</v>
      </c>
      <c r="B39" t="s">
        <v>89</v>
      </c>
      <c r="C39" t="s">
        <v>29</v>
      </c>
      <c r="D39">
        <v>0</v>
      </c>
      <c r="E39">
        <v>18</v>
      </c>
      <c r="F39" t="s">
        <v>109</v>
      </c>
      <c r="G39">
        <v>18</v>
      </c>
      <c r="H39" t="s">
        <v>18</v>
      </c>
      <c r="I39">
        <v>49</v>
      </c>
      <c r="J39">
        <v>22.4</v>
      </c>
      <c r="K39">
        <v>4</v>
      </c>
      <c r="L39">
        <v>2</v>
      </c>
      <c r="M39">
        <v>20</v>
      </c>
      <c r="N39" t="s">
        <v>110</v>
      </c>
    </row>
    <row r="40" spans="1:14" x14ac:dyDescent="0.35">
      <c r="A40" t="s">
        <v>14</v>
      </c>
      <c r="B40" t="s">
        <v>111</v>
      </c>
      <c r="C40" t="s">
        <v>16</v>
      </c>
      <c r="D40">
        <v>0</v>
      </c>
      <c r="E40">
        <v>18</v>
      </c>
      <c r="F40" t="s">
        <v>112</v>
      </c>
      <c r="G40">
        <v>18</v>
      </c>
      <c r="H40" t="s">
        <v>18</v>
      </c>
      <c r="I40">
        <v>21</v>
      </c>
      <c r="J40">
        <v>28.8</v>
      </c>
      <c r="K40">
        <v>4</v>
      </c>
      <c r="L40">
        <v>3</v>
      </c>
      <c r="M40">
        <v>21</v>
      </c>
      <c r="N40" t="s">
        <v>113</v>
      </c>
    </row>
    <row r="41" spans="1:14" x14ac:dyDescent="0.35">
      <c r="A41" t="s">
        <v>14</v>
      </c>
      <c r="B41" t="s">
        <v>114</v>
      </c>
      <c r="C41" t="s">
        <v>16</v>
      </c>
      <c r="D41">
        <v>0</v>
      </c>
      <c r="E41">
        <v>20</v>
      </c>
      <c r="F41" t="s">
        <v>115</v>
      </c>
      <c r="G41">
        <v>18</v>
      </c>
      <c r="H41" t="s">
        <v>18</v>
      </c>
      <c r="I41">
        <v>18</v>
      </c>
      <c r="J41">
        <v>32.6</v>
      </c>
      <c r="K41">
        <v>0</v>
      </c>
      <c r="L41">
        <v>0</v>
      </c>
      <c r="M41">
        <v>18</v>
      </c>
      <c r="N41" t="s">
        <v>116</v>
      </c>
    </row>
    <row r="42" spans="1:14" x14ac:dyDescent="0.35">
      <c r="A42" t="s">
        <v>14</v>
      </c>
      <c r="B42" t="s">
        <v>117</v>
      </c>
      <c r="C42" t="s">
        <v>16</v>
      </c>
      <c r="D42">
        <v>2</v>
      </c>
      <c r="E42">
        <v>19</v>
      </c>
      <c r="F42" t="s">
        <v>118</v>
      </c>
      <c r="G42">
        <v>18</v>
      </c>
      <c r="H42" t="s">
        <v>18</v>
      </c>
      <c r="I42">
        <v>26</v>
      </c>
      <c r="J42">
        <v>31.3</v>
      </c>
      <c r="K42">
        <v>1</v>
      </c>
      <c r="L42">
        <v>1</v>
      </c>
      <c r="M42">
        <v>19</v>
      </c>
      <c r="N42" t="s">
        <v>119</v>
      </c>
    </row>
    <row r="43" spans="1:14" x14ac:dyDescent="0.35">
      <c r="A43" t="s">
        <v>14</v>
      </c>
      <c r="B43" t="s">
        <v>120</v>
      </c>
      <c r="C43" t="s">
        <v>16</v>
      </c>
      <c r="D43">
        <v>3</v>
      </c>
      <c r="E43">
        <v>17</v>
      </c>
      <c r="F43" t="s">
        <v>121</v>
      </c>
      <c r="G43">
        <v>18</v>
      </c>
      <c r="H43" t="s">
        <v>18</v>
      </c>
      <c r="I43">
        <v>21</v>
      </c>
      <c r="J43">
        <v>32.700000000000003</v>
      </c>
      <c r="K43">
        <v>0</v>
      </c>
      <c r="L43">
        <v>0</v>
      </c>
      <c r="M43">
        <v>18</v>
      </c>
      <c r="N43" t="s">
        <v>122</v>
      </c>
    </row>
    <row r="44" spans="1:14" x14ac:dyDescent="0.35">
      <c r="A44" t="s">
        <v>14</v>
      </c>
      <c r="B44" t="s">
        <v>123</v>
      </c>
      <c r="C44" t="s">
        <v>29</v>
      </c>
      <c r="D44">
        <v>0</v>
      </c>
      <c r="E44">
        <v>18</v>
      </c>
      <c r="F44" t="s">
        <v>124</v>
      </c>
      <c r="G44">
        <v>18</v>
      </c>
      <c r="H44" t="s">
        <v>18</v>
      </c>
      <c r="I44">
        <v>81</v>
      </c>
      <c r="J44">
        <v>20.9</v>
      </c>
      <c r="K44">
        <v>0</v>
      </c>
      <c r="L44">
        <v>0</v>
      </c>
      <c r="M44">
        <v>18</v>
      </c>
      <c r="N44" t="s">
        <v>122</v>
      </c>
    </row>
    <row r="45" spans="1:14" x14ac:dyDescent="0.35">
      <c r="A45" t="s">
        <v>14</v>
      </c>
      <c r="B45" t="s">
        <v>125</v>
      </c>
      <c r="C45" t="s">
        <v>16</v>
      </c>
      <c r="D45">
        <v>2</v>
      </c>
      <c r="E45">
        <v>17</v>
      </c>
      <c r="F45" t="s">
        <v>126</v>
      </c>
      <c r="G45">
        <v>18</v>
      </c>
      <c r="H45" t="s">
        <v>18</v>
      </c>
      <c r="I45">
        <v>13</v>
      </c>
      <c r="J45">
        <v>29.5</v>
      </c>
      <c r="K45">
        <v>3</v>
      </c>
      <c r="L45">
        <v>3</v>
      </c>
      <c r="M45">
        <v>21</v>
      </c>
      <c r="N45" t="s">
        <v>127</v>
      </c>
    </row>
    <row r="46" spans="1:14" x14ac:dyDescent="0.35">
      <c r="A46" t="s">
        <v>14</v>
      </c>
      <c r="B46" t="s">
        <v>128</v>
      </c>
      <c r="C46" t="s">
        <v>16</v>
      </c>
      <c r="D46">
        <v>1</v>
      </c>
      <c r="E46">
        <v>21</v>
      </c>
      <c r="F46" t="s">
        <v>129</v>
      </c>
      <c r="G46">
        <v>18</v>
      </c>
      <c r="H46" t="s">
        <v>18</v>
      </c>
      <c r="I46">
        <v>4</v>
      </c>
      <c r="J46">
        <v>29.3</v>
      </c>
      <c r="K46">
        <v>3</v>
      </c>
      <c r="L46">
        <v>2</v>
      </c>
      <c r="M46">
        <v>20</v>
      </c>
      <c r="N46" t="s">
        <v>130</v>
      </c>
    </row>
    <row r="47" spans="1:14" x14ac:dyDescent="0.35">
      <c r="A47" t="s">
        <v>14</v>
      </c>
      <c r="B47" t="s">
        <v>131</v>
      </c>
      <c r="C47" t="s">
        <v>16</v>
      </c>
      <c r="D47">
        <v>4</v>
      </c>
      <c r="E47">
        <v>15</v>
      </c>
      <c r="F47" t="s">
        <v>132</v>
      </c>
      <c r="G47">
        <v>18</v>
      </c>
      <c r="H47" t="s">
        <v>18</v>
      </c>
      <c r="I47">
        <v>1</v>
      </c>
      <c r="J47">
        <v>29.2</v>
      </c>
      <c r="K47">
        <v>2</v>
      </c>
      <c r="L47">
        <v>4</v>
      </c>
      <c r="M47">
        <v>22</v>
      </c>
      <c r="N47" t="s">
        <v>133</v>
      </c>
    </row>
    <row r="48" spans="1:14" x14ac:dyDescent="0.35">
      <c r="A48" t="s">
        <v>14</v>
      </c>
      <c r="B48" t="s">
        <v>134</v>
      </c>
      <c r="C48" t="s">
        <v>16</v>
      </c>
      <c r="D48">
        <v>1</v>
      </c>
      <c r="E48">
        <v>21</v>
      </c>
      <c r="F48" t="s">
        <v>135</v>
      </c>
      <c r="G48">
        <v>18</v>
      </c>
      <c r="H48" t="s">
        <v>18</v>
      </c>
      <c r="I48">
        <v>4</v>
      </c>
      <c r="J48">
        <v>29.5</v>
      </c>
      <c r="K48">
        <v>2</v>
      </c>
      <c r="L48">
        <v>3</v>
      </c>
      <c r="M48">
        <v>21</v>
      </c>
      <c r="N48" t="s">
        <v>136</v>
      </c>
    </row>
    <row r="49" spans="1:14" x14ac:dyDescent="0.35">
      <c r="A49" t="s">
        <v>14</v>
      </c>
      <c r="B49" t="s">
        <v>137</v>
      </c>
      <c r="C49" t="s">
        <v>29</v>
      </c>
      <c r="D49">
        <v>0</v>
      </c>
      <c r="E49">
        <v>20</v>
      </c>
      <c r="F49" t="s">
        <v>138</v>
      </c>
      <c r="G49">
        <v>18</v>
      </c>
      <c r="H49" t="s">
        <v>18</v>
      </c>
      <c r="I49">
        <v>14</v>
      </c>
      <c r="J49">
        <v>16.600000000000001</v>
      </c>
      <c r="K49">
        <v>3</v>
      </c>
      <c r="L49">
        <v>4</v>
      </c>
      <c r="M49">
        <v>22</v>
      </c>
      <c r="N49" t="s">
        <v>127</v>
      </c>
    </row>
    <row r="50" spans="1:14" x14ac:dyDescent="0.35">
      <c r="A50" t="s">
        <v>14</v>
      </c>
      <c r="B50" t="s">
        <v>138</v>
      </c>
      <c r="C50" t="s">
        <v>16</v>
      </c>
      <c r="D50">
        <v>4</v>
      </c>
      <c r="E50">
        <v>15</v>
      </c>
      <c r="F50" t="s">
        <v>139</v>
      </c>
      <c r="G50">
        <v>18</v>
      </c>
      <c r="H50" t="s">
        <v>18</v>
      </c>
      <c r="I50">
        <v>1</v>
      </c>
      <c r="J50">
        <v>34.799999999999997</v>
      </c>
      <c r="K50">
        <v>4</v>
      </c>
      <c r="L50">
        <v>4</v>
      </c>
      <c r="M50">
        <v>22</v>
      </c>
      <c r="N50" t="s">
        <v>140</v>
      </c>
    </row>
    <row r="51" spans="1:14" x14ac:dyDescent="0.35">
      <c r="A51" t="s">
        <v>14</v>
      </c>
      <c r="B51" t="s">
        <v>141</v>
      </c>
      <c r="C51" t="s">
        <v>16</v>
      </c>
      <c r="D51">
        <v>1</v>
      </c>
      <c r="E51">
        <v>17</v>
      </c>
      <c r="F51" t="s">
        <v>142</v>
      </c>
      <c r="G51">
        <v>18</v>
      </c>
      <c r="H51" t="s">
        <v>18</v>
      </c>
      <c r="I51">
        <v>4</v>
      </c>
      <c r="J51">
        <v>35.5</v>
      </c>
      <c r="K51">
        <v>3</v>
      </c>
      <c r="L51">
        <v>5</v>
      </c>
      <c r="M51">
        <v>23</v>
      </c>
      <c r="N51" t="s">
        <v>143</v>
      </c>
    </row>
    <row r="52" spans="1:14" x14ac:dyDescent="0.35">
      <c r="A52" t="s">
        <v>14</v>
      </c>
      <c r="B52" t="s">
        <v>144</v>
      </c>
      <c r="C52" t="s">
        <v>16</v>
      </c>
      <c r="D52">
        <v>0</v>
      </c>
      <c r="E52">
        <v>19</v>
      </c>
      <c r="F52" t="s">
        <v>145</v>
      </c>
      <c r="G52">
        <v>18</v>
      </c>
      <c r="H52" t="s">
        <v>18</v>
      </c>
      <c r="I52">
        <v>3</v>
      </c>
      <c r="J52">
        <v>29.7</v>
      </c>
      <c r="K52">
        <v>1</v>
      </c>
      <c r="L52">
        <v>4</v>
      </c>
      <c r="M52">
        <v>22</v>
      </c>
      <c r="N52" t="s">
        <v>146</v>
      </c>
    </row>
    <row r="53" spans="1:14" x14ac:dyDescent="0.35">
      <c r="A53" t="s">
        <v>14</v>
      </c>
      <c r="B53" t="s">
        <v>139</v>
      </c>
      <c r="C53" t="s">
        <v>29</v>
      </c>
      <c r="D53">
        <v>2</v>
      </c>
      <c r="E53">
        <v>17</v>
      </c>
      <c r="F53" t="s">
        <v>147</v>
      </c>
      <c r="G53">
        <v>18</v>
      </c>
      <c r="H53" t="s">
        <v>18</v>
      </c>
      <c r="I53">
        <v>10</v>
      </c>
      <c r="J53">
        <v>19.600000000000001</v>
      </c>
      <c r="K53">
        <v>2</v>
      </c>
      <c r="L53">
        <v>2</v>
      </c>
      <c r="M53">
        <v>20</v>
      </c>
      <c r="N53" t="s">
        <v>148</v>
      </c>
    </row>
    <row r="54" spans="1:14" x14ac:dyDescent="0.35">
      <c r="A54" t="s">
        <v>14</v>
      </c>
      <c r="B54" t="s">
        <v>147</v>
      </c>
      <c r="C54" t="s">
        <v>16</v>
      </c>
      <c r="D54">
        <v>1</v>
      </c>
      <c r="E54">
        <v>17</v>
      </c>
      <c r="F54" t="s">
        <v>149</v>
      </c>
      <c r="G54">
        <v>18</v>
      </c>
      <c r="H54" t="s">
        <v>18</v>
      </c>
      <c r="I54">
        <v>4</v>
      </c>
      <c r="J54">
        <v>32.799999999999997</v>
      </c>
      <c r="K54">
        <v>2</v>
      </c>
      <c r="L54">
        <v>3</v>
      </c>
      <c r="M54">
        <v>21</v>
      </c>
      <c r="N54" t="s">
        <v>150</v>
      </c>
    </row>
    <row r="55" spans="1:14" x14ac:dyDescent="0.35">
      <c r="A55" t="s">
        <v>14</v>
      </c>
      <c r="B55" t="s">
        <v>151</v>
      </c>
      <c r="C55" t="s">
        <v>16</v>
      </c>
      <c r="D55">
        <v>0</v>
      </c>
      <c r="E55">
        <v>19</v>
      </c>
      <c r="F55" t="s">
        <v>152</v>
      </c>
      <c r="G55">
        <v>18</v>
      </c>
      <c r="H55" t="s">
        <v>18</v>
      </c>
      <c r="I55">
        <v>11</v>
      </c>
      <c r="J55">
        <v>27.9</v>
      </c>
      <c r="K55">
        <v>3</v>
      </c>
      <c r="L55">
        <v>3</v>
      </c>
      <c r="M55">
        <v>21</v>
      </c>
      <c r="N55" t="s">
        <v>153</v>
      </c>
    </row>
    <row r="56" spans="1:14" x14ac:dyDescent="0.35">
      <c r="A56" t="s">
        <v>14</v>
      </c>
      <c r="B56" t="s">
        <v>148</v>
      </c>
      <c r="C56" t="s">
        <v>16</v>
      </c>
      <c r="D56">
        <v>1</v>
      </c>
      <c r="E56">
        <v>17</v>
      </c>
      <c r="F56" t="s">
        <v>143</v>
      </c>
      <c r="G56">
        <v>18</v>
      </c>
      <c r="H56" t="s">
        <v>18</v>
      </c>
      <c r="I56">
        <v>11</v>
      </c>
      <c r="J56">
        <v>30</v>
      </c>
      <c r="K56">
        <v>1</v>
      </c>
      <c r="L56">
        <v>3</v>
      </c>
      <c r="M56">
        <v>21</v>
      </c>
      <c r="N56" t="s">
        <v>154</v>
      </c>
    </row>
    <row r="57" spans="1:14" x14ac:dyDescent="0.35">
      <c r="A57" t="s">
        <v>14</v>
      </c>
      <c r="B57" t="s">
        <v>155</v>
      </c>
      <c r="C57" t="s">
        <v>29</v>
      </c>
      <c r="D57">
        <v>1</v>
      </c>
      <c r="E57">
        <v>13</v>
      </c>
      <c r="F57" t="s">
        <v>156</v>
      </c>
      <c r="G57">
        <v>14</v>
      </c>
      <c r="H57" t="s">
        <v>157</v>
      </c>
      <c r="I57">
        <v>33</v>
      </c>
      <c r="J57">
        <v>22.7</v>
      </c>
      <c r="K57">
        <v>0</v>
      </c>
      <c r="L57">
        <v>0</v>
      </c>
      <c r="M57">
        <v>14</v>
      </c>
      <c r="N57" t="s">
        <v>158</v>
      </c>
    </row>
    <row r="58" spans="1:14" x14ac:dyDescent="0.35">
      <c r="A58" t="s">
        <v>14</v>
      </c>
      <c r="B58" t="s">
        <v>159</v>
      </c>
      <c r="C58" t="s">
        <v>16</v>
      </c>
      <c r="D58">
        <v>0</v>
      </c>
      <c r="E58">
        <v>22</v>
      </c>
      <c r="F58" t="s">
        <v>160</v>
      </c>
      <c r="G58">
        <v>18</v>
      </c>
      <c r="H58" t="s">
        <v>18</v>
      </c>
      <c r="I58">
        <v>7</v>
      </c>
      <c r="J58">
        <v>26.7</v>
      </c>
      <c r="K58">
        <v>1</v>
      </c>
      <c r="L58">
        <v>4</v>
      </c>
      <c r="M58">
        <v>22</v>
      </c>
      <c r="N58" t="s">
        <v>161</v>
      </c>
    </row>
    <row r="59" spans="1:14" x14ac:dyDescent="0.35">
      <c r="A59" t="s">
        <v>14</v>
      </c>
      <c r="B59" t="s">
        <v>162</v>
      </c>
      <c r="C59" t="s">
        <v>16</v>
      </c>
      <c r="D59">
        <v>4</v>
      </c>
      <c r="E59">
        <v>19</v>
      </c>
      <c r="F59" t="s">
        <v>163</v>
      </c>
      <c r="G59">
        <v>18</v>
      </c>
      <c r="H59" t="s">
        <v>18</v>
      </c>
      <c r="I59">
        <v>3</v>
      </c>
      <c r="J59">
        <v>30.8</v>
      </c>
      <c r="K59">
        <v>2</v>
      </c>
      <c r="L59">
        <v>2</v>
      </c>
      <c r="M59">
        <v>20</v>
      </c>
      <c r="N59" t="s">
        <v>164</v>
      </c>
    </row>
    <row r="60" spans="1:14" x14ac:dyDescent="0.35">
      <c r="A60" t="s">
        <v>14</v>
      </c>
      <c r="B60" t="s">
        <v>165</v>
      </c>
      <c r="C60" t="s">
        <v>16</v>
      </c>
      <c r="D60">
        <v>5</v>
      </c>
      <c r="E60">
        <v>18</v>
      </c>
      <c r="F60" t="s">
        <v>166</v>
      </c>
      <c r="G60">
        <v>18</v>
      </c>
      <c r="H60" t="s">
        <v>18</v>
      </c>
      <c r="I60">
        <v>3</v>
      </c>
      <c r="J60">
        <v>26.4</v>
      </c>
      <c r="K60">
        <v>0</v>
      </c>
      <c r="L60">
        <v>0</v>
      </c>
      <c r="M60">
        <v>18</v>
      </c>
      <c r="N60" t="s">
        <v>164</v>
      </c>
    </row>
    <row r="61" spans="1:14" x14ac:dyDescent="0.35">
      <c r="A61" t="s">
        <v>14</v>
      </c>
      <c r="B61" t="s">
        <v>150</v>
      </c>
      <c r="C61" t="s">
        <v>29</v>
      </c>
      <c r="D61">
        <v>0</v>
      </c>
      <c r="E61">
        <v>18</v>
      </c>
      <c r="F61" t="s">
        <v>166</v>
      </c>
      <c r="G61">
        <v>18</v>
      </c>
      <c r="H61" t="s">
        <v>18</v>
      </c>
      <c r="I61">
        <v>11</v>
      </c>
      <c r="J61">
        <v>22.6</v>
      </c>
      <c r="K61">
        <v>2</v>
      </c>
      <c r="L61">
        <v>2</v>
      </c>
      <c r="M61">
        <v>20</v>
      </c>
      <c r="N61" t="s">
        <v>167</v>
      </c>
    </row>
    <row r="62" spans="1:14" x14ac:dyDescent="0.35">
      <c r="A62" t="s">
        <v>14</v>
      </c>
      <c r="B62" t="s">
        <v>168</v>
      </c>
      <c r="C62" t="s">
        <v>16</v>
      </c>
      <c r="D62">
        <v>5</v>
      </c>
      <c r="E62">
        <v>18</v>
      </c>
      <c r="F62" t="s">
        <v>169</v>
      </c>
      <c r="G62">
        <v>18</v>
      </c>
      <c r="H62" t="s">
        <v>18</v>
      </c>
      <c r="I62">
        <v>5</v>
      </c>
      <c r="J62">
        <v>28.8</v>
      </c>
      <c r="K62">
        <v>4</v>
      </c>
      <c r="L62">
        <v>2</v>
      </c>
      <c r="M62">
        <v>20</v>
      </c>
      <c r="N62" t="s">
        <v>170</v>
      </c>
    </row>
    <row r="63" spans="1:14" x14ac:dyDescent="0.35">
      <c r="A63" t="s">
        <v>14</v>
      </c>
      <c r="B63" t="s">
        <v>171</v>
      </c>
      <c r="C63" t="s">
        <v>16</v>
      </c>
      <c r="D63">
        <v>5</v>
      </c>
      <c r="E63">
        <v>14</v>
      </c>
      <c r="F63" t="s">
        <v>158</v>
      </c>
      <c r="G63">
        <v>18</v>
      </c>
      <c r="H63" t="s">
        <v>18</v>
      </c>
      <c r="I63">
        <v>2</v>
      </c>
      <c r="J63">
        <v>31.6</v>
      </c>
      <c r="K63">
        <v>4</v>
      </c>
      <c r="L63">
        <v>2</v>
      </c>
      <c r="M63">
        <v>20</v>
      </c>
      <c r="N63" t="s">
        <v>172</v>
      </c>
    </row>
    <row r="64" spans="1:14" x14ac:dyDescent="0.35">
      <c r="A64" t="s">
        <v>14</v>
      </c>
      <c r="B64" t="s">
        <v>168</v>
      </c>
      <c r="C64" t="s">
        <v>29</v>
      </c>
      <c r="D64">
        <v>0</v>
      </c>
      <c r="E64">
        <v>18</v>
      </c>
      <c r="F64" t="s">
        <v>173</v>
      </c>
      <c r="G64">
        <v>18</v>
      </c>
      <c r="H64" t="s">
        <v>18</v>
      </c>
      <c r="I64">
        <v>11</v>
      </c>
      <c r="J64">
        <v>26.1</v>
      </c>
      <c r="K64">
        <v>2</v>
      </c>
      <c r="L64">
        <v>6</v>
      </c>
      <c r="M64">
        <v>24</v>
      </c>
      <c r="N64" t="s">
        <v>174</v>
      </c>
    </row>
    <row r="65" spans="1:14" x14ac:dyDescent="0.35">
      <c r="A65" t="s">
        <v>14</v>
      </c>
      <c r="B65" t="s">
        <v>175</v>
      </c>
      <c r="C65" t="s">
        <v>16</v>
      </c>
      <c r="D65">
        <v>1</v>
      </c>
      <c r="E65">
        <v>18</v>
      </c>
      <c r="F65" t="s">
        <v>176</v>
      </c>
      <c r="G65">
        <v>18</v>
      </c>
      <c r="H65" t="s">
        <v>18</v>
      </c>
      <c r="I65">
        <v>4</v>
      </c>
      <c r="J65">
        <v>25.8</v>
      </c>
      <c r="K65">
        <v>2</v>
      </c>
      <c r="L65">
        <v>3</v>
      </c>
      <c r="M65">
        <v>21</v>
      </c>
      <c r="N65" t="s">
        <v>177</v>
      </c>
    </row>
    <row r="66" spans="1:14" x14ac:dyDescent="0.35">
      <c r="A66" t="s">
        <v>14</v>
      </c>
      <c r="B66" t="s">
        <v>178</v>
      </c>
      <c r="C66" t="s">
        <v>16</v>
      </c>
      <c r="D66">
        <v>1</v>
      </c>
      <c r="E66">
        <v>22</v>
      </c>
      <c r="F66" t="s">
        <v>179</v>
      </c>
      <c r="G66">
        <v>18</v>
      </c>
      <c r="H66" t="s">
        <v>18</v>
      </c>
      <c r="I66">
        <v>8</v>
      </c>
      <c r="J66">
        <v>29.1</v>
      </c>
      <c r="K66">
        <v>4</v>
      </c>
      <c r="L66">
        <v>4</v>
      </c>
      <c r="M66">
        <v>22</v>
      </c>
      <c r="N66" t="s">
        <v>180</v>
      </c>
    </row>
    <row r="67" spans="1:14" x14ac:dyDescent="0.35">
      <c r="A67" t="s">
        <v>14</v>
      </c>
      <c r="B67" t="s">
        <v>154</v>
      </c>
      <c r="C67" t="s">
        <v>29</v>
      </c>
      <c r="D67">
        <v>0</v>
      </c>
      <c r="E67">
        <v>9</v>
      </c>
      <c r="F67" t="s">
        <v>181</v>
      </c>
      <c r="G67">
        <v>9</v>
      </c>
      <c r="H67" t="s">
        <v>157</v>
      </c>
      <c r="I67">
        <v>15</v>
      </c>
      <c r="J67">
        <v>22.9</v>
      </c>
      <c r="K67">
        <v>4</v>
      </c>
      <c r="L67">
        <v>5</v>
      </c>
      <c r="M67">
        <v>14</v>
      </c>
      <c r="N67" t="s">
        <v>182</v>
      </c>
    </row>
    <row r="68" spans="1:14" x14ac:dyDescent="0.35">
      <c r="A68" t="s">
        <v>14</v>
      </c>
      <c r="B68" t="s">
        <v>183</v>
      </c>
      <c r="C68" t="s">
        <v>16</v>
      </c>
      <c r="D68">
        <v>5</v>
      </c>
      <c r="E68">
        <v>13</v>
      </c>
      <c r="F68" t="s">
        <v>184</v>
      </c>
      <c r="G68">
        <v>18</v>
      </c>
      <c r="H68" t="s">
        <v>18</v>
      </c>
      <c r="I68">
        <v>9</v>
      </c>
      <c r="J68">
        <v>28</v>
      </c>
      <c r="K68">
        <v>3</v>
      </c>
      <c r="L68">
        <v>3</v>
      </c>
      <c r="M68">
        <v>21</v>
      </c>
      <c r="N68" t="s">
        <v>185</v>
      </c>
    </row>
    <row r="69" spans="1:14" x14ac:dyDescent="0.35">
      <c r="A69" t="s">
        <v>14</v>
      </c>
      <c r="B69" t="s">
        <v>186</v>
      </c>
      <c r="C69" t="s">
        <v>29</v>
      </c>
      <c r="D69">
        <v>0</v>
      </c>
      <c r="E69">
        <v>16</v>
      </c>
      <c r="F69" t="s">
        <v>187</v>
      </c>
      <c r="G69">
        <v>16</v>
      </c>
      <c r="H69" t="s">
        <v>157</v>
      </c>
      <c r="I69">
        <v>15</v>
      </c>
      <c r="J69">
        <v>27.7</v>
      </c>
      <c r="K69">
        <v>4</v>
      </c>
      <c r="L69">
        <v>3</v>
      </c>
      <c r="M69">
        <v>19</v>
      </c>
      <c r="N69" t="s">
        <v>188</v>
      </c>
    </row>
    <row r="70" spans="1:14" x14ac:dyDescent="0.35">
      <c r="A70" t="s">
        <v>14</v>
      </c>
      <c r="B70" t="s">
        <v>189</v>
      </c>
      <c r="C70" t="s">
        <v>16</v>
      </c>
      <c r="D70">
        <v>0</v>
      </c>
      <c r="E70">
        <v>18</v>
      </c>
      <c r="F70" t="s">
        <v>190</v>
      </c>
      <c r="G70">
        <v>18</v>
      </c>
      <c r="H70" t="s">
        <v>18</v>
      </c>
      <c r="I70">
        <v>13</v>
      </c>
      <c r="J70">
        <v>25</v>
      </c>
      <c r="K70">
        <v>1</v>
      </c>
      <c r="L70">
        <v>3</v>
      </c>
      <c r="M70">
        <v>21</v>
      </c>
      <c r="N70" t="s">
        <v>191</v>
      </c>
    </row>
    <row r="71" spans="1:14" x14ac:dyDescent="0.35">
      <c r="A71" t="s">
        <v>14</v>
      </c>
      <c r="B71" t="s">
        <v>182</v>
      </c>
      <c r="C71" t="s">
        <v>16</v>
      </c>
      <c r="D71">
        <v>0</v>
      </c>
      <c r="E71">
        <v>13</v>
      </c>
      <c r="F71" t="s">
        <v>192</v>
      </c>
      <c r="G71">
        <v>13</v>
      </c>
      <c r="H71" t="s">
        <v>157</v>
      </c>
      <c r="I71">
        <v>15</v>
      </c>
      <c r="J71">
        <v>23.9</v>
      </c>
      <c r="K71">
        <v>2</v>
      </c>
      <c r="L71">
        <v>0</v>
      </c>
      <c r="M71">
        <v>13</v>
      </c>
      <c r="N71" t="s">
        <v>193</v>
      </c>
    </row>
    <row r="72" spans="1:14" x14ac:dyDescent="0.35">
      <c r="A72" t="s">
        <v>14</v>
      </c>
      <c r="B72" t="s">
        <v>180</v>
      </c>
      <c r="C72" t="s">
        <v>29</v>
      </c>
      <c r="D72">
        <v>0</v>
      </c>
      <c r="E72">
        <v>2</v>
      </c>
      <c r="F72" t="s">
        <v>194</v>
      </c>
      <c r="G72">
        <v>2</v>
      </c>
      <c r="H72" t="s">
        <v>157</v>
      </c>
      <c r="I72">
        <v>15</v>
      </c>
      <c r="J72">
        <v>21.3</v>
      </c>
      <c r="K72">
        <v>2</v>
      </c>
      <c r="L72">
        <v>3</v>
      </c>
      <c r="M72">
        <v>5</v>
      </c>
      <c r="N72" t="s">
        <v>193</v>
      </c>
    </row>
    <row r="73" spans="1:14" x14ac:dyDescent="0.35">
      <c r="A73" t="s">
        <v>14</v>
      </c>
      <c r="B73" t="s">
        <v>195</v>
      </c>
      <c r="C73" t="s">
        <v>16</v>
      </c>
      <c r="D73">
        <v>0</v>
      </c>
      <c r="E73">
        <v>9</v>
      </c>
      <c r="F73" t="s">
        <v>196</v>
      </c>
      <c r="G73">
        <v>9</v>
      </c>
      <c r="H73" t="s">
        <v>157</v>
      </c>
      <c r="I73">
        <v>15</v>
      </c>
      <c r="J73">
        <v>30.1</v>
      </c>
      <c r="K73">
        <v>2</v>
      </c>
      <c r="L73">
        <v>2</v>
      </c>
      <c r="M73">
        <v>11</v>
      </c>
      <c r="N73" t="s">
        <v>197</v>
      </c>
    </row>
    <row r="74" spans="1:14" x14ac:dyDescent="0.35">
      <c r="A74" t="s">
        <v>14</v>
      </c>
      <c r="B74" t="s">
        <v>198</v>
      </c>
      <c r="C74" t="s">
        <v>29</v>
      </c>
      <c r="D74">
        <v>0</v>
      </c>
      <c r="E74">
        <v>2</v>
      </c>
      <c r="F74" t="s">
        <v>199</v>
      </c>
      <c r="G74">
        <v>2</v>
      </c>
      <c r="H74" t="s">
        <v>157</v>
      </c>
      <c r="I74">
        <v>15</v>
      </c>
      <c r="J74">
        <v>17.600000000000001</v>
      </c>
      <c r="K74">
        <v>2</v>
      </c>
      <c r="L74">
        <v>3</v>
      </c>
      <c r="M74">
        <v>5</v>
      </c>
      <c r="N74" t="s">
        <v>200</v>
      </c>
    </row>
    <row r="75" spans="1:14" x14ac:dyDescent="0.35">
      <c r="A75" t="s">
        <v>14</v>
      </c>
      <c r="B75" t="s">
        <v>201</v>
      </c>
      <c r="C75" t="s">
        <v>16</v>
      </c>
      <c r="D75">
        <v>0</v>
      </c>
      <c r="E75">
        <v>10</v>
      </c>
      <c r="F75" t="s">
        <v>202</v>
      </c>
      <c r="G75">
        <v>10</v>
      </c>
      <c r="H75" t="s">
        <v>157</v>
      </c>
      <c r="I75">
        <v>15</v>
      </c>
      <c r="J75">
        <v>28.1</v>
      </c>
      <c r="K75">
        <v>3</v>
      </c>
      <c r="L75">
        <v>0</v>
      </c>
      <c r="M75">
        <v>10</v>
      </c>
      <c r="N75" t="s">
        <v>203</v>
      </c>
    </row>
    <row r="76" spans="1:14" x14ac:dyDescent="0.35">
      <c r="A76" t="s">
        <v>14</v>
      </c>
      <c r="B76" t="s">
        <v>204</v>
      </c>
      <c r="C76" t="s">
        <v>16</v>
      </c>
      <c r="D76">
        <v>0</v>
      </c>
      <c r="E76">
        <v>14</v>
      </c>
      <c r="F76" t="s">
        <v>205</v>
      </c>
      <c r="G76">
        <v>14</v>
      </c>
      <c r="H76" t="s">
        <v>157</v>
      </c>
      <c r="I76">
        <v>15</v>
      </c>
      <c r="J76">
        <v>27.8</v>
      </c>
      <c r="K76">
        <v>1</v>
      </c>
      <c r="L76">
        <v>3</v>
      </c>
      <c r="M76">
        <v>17</v>
      </c>
      <c r="N76" t="s">
        <v>206</v>
      </c>
    </row>
    <row r="77" spans="1:14" x14ac:dyDescent="0.35">
      <c r="A77" t="s">
        <v>14</v>
      </c>
      <c r="B77" t="s">
        <v>207</v>
      </c>
      <c r="C77" t="s">
        <v>16</v>
      </c>
      <c r="D77">
        <v>0</v>
      </c>
      <c r="E77">
        <v>11</v>
      </c>
      <c r="F77" t="s">
        <v>208</v>
      </c>
      <c r="G77">
        <v>11</v>
      </c>
      <c r="H77" t="s">
        <v>157</v>
      </c>
      <c r="I77">
        <v>15</v>
      </c>
      <c r="J77">
        <v>25.7</v>
      </c>
      <c r="K77">
        <v>1</v>
      </c>
      <c r="L77">
        <v>0</v>
      </c>
      <c r="M77">
        <v>11</v>
      </c>
      <c r="N77" t="s">
        <v>209</v>
      </c>
    </row>
    <row r="78" spans="1:14" x14ac:dyDescent="0.35">
      <c r="A78" t="s">
        <v>14</v>
      </c>
      <c r="B78" t="s">
        <v>210</v>
      </c>
      <c r="C78" t="s">
        <v>16</v>
      </c>
      <c r="D78">
        <v>0</v>
      </c>
      <c r="E78">
        <v>10</v>
      </c>
      <c r="F78" t="s">
        <v>211</v>
      </c>
      <c r="G78">
        <v>10</v>
      </c>
      <c r="H78" t="s">
        <v>157</v>
      </c>
      <c r="I78">
        <v>15</v>
      </c>
      <c r="J78">
        <v>24.2</v>
      </c>
      <c r="K78">
        <v>4</v>
      </c>
      <c r="L78">
        <v>0</v>
      </c>
      <c r="M78">
        <v>10</v>
      </c>
      <c r="N78" t="s">
        <v>212</v>
      </c>
    </row>
    <row r="79" spans="1:14" x14ac:dyDescent="0.35">
      <c r="A79" t="s">
        <v>14</v>
      </c>
      <c r="B79" t="s">
        <v>213</v>
      </c>
      <c r="C79" t="s">
        <v>16</v>
      </c>
      <c r="D79">
        <v>0</v>
      </c>
      <c r="E79">
        <v>18</v>
      </c>
      <c r="F79" t="s">
        <v>214</v>
      </c>
      <c r="G79">
        <v>18</v>
      </c>
      <c r="H79" t="s">
        <v>18</v>
      </c>
      <c r="I79">
        <v>13</v>
      </c>
      <c r="J79">
        <v>27.5</v>
      </c>
      <c r="K79">
        <v>3</v>
      </c>
      <c r="L79">
        <v>2</v>
      </c>
      <c r="M79">
        <v>20</v>
      </c>
      <c r="N79" t="s">
        <v>215</v>
      </c>
    </row>
    <row r="80" spans="1:14" x14ac:dyDescent="0.35">
      <c r="A80" t="s">
        <v>14</v>
      </c>
      <c r="B80" t="s">
        <v>216</v>
      </c>
      <c r="C80" t="s">
        <v>16</v>
      </c>
      <c r="D80">
        <v>0</v>
      </c>
      <c r="E80">
        <v>18</v>
      </c>
      <c r="F80" t="s">
        <v>217</v>
      </c>
      <c r="G80">
        <v>18</v>
      </c>
      <c r="H80" t="s">
        <v>18</v>
      </c>
      <c r="I80">
        <v>15</v>
      </c>
      <c r="J80">
        <v>30.8</v>
      </c>
      <c r="K80">
        <v>4</v>
      </c>
      <c r="L80">
        <v>1</v>
      </c>
      <c r="M80">
        <v>19</v>
      </c>
      <c r="N80" t="s">
        <v>218</v>
      </c>
    </row>
    <row r="81" spans="1:14" x14ac:dyDescent="0.35">
      <c r="A81" t="s">
        <v>14</v>
      </c>
      <c r="B81" t="s">
        <v>219</v>
      </c>
      <c r="C81" t="s">
        <v>16</v>
      </c>
      <c r="D81">
        <v>0</v>
      </c>
      <c r="E81">
        <v>16</v>
      </c>
      <c r="F81" t="s">
        <v>220</v>
      </c>
      <c r="G81">
        <v>16</v>
      </c>
      <c r="H81" t="s">
        <v>157</v>
      </c>
      <c r="I81">
        <v>15</v>
      </c>
      <c r="J81">
        <v>26.3</v>
      </c>
      <c r="K81">
        <v>0</v>
      </c>
      <c r="L81">
        <v>0</v>
      </c>
      <c r="M81">
        <v>16</v>
      </c>
      <c r="N81" t="s">
        <v>221</v>
      </c>
    </row>
    <row r="82" spans="1:14" x14ac:dyDescent="0.35">
      <c r="A82" t="s">
        <v>14</v>
      </c>
      <c r="B82" t="s">
        <v>222</v>
      </c>
      <c r="C82" t="s">
        <v>16</v>
      </c>
      <c r="D82">
        <v>0</v>
      </c>
      <c r="E82">
        <v>11</v>
      </c>
      <c r="F82" t="s">
        <v>223</v>
      </c>
      <c r="G82">
        <v>11</v>
      </c>
      <c r="H82" t="s">
        <v>157</v>
      </c>
      <c r="I82">
        <v>15</v>
      </c>
      <c r="J82">
        <v>26.1</v>
      </c>
      <c r="K82">
        <v>0</v>
      </c>
      <c r="L82">
        <v>0</v>
      </c>
      <c r="M82">
        <v>11</v>
      </c>
      <c r="N82" t="s">
        <v>224</v>
      </c>
    </row>
    <row r="83" spans="1:14" x14ac:dyDescent="0.35">
      <c r="A83" t="s">
        <v>14</v>
      </c>
      <c r="B83" t="s">
        <v>225</v>
      </c>
      <c r="C83" t="s">
        <v>16</v>
      </c>
      <c r="D83">
        <v>0</v>
      </c>
      <c r="E83">
        <v>10</v>
      </c>
      <c r="F83" t="s">
        <v>226</v>
      </c>
      <c r="G83">
        <v>10</v>
      </c>
      <c r="H83" t="s">
        <v>157</v>
      </c>
      <c r="I83">
        <v>15</v>
      </c>
      <c r="J83">
        <v>25.1</v>
      </c>
      <c r="K83">
        <v>3</v>
      </c>
      <c r="L83">
        <v>3</v>
      </c>
      <c r="M83">
        <v>13</v>
      </c>
      <c r="N83" t="s">
        <v>227</v>
      </c>
    </row>
    <row r="84" spans="1:14" x14ac:dyDescent="0.35">
      <c r="A84" t="s">
        <v>14</v>
      </c>
      <c r="B84" t="s">
        <v>228</v>
      </c>
      <c r="C84" t="s">
        <v>16</v>
      </c>
      <c r="D84">
        <v>0</v>
      </c>
      <c r="E84">
        <v>11</v>
      </c>
      <c r="F84" t="s">
        <v>229</v>
      </c>
      <c r="G84">
        <v>11</v>
      </c>
      <c r="H84" t="s">
        <v>157</v>
      </c>
      <c r="I84">
        <v>15</v>
      </c>
      <c r="J84">
        <v>23.4</v>
      </c>
      <c r="K84">
        <v>1</v>
      </c>
      <c r="L84">
        <v>3</v>
      </c>
      <c r="M84">
        <v>14</v>
      </c>
      <c r="N84" t="s">
        <v>230</v>
      </c>
    </row>
    <row r="85" spans="1:14" x14ac:dyDescent="0.35">
      <c r="A85" t="s">
        <v>14</v>
      </c>
      <c r="B85" t="s">
        <v>231</v>
      </c>
      <c r="C85" t="s">
        <v>16</v>
      </c>
      <c r="D85">
        <v>0</v>
      </c>
      <c r="E85">
        <v>18</v>
      </c>
      <c r="F85" t="s">
        <v>232</v>
      </c>
      <c r="G85">
        <v>18</v>
      </c>
      <c r="H85" t="s">
        <v>18</v>
      </c>
      <c r="I85">
        <v>15</v>
      </c>
      <c r="J85">
        <v>28.4</v>
      </c>
      <c r="K85">
        <v>2</v>
      </c>
      <c r="L85">
        <v>1</v>
      </c>
      <c r="M85">
        <v>19</v>
      </c>
      <c r="N85" t="s">
        <v>233</v>
      </c>
    </row>
    <row r="86" spans="1:14" x14ac:dyDescent="0.35">
      <c r="A86" t="s">
        <v>14</v>
      </c>
      <c r="B86" t="s">
        <v>234</v>
      </c>
      <c r="C86" t="s">
        <v>16</v>
      </c>
      <c r="D86">
        <v>0</v>
      </c>
      <c r="E86">
        <v>8</v>
      </c>
      <c r="F86" t="s">
        <v>235</v>
      </c>
      <c r="G86">
        <v>8</v>
      </c>
      <c r="H86" t="s">
        <v>157</v>
      </c>
      <c r="I86">
        <v>15</v>
      </c>
      <c r="J86">
        <v>27.4</v>
      </c>
      <c r="K86">
        <v>2</v>
      </c>
      <c r="L86">
        <v>3</v>
      </c>
      <c r="M86">
        <v>11</v>
      </c>
      <c r="N86" t="s">
        <v>236</v>
      </c>
    </row>
    <row r="87" spans="1:14" x14ac:dyDescent="0.35">
      <c r="A87" t="s">
        <v>14</v>
      </c>
      <c r="B87" t="s">
        <v>237</v>
      </c>
      <c r="C87" t="s">
        <v>16</v>
      </c>
      <c r="D87">
        <v>0</v>
      </c>
      <c r="E87">
        <v>10</v>
      </c>
      <c r="F87" t="s">
        <v>238</v>
      </c>
      <c r="G87">
        <v>10</v>
      </c>
      <c r="H87" t="s">
        <v>157</v>
      </c>
      <c r="I87">
        <v>15</v>
      </c>
      <c r="J87">
        <v>26.9</v>
      </c>
      <c r="K87">
        <v>0</v>
      </c>
      <c r="L87">
        <v>0</v>
      </c>
      <c r="M87">
        <v>10</v>
      </c>
      <c r="N87" t="s">
        <v>239</v>
      </c>
    </row>
    <row r="88" spans="1:14" x14ac:dyDescent="0.35">
      <c r="A88" t="s">
        <v>14</v>
      </c>
      <c r="B88" t="s">
        <v>240</v>
      </c>
      <c r="C88" t="s">
        <v>16</v>
      </c>
      <c r="D88">
        <v>0</v>
      </c>
      <c r="E88">
        <v>18</v>
      </c>
      <c r="F88" t="s">
        <v>241</v>
      </c>
      <c r="G88">
        <v>18</v>
      </c>
      <c r="H88" t="s">
        <v>18</v>
      </c>
      <c r="I88">
        <v>11</v>
      </c>
      <c r="J88">
        <v>24</v>
      </c>
      <c r="K88">
        <v>2</v>
      </c>
      <c r="L88">
        <v>3</v>
      </c>
      <c r="M88">
        <v>21</v>
      </c>
      <c r="N88" t="s">
        <v>242</v>
      </c>
    </row>
    <row r="89" spans="1:14" x14ac:dyDescent="0.35">
      <c r="A89" t="s">
        <v>14</v>
      </c>
      <c r="B89" t="s">
        <v>243</v>
      </c>
      <c r="C89" t="s">
        <v>16</v>
      </c>
      <c r="D89">
        <v>0</v>
      </c>
      <c r="E89">
        <v>15</v>
      </c>
      <c r="F89" t="s">
        <v>244</v>
      </c>
      <c r="G89">
        <v>15</v>
      </c>
      <c r="H89" t="s">
        <v>157</v>
      </c>
      <c r="I89">
        <v>15</v>
      </c>
      <c r="J89">
        <v>27.4</v>
      </c>
      <c r="K89">
        <v>0</v>
      </c>
      <c r="L89">
        <v>0</v>
      </c>
      <c r="M89">
        <v>15</v>
      </c>
      <c r="N89" t="s">
        <v>245</v>
      </c>
    </row>
    <row r="90" spans="1:14" x14ac:dyDescent="0.35">
      <c r="A90" t="s">
        <v>14</v>
      </c>
      <c r="B90" t="s">
        <v>246</v>
      </c>
      <c r="C90" t="s">
        <v>16</v>
      </c>
      <c r="D90">
        <v>0</v>
      </c>
      <c r="E90">
        <v>6</v>
      </c>
      <c r="F90" t="s">
        <v>247</v>
      </c>
      <c r="G90">
        <v>6</v>
      </c>
      <c r="H90" t="s">
        <v>157</v>
      </c>
      <c r="I90">
        <v>15</v>
      </c>
      <c r="J90">
        <v>26.6</v>
      </c>
      <c r="K90">
        <v>3</v>
      </c>
      <c r="L90">
        <v>2</v>
      </c>
      <c r="M90">
        <v>8</v>
      </c>
      <c r="N90" t="s">
        <v>248</v>
      </c>
    </row>
    <row r="91" spans="1:14" x14ac:dyDescent="0.35">
      <c r="A91" t="s">
        <v>14</v>
      </c>
      <c r="B91" t="s">
        <v>249</v>
      </c>
      <c r="C91" t="s">
        <v>16</v>
      </c>
      <c r="D91">
        <v>0</v>
      </c>
      <c r="E91">
        <v>13</v>
      </c>
      <c r="F91" t="s">
        <v>250</v>
      </c>
      <c r="G91">
        <v>13</v>
      </c>
      <c r="H91" t="s">
        <v>157</v>
      </c>
      <c r="I91">
        <v>15</v>
      </c>
      <c r="J91">
        <v>29.5</v>
      </c>
      <c r="K91">
        <v>2</v>
      </c>
      <c r="L91">
        <v>1</v>
      </c>
      <c r="M91">
        <v>14</v>
      </c>
      <c r="N91" t="s">
        <v>251</v>
      </c>
    </row>
    <row r="92" spans="1:14" x14ac:dyDescent="0.35">
      <c r="A92" t="s">
        <v>252</v>
      </c>
      <c r="B92" t="s">
        <v>15</v>
      </c>
      <c r="C92" t="s">
        <v>16</v>
      </c>
      <c r="D92">
        <v>0</v>
      </c>
      <c r="E92">
        <v>20</v>
      </c>
      <c r="F92" t="s">
        <v>20</v>
      </c>
      <c r="G92">
        <v>18</v>
      </c>
      <c r="H92" t="s">
        <v>18</v>
      </c>
      <c r="I92">
        <v>4</v>
      </c>
      <c r="J92">
        <v>27.5</v>
      </c>
      <c r="K92">
        <v>0</v>
      </c>
      <c r="L92">
        <v>0</v>
      </c>
      <c r="M92">
        <v>18</v>
      </c>
      <c r="N92" t="s">
        <v>253</v>
      </c>
    </row>
    <row r="93" spans="1:14" x14ac:dyDescent="0.35">
      <c r="A93" t="s">
        <v>252</v>
      </c>
      <c r="B93" t="s">
        <v>254</v>
      </c>
      <c r="C93" t="s">
        <v>16</v>
      </c>
      <c r="D93">
        <v>2</v>
      </c>
      <c r="E93">
        <v>19</v>
      </c>
      <c r="F93" t="s">
        <v>24</v>
      </c>
      <c r="G93">
        <v>18</v>
      </c>
      <c r="H93" t="s">
        <v>18</v>
      </c>
      <c r="I93">
        <v>5</v>
      </c>
      <c r="J93">
        <v>30.6</v>
      </c>
      <c r="K93">
        <v>4</v>
      </c>
      <c r="L93">
        <v>4</v>
      </c>
      <c r="M93">
        <v>22</v>
      </c>
      <c r="N93" t="s">
        <v>255</v>
      </c>
    </row>
    <row r="94" spans="1:14" x14ac:dyDescent="0.35">
      <c r="A94" t="s">
        <v>252</v>
      </c>
      <c r="B94" t="s">
        <v>15</v>
      </c>
      <c r="C94" t="s">
        <v>29</v>
      </c>
      <c r="D94">
        <v>0</v>
      </c>
      <c r="E94">
        <v>19</v>
      </c>
      <c r="F94" t="s">
        <v>256</v>
      </c>
      <c r="G94">
        <v>18</v>
      </c>
      <c r="H94" t="s">
        <v>18</v>
      </c>
      <c r="I94">
        <v>13</v>
      </c>
      <c r="J94">
        <v>22.6</v>
      </c>
      <c r="K94">
        <v>1</v>
      </c>
      <c r="L94">
        <v>5</v>
      </c>
      <c r="M94">
        <v>23</v>
      </c>
      <c r="N94" t="s">
        <v>257</v>
      </c>
    </row>
    <row r="95" spans="1:14" x14ac:dyDescent="0.35">
      <c r="A95" t="s">
        <v>252</v>
      </c>
      <c r="B95" t="s">
        <v>26</v>
      </c>
      <c r="C95" t="s">
        <v>16</v>
      </c>
      <c r="D95">
        <v>3</v>
      </c>
      <c r="E95">
        <v>17</v>
      </c>
      <c r="F95" t="s">
        <v>258</v>
      </c>
      <c r="G95">
        <v>18</v>
      </c>
      <c r="H95" t="s">
        <v>18</v>
      </c>
      <c r="I95">
        <v>4</v>
      </c>
      <c r="J95">
        <v>30.1</v>
      </c>
      <c r="K95">
        <v>4</v>
      </c>
      <c r="L95">
        <v>4</v>
      </c>
      <c r="M95">
        <v>22</v>
      </c>
      <c r="N95" t="s">
        <v>259</v>
      </c>
    </row>
    <row r="96" spans="1:14" x14ac:dyDescent="0.35">
      <c r="A96" t="s">
        <v>252</v>
      </c>
      <c r="B96" t="s">
        <v>27</v>
      </c>
      <c r="C96" t="s">
        <v>16</v>
      </c>
      <c r="D96">
        <v>2</v>
      </c>
      <c r="E96">
        <v>18</v>
      </c>
      <c r="F96" t="s">
        <v>260</v>
      </c>
      <c r="G96">
        <v>18</v>
      </c>
      <c r="H96" t="s">
        <v>18</v>
      </c>
      <c r="I96">
        <v>3</v>
      </c>
      <c r="J96">
        <v>26.9</v>
      </c>
      <c r="K96">
        <v>4</v>
      </c>
      <c r="L96">
        <v>4</v>
      </c>
      <c r="M96">
        <v>22</v>
      </c>
      <c r="N96" t="s">
        <v>259</v>
      </c>
    </row>
    <row r="97" spans="1:14" x14ac:dyDescent="0.35">
      <c r="A97" t="s">
        <v>252</v>
      </c>
      <c r="B97" t="s">
        <v>31</v>
      </c>
      <c r="C97" t="s">
        <v>16</v>
      </c>
      <c r="D97">
        <v>2</v>
      </c>
      <c r="E97">
        <v>19</v>
      </c>
      <c r="F97" t="s">
        <v>261</v>
      </c>
      <c r="G97">
        <v>18</v>
      </c>
      <c r="H97" t="s">
        <v>18</v>
      </c>
      <c r="I97">
        <v>4</v>
      </c>
      <c r="J97">
        <v>26.8</v>
      </c>
      <c r="K97">
        <v>2</v>
      </c>
      <c r="L97">
        <v>3</v>
      </c>
      <c r="M97">
        <v>21</v>
      </c>
      <c r="N97" t="s">
        <v>262</v>
      </c>
    </row>
    <row r="98" spans="1:14" x14ac:dyDescent="0.35">
      <c r="A98" t="s">
        <v>252</v>
      </c>
      <c r="B98" t="s">
        <v>263</v>
      </c>
      <c r="C98" t="s">
        <v>29</v>
      </c>
      <c r="D98">
        <v>1</v>
      </c>
      <c r="E98">
        <v>18</v>
      </c>
      <c r="F98" t="s">
        <v>36</v>
      </c>
      <c r="G98">
        <v>18</v>
      </c>
      <c r="H98" t="s">
        <v>18</v>
      </c>
      <c r="I98">
        <v>13</v>
      </c>
      <c r="J98">
        <v>24</v>
      </c>
      <c r="K98">
        <v>1</v>
      </c>
      <c r="L98">
        <v>3</v>
      </c>
      <c r="M98">
        <v>21</v>
      </c>
      <c r="N98" t="s">
        <v>32</v>
      </c>
    </row>
    <row r="99" spans="1:14" x14ac:dyDescent="0.35">
      <c r="A99" t="s">
        <v>252</v>
      </c>
      <c r="B99" t="s">
        <v>34</v>
      </c>
      <c r="C99" t="s">
        <v>16</v>
      </c>
      <c r="D99">
        <v>3</v>
      </c>
      <c r="E99">
        <v>17</v>
      </c>
      <c r="F99" t="s">
        <v>39</v>
      </c>
      <c r="G99">
        <v>18</v>
      </c>
      <c r="H99" t="s">
        <v>18</v>
      </c>
      <c r="I99">
        <v>4</v>
      </c>
      <c r="J99">
        <v>28.8</v>
      </c>
      <c r="K99">
        <v>4</v>
      </c>
      <c r="L99">
        <v>2</v>
      </c>
      <c r="M99">
        <v>20</v>
      </c>
      <c r="N99" t="s">
        <v>45</v>
      </c>
    </row>
    <row r="100" spans="1:14" x14ac:dyDescent="0.35">
      <c r="A100" t="s">
        <v>252</v>
      </c>
      <c r="B100" t="s">
        <v>41</v>
      </c>
      <c r="C100" t="s">
        <v>16</v>
      </c>
      <c r="D100">
        <v>2</v>
      </c>
      <c r="E100">
        <v>17</v>
      </c>
      <c r="F100" t="s">
        <v>264</v>
      </c>
      <c r="G100">
        <v>18</v>
      </c>
      <c r="H100" t="s">
        <v>18</v>
      </c>
      <c r="I100">
        <v>9</v>
      </c>
      <c r="J100">
        <v>26.7</v>
      </c>
      <c r="K100">
        <v>4</v>
      </c>
      <c r="L100">
        <v>4</v>
      </c>
      <c r="M100">
        <v>22</v>
      </c>
      <c r="N100" t="s">
        <v>265</v>
      </c>
    </row>
    <row r="101" spans="1:14" x14ac:dyDescent="0.35">
      <c r="A101" t="s">
        <v>252</v>
      </c>
      <c r="B101" t="s">
        <v>255</v>
      </c>
      <c r="C101" t="s">
        <v>16</v>
      </c>
      <c r="D101">
        <v>1</v>
      </c>
      <c r="E101">
        <v>18</v>
      </c>
      <c r="F101" t="s">
        <v>32</v>
      </c>
      <c r="G101">
        <v>18</v>
      </c>
      <c r="H101" t="s">
        <v>18</v>
      </c>
      <c r="I101">
        <v>11</v>
      </c>
      <c r="J101">
        <v>25.5</v>
      </c>
      <c r="K101">
        <v>3</v>
      </c>
      <c r="L101">
        <v>5</v>
      </c>
      <c r="M101">
        <v>23</v>
      </c>
      <c r="N101" t="s">
        <v>59</v>
      </c>
    </row>
    <row r="102" spans="1:14" x14ac:dyDescent="0.35">
      <c r="A102" t="s">
        <v>252</v>
      </c>
      <c r="B102" t="s">
        <v>266</v>
      </c>
      <c r="C102" t="s">
        <v>16</v>
      </c>
      <c r="D102">
        <v>1</v>
      </c>
      <c r="E102">
        <v>18</v>
      </c>
      <c r="F102" t="s">
        <v>267</v>
      </c>
      <c r="G102">
        <v>18</v>
      </c>
      <c r="H102" t="s">
        <v>18</v>
      </c>
      <c r="I102">
        <v>9</v>
      </c>
      <c r="J102">
        <v>30.2</v>
      </c>
      <c r="K102">
        <v>3</v>
      </c>
      <c r="L102">
        <v>4</v>
      </c>
      <c r="M102">
        <v>22</v>
      </c>
      <c r="N102" t="s">
        <v>268</v>
      </c>
    </row>
    <row r="103" spans="1:14" x14ac:dyDescent="0.35">
      <c r="A103" t="s">
        <v>252</v>
      </c>
      <c r="B103" t="s">
        <v>50</v>
      </c>
      <c r="C103" t="s">
        <v>29</v>
      </c>
      <c r="D103">
        <v>1</v>
      </c>
      <c r="E103">
        <v>19</v>
      </c>
      <c r="F103" t="s">
        <v>267</v>
      </c>
      <c r="G103">
        <v>18</v>
      </c>
      <c r="H103" t="s">
        <v>18</v>
      </c>
      <c r="I103">
        <v>33</v>
      </c>
      <c r="J103">
        <v>24.3</v>
      </c>
      <c r="K103">
        <v>2</v>
      </c>
      <c r="L103">
        <v>3</v>
      </c>
      <c r="M103">
        <v>21</v>
      </c>
      <c r="N103" t="s">
        <v>65</v>
      </c>
    </row>
    <row r="104" spans="1:14" x14ac:dyDescent="0.35">
      <c r="A104" t="s">
        <v>252</v>
      </c>
      <c r="B104" t="s">
        <v>269</v>
      </c>
      <c r="C104" t="s">
        <v>16</v>
      </c>
      <c r="D104">
        <v>1</v>
      </c>
      <c r="E104">
        <v>17</v>
      </c>
      <c r="F104" t="s">
        <v>270</v>
      </c>
      <c r="G104">
        <v>18</v>
      </c>
      <c r="H104" t="s">
        <v>18</v>
      </c>
      <c r="I104">
        <v>5</v>
      </c>
      <c r="J104">
        <v>29</v>
      </c>
      <c r="K104">
        <v>2</v>
      </c>
      <c r="L104">
        <v>4</v>
      </c>
      <c r="M104">
        <v>22</v>
      </c>
      <c r="N104" t="s">
        <v>271</v>
      </c>
    </row>
    <row r="105" spans="1:14" x14ac:dyDescent="0.35">
      <c r="A105" t="s">
        <v>252</v>
      </c>
      <c r="B105" t="s">
        <v>272</v>
      </c>
      <c r="C105" t="s">
        <v>16</v>
      </c>
      <c r="D105">
        <v>0</v>
      </c>
      <c r="E105">
        <v>18</v>
      </c>
      <c r="F105" t="s">
        <v>273</v>
      </c>
      <c r="G105">
        <v>18</v>
      </c>
      <c r="H105" t="s">
        <v>18</v>
      </c>
      <c r="I105">
        <v>3</v>
      </c>
      <c r="J105">
        <v>28.2</v>
      </c>
      <c r="K105">
        <v>0</v>
      </c>
      <c r="L105">
        <v>0</v>
      </c>
      <c r="M105">
        <v>18</v>
      </c>
      <c r="N105" t="s">
        <v>54</v>
      </c>
    </row>
    <row r="106" spans="1:14" x14ac:dyDescent="0.35">
      <c r="A106" t="s">
        <v>252</v>
      </c>
      <c r="B106" t="s">
        <v>269</v>
      </c>
      <c r="C106" t="s">
        <v>29</v>
      </c>
      <c r="D106">
        <v>2</v>
      </c>
      <c r="E106">
        <v>16</v>
      </c>
      <c r="F106" t="s">
        <v>56</v>
      </c>
      <c r="G106">
        <v>18</v>
      </c>
      <c r="H106" t="s">
        <v>18</v>
      </c>
      <c r="I106">
        <v>10</v>
      </c>
      <c r="J106">
        <v>23.7</v>
      </c>
      <c r="K106">
        <v>4</v>
      </c>
      <c r="L106">
        <v>3</v>
      </c>
      <c r="M106">
        <v>21</v>
      </c>
      <c r="N106" t="s">
        <v>58</v>
      </c>
    </row>
    <row r="107" spans="1:14" x14ac:dyDescent="0.35">
      <c r="A107" t="s">
        <v>252</v>
      </c>
      <c r="B107" t="s">
        <v>56</v>
      </c>
      <c r="C107" t="s">
        <v>16</v>
      </c>
      <c r="D107">
        <v>0</v>
      </c>
      <c r="E107">
        <v>18</v>
      </c>
      <c r="F107" t="s">
        <v>274</v>
      </c>
      <c r="G107">
        <v>18</v>
      </c>
      <c r="H107" t="s">
        <v>18</v>
      </c>
      <c r="I107">
        <v>3</v>
      </c>
      <c r="J107">
        <v>31</v>
      </c>
      <c r="K107">
        <v>0</v>
      </c>
      <c r="L107">
        <v>0</v>
      </c>
      <c r="M107">
        <v>18</v>
      </c>
      <c r="N107" t="s">
        <v>275</v>
      </c>
    </row>
    <row r="108" spans="1:14" x14ac:dyDescent="0.35">
      <c r="A108" t="s">
        <v>252</v>
      </c>
      <c r="B108" t="s">
        <v>59</v>
      </c>
      <c r="C108" t="s">
        <v>16</v>
      </c>
      <c r="D108">
        <v>0</v>
      </c>
      <c r="E108">
        <v>25</v>
      </c>
      <c r="F108" t="s">
        <v>63</v>
      </c>
      <c r="G108">
        <v>18</v>
      </c>
      <c r="H108" t="s">
        <v>18</v>
      </c>
      <c r="I108">
        <v>4</v>
      </c>
      <c r="J108">
        <v>30.3</v>
      </c>
      <c r="K108">
        <v>3</v>
      </c>
      <c r="L108">
        <v>1</v>
      </c>
      <c r="M108">
        <v>19</v>
      </c>
      <c r="N108" t="s">
        <v>276</v>
      </c>
    </row>
    <row r="109" spans="1:14" x14ac:dyDescent="0.35">
      <c r="A109" t="s">
        <v>252</v>
      </c>
      <c r="B109" t="s">
        <v>277</v>
      </c>
      <c r="C109" t="s">
        <v>16</v>
      </c>
      <c r="D109">
        <v>7</v>
      </c>
      <c r="E109">
        <v>12</v>
      </c>
      <c r="F109" t="s">
        <v>51</v>
      </c>
      <c r="G109">
        <v>18</v>
      </c>
      <c r="H109" t="s">
        <v>18</v>
      </c>
      <c r="I109">
        <v>1</v>
      </c>
      <c r="J109">
        <v>24.4</v>
      </c>
      <c r="K109">
        <v>3</v>
      </c>
      <c r="L109">
        <v>3</v>
      </c>
      <c r="M109">
        <v>21</v>
      </c>
      <c r="N109" t="s">
        <v>275</v>
      </c>
    </row>
    <row r="110" spans="1:14" x14ac:dyDescent="0.35">
      <c r="A110" t="s">
        <v>252</v>
      </c>
      <c r="B110" t="s">
        <v>46</v>
      </c>
      <c r="C110" t="s">
        <v>16</v>
      </c>
      <c r="D110">
        <v>1</v>
      </c>
      <c r="E110">
        <v>17</v>
      </c>
      <c r="F110" t="s">
        <v>68</v>
      </c>
      <c r="G110">
        <v>18</v>
      </c>
      <c r="H110" t="s">
        <v>18</v>
      </c>
      <c r="I110">
        <v>3</v>
      </c>
      <c r="J110">
        <v>33.200000000000003</v>
      </c>
      <c r="K110">
        <v>4</v>
      </c>
      <c r="L110">
        <v>3</v>
      </c>
      <c r="M110">
        <v>21</v>
      </c>
      <c r="N110" t="s">
        <v>278</v>
      </c>
    </row>
    <row r="111" spans="1:14" x14ac:dyDescent="0.35">
      <c r="A111" t="s">
        <v>252</v>
      </c>
      <c r="B111" t="s">
        <v>43</v>
      </c>
      <c r="C111" t="s">
        <v>29</v>
      </c>
      <c r="D111">
        <v>0</v>
      </c>
      <c r="E111">
        <v>18</v>
      </c>
      <c r="F111" t="s">
        <v>279</v>
      </c>
      <c r="G111">
        <v>18</v>
      </c>
      <c r="H111" t="s">
        <v>18</v>
      </c>
      <c r="I111">
        <v>16</v>
      </c>
      <c r="J111">
        <v>17.399999999999999</v>
      </c>
      <c r="K111">
        <v>0</v>
      </c>
      <c r="L111">
        <v>0</v>
      </c>
      <c r="M111">
        <v>18</v>
      </c>
      <c r="N111" t="s">
        <v>275</v>
      </c>
    </row>
    <row r="112" spans="1:14" x14ac:dyDescent="0.35">
      <c r="A112" t="s">
        <v>252</v>
      </c>
      <c r="B112" t="s">
        <v>49</v>
      </c>
      <c r="C112" t="s">
        <v>16</v>
      </c>
      <c r="D112">
        <v>0</v>
      </c>
      <c r="E112">
        <v>19</v>
      </c>
      <c r="F112" t="s">
        <v>280</v>
      </c>
      <c r="G112">
        <v>18</v>
      </c>
      <c r="H112" t="s">
        <v>18</v>
      </c>
      <c r="I112">
        <v>3</v>
      </c>
      <c r="J112">
        <v>30</v>
      </c>
      <c r="K112">
        <v>4</v>
      </c>
      <c r="L112">
        <v>3</v>
      </c>
      <c r="M112">
        <v>21</v>
      </c>
      <c r="N112" t="s">
        <v>71</v>
      </c>
    </row>
    <row r="113" spans="1:14" x14ac:dyDescent="0.35">
      <c r="A113" t="s">
        <v>252</v>
      </c>
      <c r="B113" t="s">
        <v>268</v>
      </c>
      <c r="C113" t="s">
        <v>16</v>
      </c>
      <c r="D113">
        <v>1</v>
      </c>
      <c r="E113">
        <v>18</v>
      </c>
      <c r="F113" t="s">
        <v>281</v>
      </c>
      <c r="G113">
        <v>18</v>
      </c>
      <c r="H113" t="s">
        <v>18</v>
      </c>
      <c r="I113">
        <v>12</v>
      </c>
      <c r="J113">
        <v>28.4</v>
      </c>
      <c r="K113">
        <v>1</v>
      </c>
      <c r="L113">
        <v>3</v>
      </c>
      <c r="M113">
        <v>21</v>
      </c>
      <c r="N113" t="s">
        <v>282</v>
      </c>
    </row>
    <row r="114" spans="1:14" x14ac:dyDescent="0.35">
      <c r="A114" t="s">
        <v>252</v>
      </c>
      <c r="B114" t="s">
        <v>283</v>
      </c>
      <c r="C114" t="s">
        <v>16</v>
      </c>
      <c r="D114">
        <v>1</v>
      </c>
      <c r="E114">
        <v>17</v>
      </c>
      <c r="F114" t="s">
        <v>284</v>
      </c>
      <c r="G114">
        <v>18</v>
      </c>
      <c r="H114" t="s">
        <v>18</v>
      </c>
      <c r="I114">
        <v>12</v>
      </c>
      <c r="J114">
        <v>26.5</v>
      </c>
      <c r="K114">
        <v>0</v>
      </c>
      <c r="L114">
        <v>0</v>
      </c>
      <c r="M114">
        <v>18</v>
      </c>
      <c r="N114" t="s">
        <v>285</v>
      </c>
    </row>
    <row r="115" spans="1:14" x14ac:dyDescent="0.35">
      <c r="A115" t="s">
        <v>252</v>
      </c>
      <c r="B115" t="s">
        <v>70</v>
      </c>
      <c r="C115" t="s">
        <v>29</v>
      </c>
      <c r="D115">
        <v>0</v>
      </c>
      <c r="E115">
        <v>18</v>
      </c>
      <c r="F115" t="s">
        <v>286</v>
      </c>
      <c r="G115">
        <v>18</v>
      </c>
      <c r="H115" t="s">
        <v>18</v>
      </c>
      <c r="I115">
        <v>23</v>
      </c>
      <c r="J115">
        <v>26.2</v>
      </c>
      <c r="K115">
        <v>4</v>
      </c>
      <c r="L115">
        <v>3</v>
      </c>
      <c r="M115">
        <v>21</v>
      </c>
      <c r="N115" t="s">
        <v>91</v>
      </c>
    </row>
    <row r="116" spans="1:14" x14ac:dyDescent="0.35">
      <c r="A116" t="s">
        <v>252</v>
      </c>
      <c r="B116" t="s">
        <v>286</v>
      </c>
      <c r="C116" t="s">
        <v>16</v>
      </c>
      <c r="D116">
        <v>0</v>
      </c>
      <c r="E116">
        <v>21</v>
      </c>
      <c r="F116" t="s">
        <v>287</v>
      </c>
      <c r="G116">
        <v>18</v>
      </c>
      <c r="H116" t="s">
        <v>18</v>
      </c>
      <c r="I116">
        <v>7</v>
      </c>
      <c r="J116">
        <v>28.6</v>
      </c>
      <c r="K116">
        <v>4</v>
      </c>
      <c r="L116">
        <v>4</v>
      </c>
      <c r="M116">
        <v>22</v>
      </c>
      <c r="N116" t="s">
        <v>78</v>
      </c>
    </row>
    <row r="117" spans="1:14" x14ac:dyDescent="0.35">
      <c r="A117" t="s">
        <v>252</v>
      </c>
      <c r="B117" t="s">
        <v>77</v>
      </c>
      <c r="C117" t="s">
        <v>16</v>
      </c>
      <c r="D117">
        <v>3</v>
      </c>
      <c r="E117">
        <v>20</v>
      </c>
      <c r="F117" t="s">
        <v>288</v>
      </c>
      <c r="G117">
        <v>18</v>
      </c>
      <c r="H117" t="s">
        <v>18</v>
      </c>
      <c r="I117">
        <v>3</v>
      </c>
      <c r="J117">
        <v>34.200000000000003</v>
      </c>
      <c r="K117">
        <v>3</v>
      </c>
      <c r="L117">
        <v>4</v>
      </c>
      <c r="M117">
        <v>22</v>
      </c>
      <c r="N117" t="s">
        <v>84</v>
      </c>
    </row>
    <row r="118" spans="1:14" x14ac:dyDescent="0.35">
      <c r="A118" t="s">
        <v>252</v>
      </c>
      <c r="B118" t="s">
        <v>80</v>
      </c>
      <c r="C118" t="s">
        <v>16</v>
      </c>
      <c r="D118">
        <v>5</v>
      </c>
      <c r="E118">
        <v>19</v>
      </c>
      <c r="F118" t="s">
        <v>282</v>
      </c>
      <c r="G118">
        <v>18</v>
      </c>
      <c r="H118" t="s">
        <v>18</v>
      </c>
      <c r="I118">
        <v>2</v>
      </c>
      <c r="J118">
        <v>26.1</v>
      </c>
      <c r="K118">
        <v>1</v>
      </c>
      <c r="L118">
        <v>2</v>
      </c>
      <c r="M118">
        <v>20</v>
      </c>
      <c r="N118" t="s">
        <v>289</v>
      </c>
    </row>
    <row r="119" spans="1:14" x14ac:dyDescent="0.35">
      <c r="A119" t="s">
        <v>252</v>
      </c>
      <c r="B119" t="s">
        <v>71</v>
      </c>
      <c r="C119" t="s">
        <v>29</v>
      </c>
      <c r="D119">
        <v>0</v>
      </c>
      <c r="E119">
        <v>18</v>
      </c>
      <c r="F119" t="s">
        <v>83</v>
      </c>
      <c r="G119">
        <v>18</v>
      </c>
      <c r="H119" t="s">
        <v>18</v>
      </c>
      <c r="I119">
        <v>13</v>
      </c>
      <c r="J119">
        <v>23.4</v>
      </c>
      <c r="K119">
        <v>2</v>
      </c>
      <c r="L119">
        <v>4</v>
      </c>
      <c r="M119">
        <v>22</v>
      </c>
      <c r="N119" t="s">
        <v>81</v>
      </c>
    </row>
    <row r="120" spans="1:14" x14ac:dyDescent="0.35">
      <c r="A120" t="s">
        <v>252</v>
      </c>
      <c r="B120" t="s">
        <v>290</v>
      </c>
      <c r="C120" t="s">
        <v>16</v>
      </c>
      <c r="D120">
        <v>6</v>
      </c>
      <c r="E120">
        <v>13</v>
      </c>
      <c r="F120" t="s">
        <v>85</v>
      </c>
      <c r="G120">
        <v>18</v>
      </c>
      <c r="H120" t="s">
        <v>18</v>
      </c>
      <c r="I120">
        <v>2</v>
      </c>
      <c r="J120">
        <v>27.7</v>
      </c>
      <c r="K120">
        <v>4</v>
      </c>
      <c r="L120">
        <v>3</v>
      </c>
      <c r="M120">
        <v>21</v>
      </c>
      <c r="N120" t="s">
        <v>291</v>
      </c>
    </row>
    <row r="121" spans="1:14" x14ac:dyDescent="0.35">
      <c r="A121" t="s">
        <v>252</v>
      </c>
      <c r="B121" t="s">
        <v>292</v>
      </c>
      <c r="C121" t="s">
        <v>16</v>
      </c>
      <c r="D121">
        <v>1</v>
      </c>
      <c r="E121">
        <v>21</v>
      </c>
      <c r="F121" t="s">
        <v>87</v>
      </c>
      <c r="G121">
        <v>18</v>
      </c>
      <c r="H121" t="s">
        <v>18</v>
      </c>
      <c r="I121">
        <v>3</v>
      </c>
      <c r="J121">
        <v>27.2</v>
      </c>
      <c r="K121">
        <v>4</v>
      </c>
      <c r="L121">
        <v>4</v>
      </c>
      <c r="M121">
        <v>22</v>
      </c>
      <c r="N121" t="s">
        <v>101</v>
      </c>
    </row>
    <row r="122" spans="1:14" x14ac:dyDescent="0.35">
      <c r="A122" t="s">
        <v>252</v>
      </c>
      <c r="B122" t="s">
        <v>293</v>
      </c>
      <c r="C122" t="s">
        <v>16</v>
      </c>
      <c r="D122">
        <v>4</v>
      </c>
      <c r="E122">
        <v>14</v>
      </c>
      <c r="F122" t="s">
        <v>285</v>
      </c>
      <c r="G122">
        <v>18</v>
      </c>
      <c r="H122" t="s">
        <v>18</v>
      </c>
      <c r="I122">
        <v>3</v>
      </c>
      <c r="J122">
        <v>27.7</v>
      </c>
      <c r="K122">
        <v>1</v>
      </c>
      <c r="L122">
        <v>2</v>
      </c>
      <c r="M122">
        <v>20</v>
      </c>
      <c r="N122" t="s">
        <v>294</v>
      </c>
    </row>
    <row r="123" spans="1:14" x14ac:dyDescent="0.35">
      <c r="A123" t="s">
        <v>252</v>
      </c>
      <c r="B123" t="s">
        <v>91</v>
      </c>
      <c r="C123" t="s">
        <v>16</v>
      </c>
      <c r="D123">
        <v>0</v>
      </c>
      <c r="E123">
        <v>21</v>
      </c>
      <c r="F123" t="s">
        <v>96</v>
      </c>
      <c r="G123">
        <v>18</v>
      </c>
      <c r="H123" t="s">
        <v>18</v>
      </c>
      <c r="I123">
        <v>4</v>
      </c>
      <c r="J123">
        <v>27.9</v>
      </c>
      <c r="K123">
        <v>3</v>
      </c>
      <c r="L123">
        <v>2</v>
      </c>
      <c r="M123">
        <v>20</v>
      </c>
      <c r="N123" t="s">
        <v>97</v>
      </c>
    </row>
    <row r="124" spans="1:14" x14ac:dyDescent="0.35">
      <c r="A124" t="s">
        <v>252</v>
      </c>
      <c r="B124" t="s">
        <v>295</v>
      </c>
      <c r="C124" t="s">
        <v>16</v>
      </c>
      <c r="D124">
        <v>3</v>
      </c>
      <c r="E124">
        <v>17</v>
      </c>
      <c r="F124" t="s">
        <v>296</v>
      </c>
      <c r="G124">
        <v>18</v>
      </c>
      <c r="H124" t="s">
        <v>18</v>
      </c>
      <c r="I124">
        <v>3</v>
      </c>
      <c r="J124">
        <v>27.7</v>
      </c>
      <c r="K124">
        <v>0</v>
      </c>
      <c r="L124">
        <v>0</v>
      </c>
      <c r="M124">
        <v>18</v>
      </c>
      <c r="N124" t="s">
        <v>297</v>
      </c>
    </row>
    <row r="125" spans="1:14" x14ac:dyDescent="0.35">
      <c r="A125" t="s">
        <v>252</v>
      </c>
      <c r="B125" t="s">
        <v>85</v>
      </c>
      <c r="C125" t="s">
        <v>29</v>
      </c>
      <c r="D125">
        <v>0</v>
      </c>
      <c r="E125">
        <v>18</v>
      </c>
      <c r="F125" t="s">
        <v>78</v>
      </c>
      <c r="G125">
        <v>18</v>
      </c>
      <c r="H125" t="s">
        <v>18</v>
      </c>
      <c r="I125">
        <v>18</v>
      </c>
      <c r="J125">
        <v>24.6</v>
      </c>
      <c r="K125">
        <v>3</v>
      </c>
      <c r="L125">
        <v>6</v>
      </c>
      <c r="M125">
        <v>24</v>
      </c>
      <c r="N125" t="s">
        <v>104</v>
      </c>
    </row>
    <row r="126" spans="1:14" x14ac:dyDescent="0.35">
      <c r="A126" t="s">
        <v>252</v>
      </c>
      <c r="B126" t="s">
        <v>78</v>
      </c>
      <c r="C126" t="s">
        <v>16</v>
      </c>
      <c r="D126">
        <v>2</v>
      </c>
      <c r="E126">
        <v>16</v>
      </c>
      <c r="F126" t="s">
        <v>298</v>
      </c>
      <c r="G126">
        <v>18</v>
      </c>
      <c r="H126" t="s">
        <v>18</v>
      </c>
      <c r="I126">
        <v>11</v>
      </c>
      <c r="J126">
        <v>26</v>
      </c>
      <c r="K126">
        <v>1</v>
      </c>
      <c r="L126">
        <v>5</v>
      </c>
      <c r="M126">
        <v>23</v>
      </c>
      <c r="N126" t="s">
        <v>100</v>
      </c>
    </row>
    <row r="127" spans="1:14" x14ac:dyDescent="0.35">
      <c r="A127" t="s">
        <v>252</v>
      </c>
      <c r="B127" t="s">
        <v>299</v>
      </c>
      <c r="C127" t="s">
        <v>16</v>
      </c>
      <c r="D127">
        <v>0</v>
      </c>
      <c r="E127">
        <v>21</v>
      </c>
      <c r="F127" t="s">
        <v>106</v>
      </c>
      <c r="G127">
        <v>18</v>
      </c>
      <c r="H127" t="s">
        <v>18</v>
      </c>
      <c r="I127">
        <v>13</v>
      </c>
      <c r="J127">
        <v>30.1</v>
      </c>
      <c r="K127">
        <v>4</v>
      </c>
      <c r="L127">
        <v>6</v>
      </c>
      <c r="M127">
        <v>24</v>
      </c>
      <c r="N127" t="s">
        <v>300</v>
      </c>
    </row>
    <row r="128" spans="1:14" x14ac:dyDescent="0.35">
      <c r="A128" t="s">
        <v>252</v>
      </c>
      <c r="B128" t="s">
        <v>301</v>
      </c>
      <c r="C128" t="s">
        <v>29</v>
      </c>
      <c r="D128">
        <v>0</v>
      </c>
      <c r="E128">
        <v>18</v>
      </c>
      <c r="F128" t="s">
        <v>302</v>
      </c>
      <c r="G128">
        <v>18</v>
      </c>
      <c r="H128" t="s">
        <v>18</v>
      </c>
      <c r="I128">
        <v>31</v>
      </c>
      <c r="J128">
        <v>28.1</v>
      </c>
      <c r="K128">
        <v>3</v>
      </c>
      <c r="L128">
        <v>1</v>
      </c>
      <c r="M128">
        <v>19</v>
      </c>
      <c r="N128" t="s">
        <v>303</v>
      </c>
    </row>
    <row r="129" spans="1:14" x14ac:dyDescent="0.35">
      <c r="A129" t="s">
        <v>252</v>
      </c>
      <c r="B129" t="s">
        <v>297</v>
      </c>
      <c r="C129" t="s">
        <v>16</v>
      </c>
      <c r="D129">
        <v>3</v>
      </c>
      <c r="E129">
        <v>15</v>
      </c>
      <c r="F129" t="s">
        <v>304</v>
      </c>
      <c r="G129">
        <v>18</v>
      </c>
      <c r="H129" t="s">
        <v>18</v>
      </c>
      <c r="I129">
        <v>24</v>
      </c>
      <c r="J129">
        <v>24.3</v>
      </c>
      <c r="K129">
        <v>0</v>
      </c>
      <c r="L129">
        <v>0</v>
      </c>
      <c r="M129">
        <v>18</v>
      </c>
      <c r="N129" t="s">
        <v>305</v>
      </c>
    </row>
    <row r="130" spans="1:14" x14ac:dyDescent="0.35">
      <c r="A130" t="s">
        <v>252</v>
      </c>
      <c r="B130" t="s">
        <v>306</v>
      </c>
      <c r="C130" t="s">
        <v>16</v>
      </c>
      <c r="D130">
        <v>0</v>
      </c>
      <c r="E130">
        <v>18</v>
      </c>
      <c r="F130" t="s">
        <v>307</v>
      </c>
      <c r="G130">
        <v>18</v>
      </c>
      <c r="H130" t="s">
        <v>18</v>
      </c>
      <c r="I130">
        <v>21</v>
      </c>
      <c r="J130">
        <v>28.3</v>
      </c>
      <c r="K130">
        <v>0</v>
      </c>
      <c r="L130">
        <v>0</v>
      </c>
      <c r="M130">
        <v>18</v>
      </c>
      <c r="N130" t="s">
        <v>308</v>
      </c>
    </row>
    <row r="131" spans="1:14" x14ac:dyDescent="0.35">
      <c r="A131" t="s">
        <v>252</v>
      </c>
      <c r="B131" t="s">
        <v>309</v>
      </c>
      <c r="C131" t="s">
        <v>16</v>
      </c>
      <c r="D131">
        <v>0</v>
      </c>
      <c r="E131">
        <v>18</v>
      </c>
      <c r="F131" t="s">
        <v>310</v>
      </c>
      <c r="G131">
        <v>18</v>
      </c>
      <c r="H131" t="s">
        <v>18</v>
      </c>
      <c r="I131">
        <v>21</v>
      </c>
      <c r="J131">
        <v>28.7</v>
      </c>
      <c r="K131">
        <v>3</v>
      </c>
      <c r="L131">
        <v>2</v>
      </c>
      <c r="M131">
        <v>20</v>
      </c>
      <c r="N131" t="s">
        <v>311</v>
      </c>
    </row>
    <row r="132" spans="1:14" x14ac:dyDescent="0.35">
      <c r="A132" t="s">
        <v>252</v>
      </c>
      <c r="B132" t="s">
        <v>312</v>
      </c>
      <c r="C132" t="s">
        <v>16</v>
      </c>
      <c r="D132">
        <v>0</v>
      </c>
      <c r="E132">
        <v>18</v>
      </c>
      <c r="F132" t="s">
        <v>313</v>
      </c>
      <c r="G132">
        <v>18</v>
      </c>
      <c r="H132" t="s">
        <v>18</v>
      </c>
      <c r="I132">
        <v>21</v>
      </c>
      <c r="J132">
        <v>26.3</v>
      </c>
      <c r="K132">
        <v>1</v>
      </c>
      <c r="L132">
        <v>3</v>
      </c>
      <c r="M132">
        <v>21</v>
      </c>
      <c r="N132" t="s">
        <v>314</v>
      </c>
    </row>
    <row r="133" spans="1:14" x14ac:dyDescent="0.35">
      <c r="A133" t="s">
        <v>252</v>
      </c>
      <c r="B133" t="s">
        <v>315</v>
      </c>
      <c r="C133" t="s">
        <v>29</v>
      </c>
      <c r="D133">
        <v>0</v>
      </c>
      <c r="E133">
        <v>18</v>
      </c>
      <c r="F133" t="s">
        <v>316</v>
      </c>
      <c r="G133">
        <v>18</v>
      </c>
      <c r="H133" t="s">
        <v>18</v>
      </c>
      <c r="I133">
        <v>85</v>
      </c>
      <c r="J133">
        <v>22.9</v>
      </c>
      <c r="K133">
        <v>1</v>
      </c>
      <c r="L133">
        <v>0</v>
      </c>
      <c r="M133">
        <v>18</v>
      </c>
      <c r="N133" t="s">
        <v>124</v>
      </c>
    </row>
    <row r="134" spans="1:14" x14ac:dyDescent="0.35">
      <c r="A134" t="s">
        <v>252</v>
      </c>
      <c r="B134" t="s">
        <v>116</v>
      </c>
      <c r="C134" t="s">
        <v>16</v>
      </c>
      <c r="D134">
        <v>0</v>
      </c>
      <c r="E134">
        <v>18</v>
      </c>
      <c r="F134" t="s">
        <v>317</v>
      </c>
      <c r="G134">
        <v>18</v>
      </c>
      <c r="H134" t="s">
        <v>18</v>
      </c>
      <c r="I134">
        <v>19</v>
      </c>
      <c r="J134">
        <v>26.6</v>
      </c>
      <c r="K134">
        <v>1</v>
      </c>
      <c r="L134">
        <v>2</v>
      </c>
      <c r="M134">
        <v>20</v>
      </c>
      <c r="N134" t="s">
        <v>139</v>
      </c>
    </row>
    <row r="135" spans="1:14" x14ac:dyDescent="0.35">
      <c r="A135" t="s">
        <v>252</v>
      </c>
      <c r="B135" t="s">
        <v>318</v>
      </c>
      <c r="C135" t="s">
        <v>16</v>
      </c>
      <c r="D135">
        <v>0</v>
      </c>
      <c r="E135">
        <v>20</v>
      </c>
      <c r="F135" t="s">
        <v>126</v>
      </c>
      <c r="G135">
        <v>18</v>
      </c>
      <c r="H135" t="s">
        <v>18</v>
      </c>
      <c r="I135">
        <v>10</v>
      </c>
      <c r="J135">
        <v>27.1</v>
      </c>
      <c r="K135">
        <v>1</v>
      </c>
      <c r="L135">
        <v>3</v>
      </c>
      <c r="M135">
        <v>21</v>
      </c>
      <c r="N135" t="s">
        <v>319</v>
      </c>
    </row>
    <row r="136" spans="1:14" x14ac:dyDescent="0.35">
      <c r="A136" t="s">
        <v>252</v>
      </c>
      <c r="B136" t="s">
        <v>128</v>
      </c>
      <c r="C136" t="s">
        <v>16</v>
      </c>
      <c r="D136">
        <v>2</v>
      </c>
      <c r="E136">
        <v>17</v>
      </c>
      <c r="F136" t="s">
        <v>320</v>
      </c>
      <c r="G136">
        <v>18</v>
      </c>
      <c r="H136" t="s">
        <v>18</v>
      </c>
      <c r="I136">
        <v>3</v>
      </c>
      <c r="J136">
        <v>29.4</v>
      </c>
      <c r="K136">
        <v>0</v>
      </c>
      <c r="L136">
        <v>0</v>
      </c>
      <c r="M136">
        <v>18</v>
      </c>
      <c r="N136" t="s">
        <v>321</v>
      </c>
    </row>
    <row r="137" spans="1:14" x14ac:dyDescent="0.35">
      <c r="A137" t="s">
        <v>252</v>
      </c>
      <c r="B137" t="s">
        <v>129</v>
      </c>
      <c r="C137" t="s">
        <v>16</v>
      </c>
      <c r="D137">
        <v>1</v>
      </c>
      <c r="E137">
        <v>17</v>
      </c>
      <c r="F137" t="s">
        <v>322</v>
      </c>
      <c r="G137">
        <v>18</v>
      </c>
      <c r="H137" t="s">
        <v>18</v>
      </c>
      <c r="I137">
        <v>4</v>
      </c>
      <c r="J137">
        <v>27.4</v>
      </c>
      <c r="K137">
        <v>3</v>
      </c>
      <c r="L137">
        <v>2</v>
      </c>
      <c r="M137">
        <v>20</v>
      </c>
      <c r="N137" t="s">
        <v>133</v>
      </c>
    </row>
    <row r="138" spans="1:14" x14ac:dyDescent="0.35">
      <c r="A138" t="s">
        <v>252</v>
      </c>
      <c r="B138" t="s">
        <v>323</v>
      </c>
      <c r="C138" t="s">
        <v>29</v>
      </c>
      <c r="D138">
        <v>0</v>
      </c>
      <c r="E138">
        <v>18</v>
      </c>
      <c r="F138" t="s">
        <v>324</v>
      </c>
      <c r="G138">
        <v>18</v>
      </c>
      <c r="H138" t="s">
        <v>18</v>
      </c>
      <c r="I138">
        <v>26</v>
      </c>
      <c r="J138">
        <v>26.6</v>
      </c>
      <c r="K138">
        <v>3</v>
      </c>
      <c r="L138">
        <v>6</v>
      </c>
      <c r="M138">
        <v>24</v>
      </c>
      <c r="N138" t="s">
        <v>133</v>
      </c>
    </row>
    <row r="139" spans="1:14" x14ac:dyDescent="0.35">
      <c r="A139" t="s">
        <v>252</v>
      </c>
      <c r="B139" t="s">
        <v>324</v>
      </c>
      <c r="C139" t="s">
        <v>16</v>
      </c>
      <c r="D139">
        <v>0</v>
      </c>
      <c r="E139">
        <v>19</v>
      </c>
      <c r="F139" t="s">
        <v>139</v>
      </c>
      <c r="G139">
        <v>18</v>
      </c>
      <c r="H139" t="s">
        <v>18</v>
      </c>
      <c r="I139">
        <v>4</v>
      </c>
      <c r="J139">
        <v>29.1</v>
      </c>
      <c r="K139">
        <v>3</v>
      </c>
      <c r="L139">
        <v>2</v>
      </c>
      <c r="M139">
        <v>20</v>
      </c>
      <c r="N139" t="s">
        <v>148</v>
      </c>
    </row>
    <row r="140" spans="1:14" x14ac:dyDescent="0.35">
      <c r="A140" t="s">
        <v>252</v>
      </c>
      <c r="B140" t="s">
        <v>141</v>
      </c>
      <c r="C140" t="s">
        <v>16</v>
      </c>
      <c r="D140">
        <v>1</v>
      </c>
      <c r="E140">
        <v>17</v>
      </c>
      <c r="F140" t="s">
        <v>122</v>
      </c>
      <c r="G140">
        <v>18</v>
      </c>
      <c r="H140" t="s">
        <v>18</v>
      </c>
      <c r="I140">
        <v>3</v>
      </c>
      <c r="J140">
        <v>30.4</v>
      </c>
      <c r="K140">
        <v>3</v>
      </c>
      <c r="L140">
        <v>4</v>
      </c>
      <c r="M140">
        <v>22</v>
      </c>
      <c r="N140" t="s">
        <v>140</v>
      </c>
    </row>
    <row r="141" spans="1:14" x14ac:dyDescent="0.35">
      <c r="A141" t="s">
        <v>252</v>
      </c>
      <c r="B141" t="s">
        <v>142</v>
      </c>
      <c r="C141" t="s">
        <v>16</v>
      </c>
      <c r="D141">
        <v>0</v>
      </c>
      <c r="E141">
        <v>21</v>
      </c>
      <c r="F141" t="s">
        <v>145</v>
      </c>
      <c r="G141">
        <v>18</v>
      </c>
      <c r="H141" t="s">
        <v>18</v>
      </c>
      <c r="I141">
        <v>4</v>
      </c>
      <c r="J141">
        <v>26.4</v>
      </c>
      <c r="K141">
        <v>0</v>
      </c>
      <c r="L141">
        <v>0</v>
      </c>
      <c r="M141">
        <v>18</v>
      </c>
      <c r="N141" t="s">
        <v>325</v>
      </c>
    </row>
    <row r="142" spans="1:14" x14ac:dyDescent="0.35">
      <c r="A142" t="s">
        <v>252</v>
      </c>
      <c r="B142" t="s">
        <v>138</v>
      </c>
      <c r="C142" t="s">
        <v>29</v>
      </c>
      <c r="D142">
        <v>0</v>
      </c>
      <c r="E142">
        <v>19</v>
      </c>
      <c r="F142" t="s">
        <v>147</v>
      </c>
      <c r="G142">
        <v>18</v>
      </c>
      <c r="H142" t="s">
        <v>18</v>
      </c>
      <c r="I142">
        <v>11</v>
      </c>
      <c r="J142">
        <v>22.7</v>
      </c>
      <c r="K142">
        <v>3</v>
      </c>
      <c r="L142">
        <v>5</v>
      </c>
      <c r="M142">
        <v>23</v>
      </c>
      <c r="N142" t="s">
        <v>326</v>
      </c>
    </row>
    <row r="143" spans="1:14" x14ac:dyDescent="0.35">
      <c r="A143" t="s">
        <v>252</v>
      </c>
      <c r="B143" t="s">
        <v>147</v>
      </c>
      <c r="C143" t="s">
        <v>16</v>
      </c>
      <c r="D143">
        <v>3</v>
      </c>
      <c r="E143">
        <v>16</v>
      </c>
      <c r="F143" t="s">
        <v>327</v>
      </c>
      <c r="G143">
        <v>18</v>
      </c>
      <c r="H143" t="s">
        <v>18</v>
      </c>
      <c r="I143">
        <v>6</v>
      </c>
      <c r="J143">
        <v>24.5</v>
      </c>
      <c r="K143">
        <v>1</v>
      </c>
      <c r="L143">
        <v>3</v>
      </c>
      <c r="M143">
        <v>21</v>
      </c>
      <c r="N143" t="s">
        <v>143</v>
      </c>
    </row>
    <row r="144" spans="1:14" x14ac:dyDescent="0.35">
      <c r="A144" t="s">
        <v>252</v>
      </c>
      <c r="B144" t="s">
        <v>151</v>
      </c>
      <c r="C144" t="s">
        <v>16</v>
      </c>
      <c r="D144">
        <v>1</v>
      </c>
      <c r="E144">
        <v>18</v>
      </c>
      <c r="F144" t="s">
        <v>140</v>
      </c>
      <c r="G144">
        <v>18</v>
      </c>
      <c r="H144" t="s">
        <v>18</v>
      </c>
      <c r="I144">
        <v>17</v>
      </c>
      <c r="J144">
        <v>30.6</v>
      </c>
      <c r="K144">
        <v>0</v>
      </c>
      <c r="L144">
        <v>0</v>
      </c>
      <c r="M144">
        <v>18</v>
      </c>
      <c r="N144" t="s">
        <v>171</v>
      </c>
    </row>
    <row r="145" spans="1:14" x14ac:dyDescent="0.35">
      <c r="A145" t="s">
        <v>252</v>
      </c>
      <c r="B145" t="s">
        <v>325</v>
      </c>
      <c r="C145" t="s">
        <v>16</v>
      </c>
      <c r="D145">
        <v>1</v>
      </c>
      <c r="E145">
        <v>19</v>
      </c>
      <c r="F145" t="s">
        <v>156</v>
      </c>
      <c r="G145">
        <v>18</v>
      </c>
      <c r="H145" t="s">
        <v>18</v>
      </c>
      <c r="I145">
        <v>9</v>
      </c>
      <c r="J145">
        <v>25.7</v>
      </c>
      <c r="K145">
        <v>0</v>
      </c>
      <c r="L145">
        <v>0</v>
      </c>
      <c r="M145">
        <v>18</v>
      </c>
      <c r="N145" t="s">
        <v>173</v>
      </c>
    </row>
    <row r="146" spans="1:14" x14ac:dyDescent="0.35">
      <c r="A146" t="s">
        <v>252</v>
      </c>
      <c r="B146" t="s">
        <v>155</v>
      </c>
      <c r="C146" t="s">
        <v>29</v>
      </c>
      <c r="D146">
        <v>1</v>
      </c>
      <c r="E146">
        <v>10</v>
      </c>
      <c r="F146" t="s">
        <v>156</v>
      </c>
      <c r="G146">
        <v>11</v>
      </c>
      <c r="H146" t="s">
        <v>157</v>
      </c>
      <c r="I146">
        <v>33</v>
      </c>
      <c r="J146">
        <v>20.399999999999999</v>
      </c>
      <c r="K146">
        <v>3</v>
      </c>
      <c r="L146">
        <v>3</v>
      </c>
      <c r="M146">
        <v>14</v>
      </c>
      <c r="N146" t="s">
        <v>171</v>
      </c>
    </row>
    <row r="147" spans="1:14" x14ac:dyDescent="0.35">
      <c r="A147" t="s">
        <v>252</v>
      </c>
      <c r="B147" t="s">
        <v>328</v>
      </c>
      <c r="C147" t="s">
        <v>16</v>
      </c>
      <c r="D147">
        <v>2</v>
      </c>
      <c r="E147">
        <v>21</v>
      </c>
      <c r="F147" t="s">
        <v>329</v>
      </c>
      <c r="G147">
        <v>18</v>
      </c>
      <c r="H147" t="s">
        <v>18</v>
      </c>
      <c r="I147">
        <v>6</v>
      </c>
      <c r="J147">
        <v>27.7</v>
      </c>
      <c r="K147">
        <v>4</v>
      </c>
      <c r="L147">
        <v>5</v>
      </c>
      <c r="M147">
        <v>23</v>
      </c>
      <c r="N147" t="s">
        <v>330</v>
      </c>
    </row>
    <row r="148" spans="1:14" x14ac:dyDescent="0.35">
      <c r="A148" t="s">
        <v>252</v>
      </c>
      <c r="B148" t="s">
        <v>331</v>
      </c>
      <c r="C148" t="s">
        <v>16</v>
      </c>
      <c r="D148">
        <v>5</v>
      </c>
      <c r="E148">
        <v>15</v>
      </c>
      <c r="F148" t="s">
        <v>153</v>
      </c>
      <c r="G148">
        <v>18</v>
      </c>
      <c r="H148" t="s">
        <v>18</v>
      </c>
      <c r="I148">
        <v>3</v>
      </c>
      <c r="J148">
        <v>30.7</v>
      </c>
      <c r="K148">
        <v>2</v>
      </c>
      <c r="L148">
        <v>2</v>
      </c>
      <c r="M148">
        <v>20</v>
      </c>
      <c r="N148" t="s">
        <v>181</v>
      </c>
    </row>
    <row r="149" spans="1:14" x14ac:dyDescent="0.35">
      <c r="A149" t="s">
        <v>252</v>
      </c>
      <c r="B149" t="s">
        <v>328</v>
      </c>
      <c r="C149" t="s">
        <v>29</v>
      </c>
      <c r="D149">
        <v>0</v>
      </c>
      <c r="E149">
        <v>19</v>
      </c>
      <c r="F149" t="s">
        <v>332</v>
      </c>
      <c r="G149">
        <v>18</v>
      </c>
      <c r="H149" t="s">
        <v>18</v>
      </c>
      <c r="I149">
        <v>11</v>
      </c>
      <c r="J149">
        <v>23.4</v>
      </c>
      <c r="K149">
        <v>4</v>
      </c>
      <c r="L149">
        <v>4</v>
      </c>
      <c r="M149">
        <v>22</v>
      </c>
      <c r="N149" t="s">
        <v>167</v>
      </c>
    </row>
    <row r="150" spans="1:14" x14ac:dyDescent="0.35">
      <c r="A150" t="s">
        <v>252</v>
      </c>
      <c r="B150" t="s">
        <v>332</v>
      </c>
      <c r="C150" t="s">
        <v>16</v>
      </c>
      <c r="D150">
        <v>2</v>
      </c>
      <c r="E150">
        <v>19</v>
      </c>
      <c r="F150" t="s">
        <v>333</v>
      </c>
      <c r="G150">
        <v>18</v>
      </c>
      <c r="H150" t="s">
        <v>18</v>
      </c>
      <c r="I150">
        <v>3</v>
      </c>
      <c r="J150">
        <v>29.4</v>
      </c>
      <c r="K150">
        <v>0</v>
      </c>
      <c r="L150">
        <v>0</v>
      </c>
      <c r="M150">
        <v>18</v>
      </c>
      <c r="N150" t="s">
        <v>334</v>
      </c>
    </row>
    <row r="151" spans="1:14" x14ac:dyDescent="0.35">
      <c r="A151" t="s">
        <v>252</v>
      </c>
      <c r="B151" t="s">
        <v>335</v>
      </c>
      <c r="C151" t="s">
        <v>16</v>
      </c>
      <c r="D151">
        <v>3</v>
      </c>
      <c r="E151">
        <v>16</v>
      </c>
      <c r="F151" t="s">
        <v>169</v>
      </c>
      <c r="G151">
        <v>18</v>
      </c>
      <c r="H151" t="s">
        <v>18</v>
      </c>
      <c r="I151">
        <v>3</v>
      </c>
      <c r="J151">
        <v>28.4</v>
      </c>
      <c r="K151">
        <v>0</v>
      </c>
      <c r="L151">
        <v>0</v>
      </c>
      <c r="M151">
        <v>18</v>
      </c>
      <c r="N151" t="s">
        <v>170</v>
      </c>
    </row>
    <row r="152" spans="1:14" x14ac:dyDescent="0.35">
      <c r="A152" t="s">
        <v>252</v>
      </c>
      <c r="B152" t="s">
        <v>171</v>
      </c>
      <c r="C152" t="s">
        <v>16</v>
      </c>
      <c r="D152">
        <v>1</v>
      </c>
      <c r="E152">
        <v>20</v>
      </c>
      <c r="F152" t="s">
        <v>336</v>
      </c>
      <c r="G152">
        <v>18</v>
      </c>
      <c r="H152" t="s">
        <v>18</v>
      </c>
      <c r="I152">
        <v>4</v>
      </c>
      <c r="J152">
        <v>26.2</v>
      </c>
      <c r="K152">
        <v>3</v>
      </c>
      <c r="L152">
        <v>4</v>
      </c>
      <c r="M152">
        <v>22</v>
      </c>
      <c r="N152" t="s">
        <v>337</v>
      </c>
    </row>
    <row r="153" spans="1:14" x14ac:dyDescent="0.35">
      <c r="A153" t="s">
        <v>252</v>
      </c>
      <c r="B153" t="s">
        <v>173</v>
      </c>
      <c r="C153" t="s">
        <v>16</v>
      </c>
      <c r="D153">
        <v>3</v>
      </c>
      <c r="E153">
        <v>19</v>
      </c>
      <c r="F153" t="s">
        <v>178</v>
      </c>
      <c r="G153">
        <v>18</v>
      </c>
      <c r="H153" t="s">
        <v>18</v>
      </c>
      <c r="I153">
        <v>3</v>
      </c>
      <c r="J153">
        <v>26.5</v>
      </c>
      <c r="K153">
        <v>0</v>
      </c>
      <c r="L153">
        <v>0</v>
      </c>
      <c r="M153">
        <v>18</v>
      </c>
      <c r="N153" t="s">
        <v>338</v>
      </c>
    </row>
    <row r="154" spans="1:14" x14ac:dyDescent="0.35">
      <c r="A154" t="s">
        <v>252</v>
      </c>
      <c r="B154" t="s">
        <v>166</v>
      </c>
      <c r="C154" t="s">
        <v>29</v>
      </c>
      <c r="D154">
        <v>1</v>
      </c>
      <c r="E154">
        <v>17</v>
      </c>
      <c r="F154" t="s">
        <v>178</v>
      </c>
      <c r="G154">
        <v>18</v>
      </c>
      <c r="H154" t="s">
        <v>18</v>
      </c>
      <c r="I154">
        <v>15</v>
      </c>
      <c r="J154">
        <v>19.399999999999999</v>
      </c>
      <c r="K154">
        <v>2</v>
      </c>
      <c r="L154">
        <v>3</v>
      </c>
      <c r="M154">
        <v>21</v>
      </c>
      <c r="N154" t="s">
        <v>170</v>
      </c>
    </row>
    <row r="155" spans="1:14" x14ac:dyDescent="0.35">
      <c r="A155" t="s">
        <v>252</v>
      </c>
      <c r="B155" t="s">
        <v>339</v>
      </c>
      <c r="C155" t="s">
        <v>16</v>
      </c>
      <c r="D155">
        <v>4</v>
      </c>
      <c r="E155">
        <v>14</v>
      </c>
      <c r="F155" t="s">
        <v>179</v>
      </c>
      <c r="G155">
        <v>18</v>
      </c>
      <c r="H155" t="s">
        <v>18</v>
      </c>
      <c r="I155">
        <v>7</v>
      </c>
      <c r="J155">
        <v>27.8</v>
      </c>
      <c r="K155">
        <v>3</v>
      </c>
      <c r="L155">
        <v>3</v>
      </c>
      <c r="M155">
        <v>21</v>
      </c>
      <c r="N155" t="s">
        <v>182</v>
      </c>
    </row>
    <row r="156" spans="1:14" x14ac:dyDescent="0.35">
      <c r="A156" t="s">
        <v>252</v>
      </c>
      <c r="B156" t="s">
        <v>183</v>
      </c>
      <c r="C156" t="s">
        <v>16</v>
      </c>
      <c r="D156">
        <v>0</v>
      </c>
      <c r="E156">
        <v>19</v>
      </c>
      <c r="F156" t="s">
        <v>340</v>
      </c>
      <c r="G156">
        <v>18</v>
      </c>
      <c r="H156" t="s">
        <v>18</v>
      </c>
      <c r="I156">
        <v>6</v>
      </c>
      <c r="J156">
        <v>30.8</v>
      </c>
      <c r="K156">
        <v>1</v>
      </c>
      <c r="L156">
        <v>3</v>
      </c>
      <c r="M156">
        <v>21</v>
      </c>
      <c r="N156" t="s">
        <v>341</v>
      </c>
    </row>
    <row r="157" spans="1:14" x14ac:dyDescent="0.35">
      <c r="A157" t="s">
        <v>252</v>
      </c>
      <c r="B157" t="s">
        <v>339</v>
      </c>
      <c r="C157" t="s">
        <v>29</v>
      </c>
      <c r="D157">
        <v>0</v>
      </c>
      <c r="E157">
        <v>11</v>
      </c>
      <c r="F157" t="s">
        <v>334</v>
      </c>
      <c r="G157">
        <v>11</v>
      </c>
      <c r="H157" t="s">
        <v>157</v>
      </c>
      <c r="I157">
        <v>15</v>
      </c>
      <c r="J157">
        <v>18.8</v>
      </c>
      <c r="K157">
        <v>1</v>
      </c>
      <c r="L157">
        <v>3</v>
      </c>
      <c r="M157">
        <v>14</v>
      </c>
      <c r="N157" t="s">
        <v>190</v>
      </c>
    </row>
    <row r="158" spans="1:14" x14ac:dyDescent="0.35">
      <c r="A158" t="s">
        <v>252</v>
      </c>
      <c r="B158" t="s">
        <v>334</v>
      </c>
      <c r="C158" t="s">
        <v>16</v>
      </c>
      <c r="D158">
        <v>1</v>
      </c>
      <c r="E158">
        <v>17</v>
      </c>
      <c r="F158" t="s">
        <v>177</v>
      </c>
      <c r="G158">
        <v>18</v>
      </c>
      <c r="H158" t="s">
        <v>18</v>
      </c>
      <c r="I158">
        <v>8</v>
      </c>
      <c r="J158">
        <v>27.9</v>
      </c>
      <c r="K158">
        <v>0</v>
      </c>
      <c r="L158">
        <v>0</v>
      </c>
      <c r="M158">
        <v>18</v>
      </c>
      <c r="N158" t="s">
        <v>342</v>
      </c>
    </row>
    <row r="159" spans="1:14" x14ac:dyDescent="0.35">
      <c r="A159" t="s">
        <v>252</v>
      </c>
      <c r="B159" t="s">
        <v>343</v>
      </c>
      <c r="C159" t="s">
        <v>29</v>
      </c>
      <c r="D159">
        <v>0</v>
      </c>
      <c r="E159">
        <v>5</v>
      </c>
      <c r="F159" t="s">
        <v>344</v>
      </c>
      <c r="G159">
        <v>5</v>
      </c>
      <c r="H159" t="s">
        <v>157</v>
      </c>
      <c r="I159">
        <v>15</v>
      </c>
      <c r="J159">
        <v>18.899999999999999</v>
      </c>
      <c r="K159">
        <v>3</v>
      </c>
      <c r="L159">
        <v>0</v>
      </c>
      <c r="M159">
        <v>5</v>
      </c>
      <c r="N159" t="s">
        <v>192</v>
      </c>
    </row>
    <row r="160" spans="1:14" x14ac:dyDescent="0.35">
      <c r="A160" t="s">
        <v>252</v>
      </c>
      <c r="B160" t="s">
        <v>172</v>
      </c>
      <c r="C160" t="s">
        <v>16</v>
      </c>
      <c r="D160">
        <v>0</v>
      </c>
      <c r="E160">
        <v>18</v>
      </c>
      <c r="F160" t="s">
        <v>345</v>
      </c>
      <c r="G160">
        <v>18</v>
      </c>
      <c r="H160" t="s">
        <v>18</v>
      </c>
      <c r="I160">
        <v>13</v>
      </c>
      <c r="J160">
        <v>31.4</v>
      </c>
      <c r="K160">
        <v>1</v>
      </c>
      <c r="L160">
        <v>3</v>
      </c>
      <c r="M160">
        <v>21</v>
      </c>
      <c r="N160" t="s">
        <v>346</v>
      </c>
    </row>
    <row r="161" spans="1:14" x14ac:dyDescent="0.35">
      <c r="A161" t="s">
        <v>252</v>
      </c>
      <c r="B161" t="s">
        <v>190</v>
      </c>
      <c r="C161" t="s">
        <v>29</v>
      </c>
      <c r="D161">
        <v>0</v>
      </c>
      <c r="E161">
        <v>4</v>
      </c>
      <c r="F161" t="s">
        <v>347</v>
      </c>
      <c r="G161">
        <v>4</v>
      </c>
      <c r="H161" t="s">
        <v>157</v>
      </c>
      <c r="I161">
        <v>15</v>
      </c>
      <c r="J161">
        <v>21.6</v>
      </c>
      <c r="K161">
        <v>1</v>
      </c>
      <c r="L161">
        <v>0</v>
      </c>
      <c r="M161">
        <v>4</v>
      </c>
      <c r="N161" t="s">
        <v>201</v>
      </c>
    </row>
    <row r="162" spans="1:14" x14ac:dyDescent="0.35">
      <c r="A162" t="s">
        <v>252</v>
      </c>
      <c r="B162" t="s">
        <v>348</v>
      </c>
      <c r="C162" t="s">
        <v>16</v>
      </c>
      <c r="D162">
        <v>0</v>
      </c>
      <c r="E162">
        <v>13</v>
      </c>
      <c r="F162" t="s">
        <v>349</v>
      </c>
      <c r="G162">
        <v>13</v>
      </c>
      <c r="H162" t="s">
        <v>157</v>
      </c>
      <c r="I162">
        <v>15</v>
      </c>
      <c r="J162">
        <v>29.2</v>
      </c>
      <c r="K162">
        <v>2</v>
      </c>
      <c r="L162">
        <v>3</v>
      </c>
      <c r="M162">
        <v>16</v>
      </c>
      <c r="N162" t="s">
        <v>350</v>
      </c>
    </row>
    <row r="163" spans="1:14" x14ac:dyDescent="0.35">
      <c r="A163" t="s">
        <v>252</v>
      </c>
      <c r="B163" t="s">
        <v>351</v>
      </c>
      <c r="C163" t="s">
        <v>16</v>
      </c>
      <c r="D163">
        <v>0</v>
      </c>
      <c r="E163">
        <v>12</v>
      </c>
      <c r="F163" t="s">
        <v>193</v>
      </c>
      <c r="G163">
        <v>12</v>
      </c>
      <c r="H163" t="s">
        <v>157</v>
      </c>
      <c r="I163">
        <v>15</v>
      </c>
      <c r="J163">
        <v>30.8</v>
      </c>
      <c r="K163">
        <v>1</v>
      </c>
      <c r="L163">
        <v>0</v>
      </c>
      <c r="M163">
        <v>12</v>
      </c>
      <c r="N163" t="s">
        <v>352</v>
      </c>
    </row>
    <row r="164" spans="1:14" x14ac:dyDescent="0.35">
      <c r="A164" t="s">
        <v>252</v>
      </c>
      <c r="B164" t="s">
        <v>353</v>
      </c>
      <c r="C164" t="s">
        <v>29</v>
      </c>
      <c r="D164">
        <v>0</v>
      </c>
      <c r="E164">
        <v>3</v>
      </c>
      <c r="F164" t="s">
        <v>354</v>
      </c>
      <c r="G164">
        <v>3</v>
      </c>
      <c r="H164" t="s">
        <v>157</v>
      </c>
      <c r="I164">
        <v>15</v>
      </c>
      <c r="J164">
        <v>18</v>
      </c>
      <c r="K164">
        <v>0</v>
      </c>
      <c r="L164">
        <v>0</v>
      </c>
      <c r="M164">
        <v>3</v>
      </c>
      <c r="N164" t="s">
        <v>355</v>
      </c>
    </row>
    <row r="165" spans="1:14" x14ac:dyDescent="0.35">
      <c r="A165" t="s">
        <v>252</v>
      </c>
      <c r="B165" t="s">
        <v>356</v>
      </c>
      <c r="C165" t="s">
        <v>16</v>
      </c>
      <c r="D165">
        <v>0</v>
      </c>
      <c r="E165">
        <v>7</v>
      </c>
      <c r="F165" t="s">
        <v>357</v>
      </c>
      <c r="G165">
        <v>7</v>
      </c>
      <c r="H165" t="s">
        <v>157</v>
      </c>
      <c r="I165">
        <v>15</v>
      </c>
      <c r="J165">
        <v>29.6</v>
      </c>
      <c r="K165">
        <v>4</v>
      </c>
      <c r="L165">
        <v>0</v>
      </c>
      <c r="M165">
        <v>7</v>
      </c>
      <c r="N165" t="s">
        <v>358</v>
      </c>
    </row>
    <row r="166" spans="1:14" x14ac:dyDescent="0.35">
      <c r="A166" t="s">
        <v>252</v>
      </c>
      <c r="B166" t="s">
        <v>359</v>
      </c>
      <c r="C166" t="s">
        <v>16</v>
      </c>
      <c r="D166">
        <v>0</v>
      </c>
      <c r="E166">
        <v>11</v>
      </c>
      <c r="F166" t="s">
        <v>360</v>
      </c>
      <c r="G166">
        <v>11</v>
      </c>
      <c r="H166" t="s">
        <v>157</v>
      </c>
      <c r="I166">
        <v>15</v>
      </c>
      <c r="J166">
        <v>34.5</v>
      </c>
      <c r="K166">
        <v>3</v>
      </c>
      <c r="L166">
        <v>0</v>
      </c>
      <c r="M166">
        <v>11</v>
      </c>
      <c r="N166" t="s">
        <v>361</v>
      </c>
    </row>
    <row r="167" spans="1:14" x14ac:dyDescent="0.35">
      <c r="A167" t="s">
        <v>252</v>
      </c>
      <c r="B167" t="s">
        <v>362</v>
      </c>
      <c r="C167" t="s">
        <v>16</v>
      </c>
      <c r="D167">
        <v>0</v>
      </c>
      <c r="E167">
        <v>11</v>
      </c>
      <c r="F167" t="s">
        <v>363</v>
      </c>
      <c r="G167">
        <v>11</v>
      </c>
      <c r="H167" t="s">
        <v>157</v>
      </c>
      <c r="I167">
        <v>15</v>
      </c>
      <c r="J167">
        <v>31.7</v>
      </c>
      <c r="K167">
        <v>4</v>
      </c>
      <c r="L167">
        <v>3</v>
      </c>
      <c r="M167">
        <v>14</v>
      </c>
      <c r="N167" t="s">
        <v>364</v>
      </c>
    </row>
    <row r="168" spans="1:14" x14ac:dyDescent="0.35">
      <c r="A168" t="s">
        <v>252</v>
      </c>
      <c r="B168" t="s">
        <v>365</v>
      </c>
      <c r="C168" t="s">
        <v>16</v>
      </c>
      <c r="D168">
        <v>0</v>
      </c>
      <c r="E168">
        <v>18</v>
      </c>
      <c r="F168" t="s">
        <v>366</v>
      </c>
      <c r="G168">
        <v>18</v>
      </c>
      <c r="H168" t="s">
        <v>18</v>
      </c>
      <c r="I168">
        <v>14</v>
      </c>
      <c r="J168">
        <v>29.1</v>
      </c>
      <c r="K168">
        <v>2</v>
      </c>
      <c r="L168">
        <v>0</v>
      </c>
      <c r="M168">
        <v>18</v>
      </c>
      <c r="N168" t="s">
        <v>367</v>
      </c>
    </row>
    <row r="169" spans="1:14" x14ac:dyDescent="0.35">
      <c r="A169" t="s">
        <v>252</v>
      </c>
      <c r="B169" t="s">
        <v>213</v>
      </c>
      <c r="C169" t="s">
        <v>16</v>
      </c>
      <c r="D169">
        <v>0</v>
      </c>
      <c r="E169">
        <v>11</v>
      </c>
      <c r="F169" t="s">
        <v>364</v>
      </c>
      <c r="G169">
        <v>11</v>
      </c>
      <c r="H169" t="s">
        <v>157</v>
      </c>
      <c r="I169">
        <v>15</v>
      </c>
      <c r="J169">
        <v>23.8</v>
      </c>
      <c r="K169">
        <v>4</v>
      </c>
      <c r="L169">
        <v>3</v>
      </c>
      <c r="M169">
        <v>14</v>
      </c>
      <c r="N169" t="s">
        <v>368</v>
      </c>
    </row>
    <row r="170" spans="1:14" x14ac:dyDescent="0.35">
      <c r="A170" t="s">
        <v>252</v>
      </c>
      <c r="B170" t="s">
        <v>369</v>
      </c>
      <c r="C170" t="s">
        <v>16</v>
      </c>
      <c r="D170">
        <v>0</v>
      </c>
      <c r="E170">
        <v>8</v>
      </c>
      <c r="F170" t="s">
        <v>370</v>
      </c>
      <c r="G170">
        <v>8</v>
      </c>
      <c r="H170" t="s">
        <v>157</v>
      </c>
      <c r="I170">
        <v>15</v>
      </c>
      <c r="J170">
        <v>28.7</v>
      </c>
      <c r="K170">
        <v>0</v>
      </c>
      <c r="L170">
        <v>0</v>
      </c>
      <c r="M170">
        <v>8</v>
      </c>
      <c r="N170" t="s">
        <v>371</v>
      </c>
    </row>
    <row r="171" spans="1:14" x14ac:dyDescent="0.35">
      <c r="A171" t="s">
        <v>252</v>
      </c>
      <c r="B171" t="s">
        <v>372</v>
      </c>
      <c r="C171" t="s">
        <v>16</v>
      </c>
      <c r="D171">
        <v>0</v>
      </c>
      <c r="E171">
        <v>12</v>
      </c>
      <c r="F171" t="s">
        <v>373</v>
      </c>
      <c r="G171">
        <v>12</v>
      </c>
      <c r="H171" t="s">
        <v>157</v>
      </c>
      <c r="I171">
        <v>15</v>
      </c>
      <c r="J171">
        <v>26.2</v>
      </c>
      <c r="K171">
        <v>0</v>
      </c>
      <c r="L171">
        <v>0</v>
      </c>
      <c r="M171">
        <v>12</v>
      </c>
      <c r="N171" t="s">
        <v>374</v>
      </c>
    </row>
    <row r="172" spans="1:14" x14ac:dyDescent="0.35">
      <c r="A172" t="s">
        <v>252</v>
      </c>
      <c r="B172" t="s">
        <v>375</v>
      </c>
      <c r="C172" t="s">
        <v>16</v>
      </c>
      <c r="D172">
        <v>0</v>
      </c>
      <c r="E172">
        <v>12</v>
      </c>
      <c r="F172" t="s">
        <v>376</v>
      </c>
      <c r="G172">
        <v>12</v>
      </c>
      <c r="H172" t="s">
        <v>157</v>
      </c>
      <c r="I172">
        <v>15</v>
      </c>
      <c r="J172">
        <v>25.9</v>
      </c>
      <c r="K172">
        <v>1</v>
      </c>
      <c r="L172">
        <v>3</v>
      </c>
      <c r="M172">
        <v>15</v>
      </c>
      <c r="N172" t="s">
        <v>377</v>
      </c>
    </row>
    <row r="173" spans="1:14" x14ac:dyDescent="0.35">
      <c r="A173" t="s">
        <v>252</v>
      </c>
      <c r="B173" t="s">
        <v>378</v>
      </c>
      <c r="C173" t="s">
        <v>16</v>
      </c>
      <c r="D173">
        <v>0</v>
      </c>
      <c r="E173">
        <v>11</v>
      </c>
      <c r="F173" t="s">
        <v>379</v>
      </c>
      <c r="G173">
        <v>11</v>
      </c>
      <c r="H173" t="s">
        <v>157</v>
      </c>
      <c r="I173">
        <v>15</v>
      </c>
      <c r="J173">
        <v>31</v>
      </c>
      <c r="K173">
        <v>3</v>
      </c>
      <c r="L173">
        <v>2</v>
      </c>
      <c r="M173">
        <v>13</v>
      </c>
      <c r="N173" t="s">
        <v>380</v>
      </c>
    </row>
    <row r="174" spans="1:14" x14ac:dyDescent="0.35">
      <c r="A174" t="s">
        <v>252</v>
      </c>
      <c r="B174" t="s">
        <v>381</v>
      </c>
      <c r="C174" t="s">
        <v>16</v>
      </c>
      <c r="D174">
        <v>0</v>
      </c>
      <c r="E174">
        <v>10</v>
      </c>
      <c r="F174" t="s">
        <v>382</v>
      </c>
      <c r="G174">
        <v>10</v>
      </c>
      <c r="H174" t="s">
        <v>157</v>
      </c>
      <c r="I174">
        <v>15</v>
      </c>
      <c r="J174">
        <v>34</v>
      </c>
      <c r="K174">
        <v>4</v>
      </c>
      <c r="L174">
        <v>3</v>
      </c>
      <c r="M174">
        <v>13</v>
      </c>
      <c r="N174" t="s">
        <v>237</v>
      </c>
    </row>
    <row r="175" spans="1:14" x14ac:dyDescent="0.35">
      <c r="A175" t="s">
        <v>252</v>
      </c>
      <c r="B175" t="s">
        <v>383</v>
      </c>
      <c r="C175" t="s">
        <v>16</v>
      </c>
      <c r="D175">
        <v>0</v>
      </c>
      <c r="E175">
        <v>11</v>
      </c>
      <c r="F175" t="s">
        <v>234</v>
      </c>
      <c r="G175">
        <v>11</v>
      </c>
      <c r="H175" t="s">
        <v>157</v>
      </c>
      <c r="I175">
        <v>15</v>
      </c>
      <c r="J175">
        <v>25</v>
      </c>
      <c r="K175">
        <v>0</v>
      </c>
      <c r="L175">
        <v>0</v>
      </c>
      <c r="M175">
        <v>11</v>
      </c>
      <c r="N175" t="s">
        <v>384</v>
      </c>
    </row>
    <row r="176" spans="1:14" x14ac:dyDescent="0.35">
      <c r="A176" t="s">
        <v>252</v>
      </c>
      <c r="B176" t="s">
        <v>385</v>
      </c>
      <c r="C176" t="s">
        <v>16</v>
      </c>
      <c r="D176">
        <v>0</v>
      </c>
      <c r="E176">
        <v>9</v>
      </c>
      <c r="F176" t="s">
        <v>386</v>
      </c>
      <c r="G176">
        <v>9</v>
      </c>
      <c r="H176" t="s">
        <v>157</v>
      </c>
      <c r="I176">
        <v>15</v>
      </c>
      <c r="J176">
        <v>25.9</v>
      </c>
      <c r="K176">
        <v>2</v>
      </c>
      <c r="L176">
        <v>2</v>
      </c>
      <c r="M176">
        <v>11</v>
      </c>
      <c r="N176" t="s">
        <v>387</v>
      </c>
    </row>
    <row r="177" spans="1:14" x14ac:dyDescent="0.35">
      <c r="A177" t="s">
        <v>252</v>
      </c>
      <c r="B177" t="s">
        <v>388</v>
      </c>
      <c r="C177" t="s">
        <v>16</v>
      </c>
      <c r="D177">
        <v>0</v>
      </c>
      <c r="E177">
        <v>5</v>
      </c>
      <c r="F177" t="s">
        <v>389</v>
      </c>
      <c r="G177">
        <v>5</v>
      </c>
      <c r="H177" t="s">
        <v>157</v>
      </c>
      <c r="I177">
        <v>15</v>
      </c>
      <c r="J177">
        <v>25.4</v>
      </c>
      <c r="K177">
        <v>0</v>
      </c>
      <c r="L177">
        <v>0</v>
      </c>
      <c r="M177">
        <v>5</v>
      </c>
      <c r="N177" t="s">
        <v>390</v>
      </c>
    </row>
    <row r="178" spans="1:14" x14ac:dyDescent="0.35">
      <c r="A178" t="s">
        <v>252</v>
      </c>
      <c r="B178" t="s">
        <v>240</v>
      </c>
      <c r="C178" t="s">
        <v>16</v>
      </c>
      <c r="D178">
        <v>0</v>
      </c>
      <c r="E178">
        <v>11</v>
      </c>
      <c r="F178" t="s">
        <v>391</v>
      </c>
      <c r="G178">
        <v>11</v>
      </c>
      <c r="H178" t="s">
        <v>157</v>
      </c>
      <c r="I178">
        <v>15</v>
      </c>
      <c r="J178">
        <v>28.7</v>
      </c>
      <c r="K178">
        <v>3</v>
      </c>
      <c r="L178">
        <v>3</v>
      </c>
      <c r="M178">
        <v>14</v>
      </c>
      <c r="N178" t="s">
        <v>392</v>
      </c>
    </row>
    <row r="179" spans="1:14" x14ac:dyDescent="0.35">
      <c r="A179" t="s">
        <v>252</v>
      </c>
      <c r="B179" t="s">
        <v>393</v>
      </c>
      <c r="C179" t="s">
        <v>16</v>
      </c>
      <c r="D179">
        <v>0</v>
      </c>
      <c r="E179">
        <v>11</v>
      </c>
      <c r="F179" t="s">
        <v>394</v>
      </c>
      <c r="G179">
        <v>11</v>
      </c>
      <c r="H179" t="s">
        <v>157</v>
      </c>
      <c r="I179">
        <v>15</v>
      </c>
      <c r="J179">
        <v>25.8</v>
      </c>
      <c r="K179">
        <v>2</v>
      </c>
      <c r="L179">
        <v>3</v>
      </c>
      <c r="M179">
        <v>14</v>
      </c>
      <c r="N179" t="s">
        <v>395</v>
      </c>
    </row>
    <row r="180" spans="1:14" x14ac:dyDescent="0.35">
      <c r="A180" t="s">
        <v>252</v>
      </c>
      <c r="B180" t="s">
        <v>396</v>
      </c>
      <c r="C180" t="s">
        <v>16</v>
      </c>
      <c r="D180">
        <v>0</v>
      </c>
      <c r="E180">
        <v>10</v>
      </c>
      <c r="F180" t="s">
        <v>397</v>
      </c>
      <c r="G180">
        <v>10</v>
      </c>
      <c r="H180" t="s">
        <v>157</v>
      </c>
      <c r="I180">
        <v>15</v>
      </c>
      <c r="J180">
        <v>29.5</v>
      </c>
      <c r="K180">
        <v>0</v>
      </c>
      <c r="L180">
        <v>0</v>
      </c>
      <c r="M180">
        <v>10</v>
      </c>
      <c r="N180" t="s">
        <v>398</v>
      </c>
    </row>
    <row r="181" spans="1:14" x14ac:dyDescent="0.35">
      <c r="A181" t="s">
        <v>252</v>
      </c>
      <c r="B181" t="s">
        <v>399</v>
      </c>
      <c r="C181" t="s">
        <v>16</v>
      </c>
      <c r="D181">
        <v>0</v>
      </c>
      <c r="E181">
        <v>18</v>
      </c>
      <c r="F181" t="s">
        <v>400</v>
      </c>
      <c r="G181">
        <v>18</v>
      </c>
      <c r="H181" t="s">
        <v>18</v>
      </c>
      <c r="I181">
        <v>14</v>
      </c>
      <c r="J181">
        <v>27.3</v>
      </c>
      <c r="K181">
        <v>3</v>
      </c>
      <c r="L181">
        <v>1</v>
      </c>
      <c r="M181">
        <v>19</v>
      </c>
      <c r="N181" t="s">
        <v>401</v>
      </c>
    </row>
    <row r="182" spans="1:14" x14ac:dyDescent="0.35">
      <c r="A182" t="s">
        <v>402</v>
      </c>
      <c r="B182" t="s">
        <v>15</v>
      </c>
      <c r="C182" t="s">
        <v>16</v>
      </c>
      <c r="D182">
        <v>0</v>
      </c>
      <c r="E182">
        <v>22</v>
      </c>
      <c r="F182" t="s">
        <v>254</v>
      </c>
      <c r="G182">
        <v>18</v>
      </c>
      <c r="H182" t="s">
        <v>18</v>
      </c>
      <c r="I182">
        <v>5</v>
      </c>
      <c r="J182">
        <v>28.9</v>
      </c>
      <c r="K182">
        <v>4</v>
      </c>
      <c r="L182">
        <v>4</v>
      </c>
      <c r="M182">
        <v>22</v>
      </c>
      <c r="N182" t="s">
        <v>403</v>
      </c>
    </row>
    <row r="183" spans="1:14" x14ac:dyDescent="0.35">
      <c r="A183" t="s">
        <v>402</v>
      </c>
      <c r="B183" t="s">
        <v>21</v>
      </c>
      <c r="C183" t="s">
        <v>16</v>
      </c>
      <c r="D183">
        <v>4</v>
      </c>
      <c r="E183">
        <v>16</v>
      </c>
      <c r="F183" t="s">
        <v>404</v>
      </c>
      <c r="G183">
        <v>18</v>
      </c>
      <c r="H183" t="s">
        <v>18</v>
      </c>
      <c r="I183">
        <v>3</v>
      </c>
      <c r="J183">
        <v>30.6</v>
      </c>
      <c r="K183">
        <v>4</v>
      </c>
      <c r="L183">
        <v>3</v>
      </c>
      <c r="M183">
        <v>21</v>
      </c>
      <c r="N183" t="s">
        <v>264</v>
      </c>
    </row>
    <row r="184" spans="1:14" x14ac:dyDescent="0.35">
      <c r="A184" t="s">
        <v>402</v>
      </c>
      <c r="B184" t="s">
        <v>405</v>
      </c>
      <c r="C184" t="s">
        <v>29</v>
      </c>
      <c r="D184">
        <v>0</v>
      </c>
      <c r="E184">
        <v>19</v>
      </c>
      <c r="F184" t="s">
        <v>26</v>
      </c>
      <c r="G184">
        <v>18</v>
      </c>
      <c r="H184" t="s">
        <v>18</v>
      </c>
      <c r="I184">
        <v>10</v>
      </c>
      <c r="J184">
        <v>23.3</v>
      </c>
      <c r="K184">
        <v>0</v>
      </c>
      <c r="L184">
        <v>0</v>
      </c>
      <c r="M184">
        <v>18</v>
      </c>
      <c r="N184" t="s">
        <v>22</v>
      </c>
    </row>
    <row r="185" spans="1:14" x14ac:dyDescent="0.35">
      <c r="A185" t="s">
        <v>402</v>
      </c>
      <c r="B185" t="s">
        <v>24</v>
      </c>
      <c r="C185" t="s">
        <v>16</v>
      </c>
      <c r="D185">
        <v>2</v>
      </c>
      <c r="E185">
        <v>17</v>
      </c>
      <c r="F185" t="s">
        <v>258</v>
      </c>
      <c r="G185">
        <v>18</v>
      </c>
      <c r="H185" t="s">
        <v>18</v>
      </c>
      <c r="I185">
        <v>5</v>
      </c>
      <c r="J185">
        <v>25.6</v>
      </c>
      <c r="K185">
        <v>0</v>
      </c>
      <c r="L185">
        <v>0</v>
      </c>
      <c r="M185">
        <v>18</v>
      </c>
      <c r="N185" t="s">
        <v>255</v>
      </c>
    </row>
    <row r="186" spans="1:14" x14ac:dyDescent="0.35">
      <c r="A186" t="s">
        <v>402</v>
      </c>
      <c r="B186" t="s">
        <v>27</v>
      </c>
      <c r="C186" t="s">
        <v>16</v>
      </c>
      <c r="D186">
        <v>1</v>
      </c>
      <c r="E186">
        <v>18</v>
      </c>
      <c r="F186" t="s">
        <v>260</v>
      </c>
      <c r="G186">
        <v>18</v>
      </c>
      <c r="H186" t="s">
        <v>18</v>
      </c>
      <c r="I186">
        <v>3</v>
      </c>
      <c r="J186">
        <v>26.6</v>
      </c>
      <c r="K186">
        <v>4</v>
      </c>
      <c r="L186">
        <v>4</v>
      </c>
      <c r="M186">
        <v>22</v>
      </c>
      <c r="N186" t="s">
        <v>259</v>
      </c>
    </row>
    <row r="187" spans="1:14" x14ac:dyDescent="0.35">
      <c r="A187" t="s">
        <v>402</v>
      </c>
      <c r="B187" t="s">
        <v>31</v>
      </c>
      <c r="C187" t="s">
        <v>16</v>
      </c>
      <c r="D187">
        <v>1</v>
      </c>
      <c r="E187">
        <v>20</v>
      </c>
      <c r="F187" t="s">
        <v>406</v>
      </c>
      <c r="G187">
        <v>18</v>
      </c>
      <c r="H187" t="s">
        <v>18</v>
      </c>
      <c r="I187">
        <v>3</v>
      </c>
      <c r="J187">
        <v>29</v>
      </c>
      <c r="K187">
        <v>0</v>
      </c>
      <c r="L187">
        <v>0</v>
      </c>
      <c r="M187">
        <v>18</v>
      </c>
      <c r="N187" t="s">
        <v>266</v>
      </c>
    </row>
    <row r="188" spans="1:14" x14ac:dyDescent="0.35">
      <c r="A188" t="s">
        <v>402</v>
      </c>
      <c r="B188" t="s">
        <v>407</v>
      </c>
      <c r="C188" t="s">
        <v>29</v>
      </c>
      <c r="D188">
        <v>1</v>
      </c>
      <c r="E188">
        <v>17</v>
      </c>
      <c r="F188" t="s">
        <v>261</v>
      </c>
      <c r="G188">
        <v>18</v>
      </c>
      <c r="H188" t="s">
        <v>18</v>
      </c>
      <c r="I188">
        <v>12</v>
      </c>
      <c r="J188">
        <v>19.8</v>
      </c>
      <c r="K188">
        <v>3</v>
      </c>
      <c r="L188">
        <v>4</v>
      </c>
      <c r="M188">
        <v>22</v>
      </c>
      <c r="N188" t="s">
        <v>408</v>
      </c>
    </row>
    <row r="189" spans="1:14" x14ac:dyDescent="0.35">
      <c r="A189" t="s">
        <v>402</v>
      </c>
      <c r="B189" t="s">
        <v>261</v>
      </c>
      <c r="C189" t="s">
        <v>16</v>
      </c>
      <c r="D189">
        <v>3</v>
      </c>
      <c r="E189">
        <v>20</v>
      </c>
      <c r="F189" t="s">
        <v>50</v>
      </c>
      <c r="G189">
        <v>18</v>
      </c>
      <c r="H189" t="s">
        <v>18</v>
      </c>
      <c r="I189">
        <v>4</v>
      </c>
      <c r="J189">
        <v>31.6</v>
      </c>
      <c r="K189">
        <v>1</v>
      </c>
      <c r="L189">
        <v>6</v>
      </c>
      <c r="M189">
        <v>24</v>
      </c>
      <c r="N189" t="s">
        <v>409</v>
      </c>
    </row>
    <row r="190" spans="1:14" x14ac:dyDescent="0.35">
      <c r="A190" t="s">
        <v>402</v>
      </c>
      <c r="B190" t="s">
        <v>39</v>
      </c>
      <c r="C190" t="s">
        <v>16</v>
      </c>
      <c r="D190">
        <v>5</v>
      </c>
      <c r="E190">
        <v>13</v>
      </c>
      <c r="F190" t="s">
        <v>257</v>
      </c>
      <c r="G190">
        <v>18</v>
      </c>
      <c r="H190" t="s">
        <v>18</v>
      </c>
      <c r="I190">
        <v>6</v>
      </c>
      <c r="J190">
        <v>29.5</v>
      </c>
      <c r="K190">
        <v>3</v>
      </c>
      <c r="L190">
        <v>3</v>
      </c>
      <c r="M190">
        <v>21</v>
      </c>
      <c r="N190" t="s">
        <v>52</v>
      </c>
    </row>
    <row r="191" spans="1:14" x14ac:dyDescent="0.35">
      <c r="A191" t="s">
        <v>402</v>
      </c>
      <c r="B191" t="s">
        <v>38</v>
      </c>
      <c r="C191" t="s">
        <v>29</v>
      </c>
      <c r="D191">
        <v>0</v>
      </c>
      <c r="E191">
        <v>18</v>
      </c>
      <c r="F191" t="s">
        <v>44</v>
      </c>
      <c r="G191">
        <v>18</v>
      </c>
      <c r="H191" t="s">
        <v>18</v>
      </c>
      <c r="I191">
        <v>22</v>
      </c>
      <c r="J191">
        <v>21.2</v>
      </c>
      <c r="K191">
        <v>4</v>
      </c>
      <c r="L191">
        <v>4</v>
      </c>
      <c r="M191">
        <v>22</v>
      </c>
      <c r="N191" t="s">
        <v>53</v>
      </c>
    </row>
    <row r="192" spans="1:14" x14ac:dyDescent="0.35">
      <c r="A192" t="s">
        <v>402</v>
      </c>
      <c r="B192" t="s">
        <v>25</v>
      </c>
      <c r="C192" t="s">
        <v>16</v>
      </c>
      <c r="D192">
        <v>0</v>
      </c>
      <c r="E192">
        <v>18</v>
      </c>
      <c r="F192" t="s">
        <v>37</v>
      </c>
      <c r="G192">
        <v>18</v>
      </c>
      <c r="H192" t="s">
        <v>18</v>
      </c>
      <c r="I192">
        <v>12</v>
      </c>
      <c r="J192">
        <v>32.299999999999997</v>
      </c>
      <c r="K192">
        <v>3</v>
      </c>
      <c r="L192">
        <v>5</v>
      </c>
      <c r="M192">
        <v>23</v>
      </c>
      <c r="N192" t="s">
        <v>277</v>
      </c>
    </row>
    <row r="193" spans="1:14" x14ac:dyDescent="0.35">
      <c r="A193" t="s">
        <v>402</v>
      </c>
      <c r="B193" t="s">
        <v>262</v>
      </c>
      <c r="C193" t="s">
        <v>16</v>
      </c>
      <c r="D193">
        <v>0</v>
      </c>
      <c r="E193">
        <v>22</v>
      </c>
      <c r="F193" t="s">
        <v>267</v>
      </c>
      <c r="G193">
        <v>18</v>
      </c>
      <c r="H193" t="s">
        <v>18</v>
      </c>
      <c r="I193">
        <v>11</v>
      </c>
      <c r="J193">
        <v>31.5</v>
      </c>
      <c r="K193">
        <v>2</v>
      </c>
      <c r="L193">
        <v>3</v>
      </c>
      <c r="M193">
        <v>21</v>
      </c>
      <c r="N193" t="s">
        <v>410</v>
      </c>
    </row>
    <row r="194" spans="1:14" x14ac:dyDescent="0.35">
      <c r="A194" t="s">
        <v>402</v>
      </c>
      <c r="B194" t="s">
        <v>269</v>
      </c>
      <c r="C194" t="s">
        <v>16</v>
      </c>
      <c r="D194">
        <v>4</v>
      </c>
      <c r="E194">
        <v>17</v>
      </c>
      <c r="F194" t="s">
        <v>265</v>
      </c>
      <c r="G194">
        <v>18</v>
      </c>
      <c r="H194" t="s">
        <v>18</v>
      </c>
      <c r="I194">
        <v>3</v>
      </c>
      <c r="J194">
        <v>29.7</v>
      </c>
      <c r="K194">
        <v>1</v>
      </c>
      <c r="L194">
        <v>3</v>
      </c>
      <c r="M194">
        <v>21</v>
      </c>
      <c r="N194" t="s">
        <v>70</v>
      </c>
    </row>
    <row r="195" spans="1:14" x14ac:dyDescent="0.35">
      <c r="A195" t="s">
        <v>402</v>
      </c>
      <c r="B195" t="s">
        <v>411</v>
      </c>
      <c r="C195" t="s">
        <v>16</v>
      </c>
      <c r="D195">
        <v>3</v>
      </c>
      <c r="E195">
        <v>15</v>
      </c>
      <c r="F195" t="s">
        <v>55</v>
      </c>
      <c r="G195">
        <v>18</v>
      </c>
      <c r="H195" t="s">
        <v>18</v>
      </c>
      <c r="I195">
        <v>4</v>
      </c>
      <c r="J195">
        <v>26.8</v>
      </c>
      <c r="K195">
        <v>0</v>
      </c>
      <c r="L195">
        <v>0</v>
      </c>
      <c r="M195">
        <v>18</v>
      </c>
      <c r="N195" t="s">
        <v>271</v>
      </c>
    </row>
    <row r="196" spans="1:14" x14ac:dyDescent="0.35">
      <c r="A196" t="s">
        <v>402</v>
      </c>
      <c r="B196" t="s">
        <v>262</v>
      </c>
      <c r="C196" t="s">
        <v>29</v>
      </c>
      <c r="D196">
        <v>0</v>
      </c>
      <c r="E196">
        <v>19</v>
      </c>
      <c r="F196" t="s">
        <v>43</v>
      </c>
      <c r="G196">
        <v>18</v>
      </c>
      <c r="H196" t="s">
        <v>18</v>
      </c>
      <c r="I196">
        <v>23</v>
      </c>
      <c r="J196">
        <v>22</v>
      </c>
      <c r="K196">
        <v>3</v>
      </c>
      <c r="L196">
        <v>4</v>
      </c>
      <c r="M196">
        <v>22</v>
      </c>
      <c r="N196" t="s">
        <v>58</v>
      </c>
    </row>
    <row r="197" spans="1:14" x14ac:dyDescent="0.35">
      <c r="A197" t="s">
        <v>402</v>
      </c>
      <c r="B197" t="s">
        <v>273</v>
      </c>
      <c r="C197" t="s">
        <v>16</v>
      </c>
      <c r="D197">
        <v>0</v>
      </c>
      <c r="E197">
        <v>19</v>
      </c>
      <c r="F197" t="s">
        <v>274</v>
      </c>
      <c r="G197">
        <v>18</v>
      </c>
      <c r="H197" t="s">
        <v>18</v>
      </c>
      <c r="I197">
        <v>4</v>
      </c>
      <c r="J197">
        <v>22.9</v>
      </c>
      <c r="K197">
        <v>2</v>
      </c>
      <c r="L197">
        <v>3</v>
      </c>
      <c r="M197">
        <v>21</v>
      </c>
      <c r="N197" t="s">
        <v>412</v>
      </c>
    </row>
    <row r="198" spans="1:14" x14ac:dyDescent="0.35">
      <c r="A198" t="s">
        <v>402</v>
      </c>
      <c r="B198" t="s">
        <v>59</v>
      </c>
      <c r="C198" t="s">
        <v>16</v>
      </c>
      <c r="D198">
        <v>1</v>
      </c>
      <c r="E198">
        <v>21</v>
      </c>
      <c r="F198" t="s">
        <v>62</v>
      </c>
      <c r="G198">
        <v>18</v>
      </c>
      <c r="H198" t="s">
        <v>18</v>
      </c>
      <c r="I198">
        <v>3</v>
      </c>
      <c r="J198">
        <v>28.5</v>
      </c>
      <c r="K198">
        <v>0</v>
      </c>
      <c r="L198">
        <v>0</v>
      </c>
      <c r="M198">
        <v>18</v>
      </c>
      <c r="N198" t="s">
        <v>413</v>
      </c>
    </row>
    <row r="199" spans="1:14" x14ac:dyDescent="0.35">
      <c r="A199" t="s">
        <v>402</v>
      </c>
      <c r="B199" t="s">
        <v>63</v>
      </c>
      <c r="C199" t="s">
        <v>16</v>
      </c>
      <c r="D199">
        <v>4</v>
      </c>
      <c r="E199">
        <v>16</v>
      </c>
      <c r="F199" t="s">
        <v>46</v>
      </c>
      <c r="G199">
        <v>18</v>
      </c>
      <c r="H199" t="s">
        <v>18</v>
      </c>
      <c r="I199">
        <v>3</v>
      </c>
      <c r="J199">
        <v>26.3</v>
      </c>
      <c r="K199">
        <v>1</v>
      </c>
      <c r="L199">
        <v>4</v>
      </c>
      <c r="M199">
        <v>22</v>
      </c>
      <c r="N199" t="s">
        <v>66</v>
      </c>
    </row>
    <row r="200" spans="1:14" x14ac:dyDescent="0.35">
      <c r="A200" t="s">
        <v>402</v>
      </c>
      <c r="B200" t="s">
        <v>414</v>
      </c>
      <c r="C200" t="s">
        <v>29</v>
      </c>
      <c r="D200">
        <v>1</v>
      </c>
      <c r="E200">
        <v>17</v>
      </c>
      <c r="F200" t="s">
        <v>46</v>
      </c>
      <c r="G200">
        <v>18</v>
      </c>
      <c r="H200" t="s">
        <v>18</v>
      </c>
      <c r="I200">
        <v>9</v>
      </c>
      <c r="J200">
        <v>21.4</v>
      </c>
      <c r="K200">
        <v>4</v>
      </c>
      <c r="L200">
        <v>4</v>
      </c>
      <c r="M200">
        <v>22</v>
      </c>
      <c r="N200" t="s">
        <v>283</v>
      </c>
    </row>
    <row r="201" spans="1:14" x14ac:dyDescent="0.35">
      <c r="A201" t="s">
        <v>402</v>
      </c>
      <c r="B201" t="s">
        <v>67</v>
      </c>
      <c r="C201" t="s">
        <v>16</v>
      </c>
      <c r="D201">
        <v>2</v>
      </c>
      <c r="E201">
        <v>19</v>
      </c>
      <c r="F201" t="s">
        <v>49</v>
      </c>
      <c r="G201">
        <v>18</v>
      </c>
      <c r="H201" t="s">
        <v>18</v>
      </c>
      <c r="I201">
        <v>3</v>
      </c>
      <c r="J201">
        <v>30.2</v>
      </c>
      <c r="K201">
        <v>1</v>
      </c>
      <c r="L201">
        <v>3</v>
      </c>
      <c r="M201">
        <v>21</v>
      </c>
      <c r="N201" t="s">
        <v>286</v>
      </c>
    </row>
    <row r="202" spans="1:14" x14ac:dyDescent="0.35">
      <c r="A202" t="s">
        <v>402</v>
      </c>
      <c r="B202" t="s">
        <v>415</v>
      </c>
      <c r="C202" t="s">
        <v>16</v>
      </c>
      <c r="D202">
        <v>3</v>
      </c>
      <c r="E202">
        <v>16</v>
      </c>
      <c r="F202" t="s">
        <v>271</v>
      </c>
      <c r="G202">
        <v>18</v>
      </c>
      <c r="H202" t="s">
        <v>18</v>
      </c>
      <c r="I202">
        <v>8</v>
      </c>
      <c r="J202">
        <v>29.8</v>
      </c>
      <c r="K202">
        <v>3</v>
      </c>
      <c r="L202">
        <v>5</v>
      </c>
      <c r="M202">
        <v>23</v>
      </c>
      <c r="N202" t="s">
        <v>77</v>
      </c>
    </row>
    <row r="203" spans="1:14" x14ac:dyDescent="0.35">
      <c r="A203" t="s">
        <v>402</v>
      </c>
      <c r="B203" t="s">
        <v>412</v>
      </c>
      <c r="C203" t="s">
        <v>16</v>
      </c>
      <c r="D203">
        <v>1</v>
      </c>
      <c r="E203">
        <v>18</v>
      </c>
      <c r="F203" t="s">
        <v>72</v>
      </c>
      <c r="G203">
        <v>18</v>
      </c>
      <c r="H203" t="s">
        <v>18</v>
      </c>
      <c r="I203">
        <v>8</v>
      </c>
      <c r="J203">
        <v>29.1</v>
      </c>
      <c r="K203">
        <v>2</v>
      </c>
      <c r="L203">
        <v>2</v>
      </c>
      <c r="M203">
        <v>20</v>
      </c>
      <c r="N203" t="s">
        <v>85</v>
      </c>
    </row>
    <row r="204" spans="1:14" x14ac:dyDescent="0.35">
      <c r="A204" t="s">
        <v>402</v>
      </c>
      <c r="B204" t="s">
        <v>68</v>
      </c>
      <c r="C204" t="s">
        <v>29</v>
      </c>
      <c r="D204">
        <v>0</v>
      </c>
      <c r="E204">
        <v>19</v>
      </c>
      <c r="F204" t="s">
        <v>276</v>
      </c>
      <c r="G204">
        <v>18</v>
      </c>
      <c r="H204" t="s">
        <v>18</v>
      </c>
      <c r="I204">
        <v>24</v>
      </c>
      <c r="J204">
        <v>27.5</v>
      </c>
      <c r="K204">
        <v>1</v>
      </c>
      <c r="L204">
        <v>2</v>
      </c>
      <c r="M204">
        <v>20</v>
      </c>
      <c r="N204" t="s">
        <v>73</v>
      </c>
    </row>
    <row r="205" spans="1:14" x14ac:dyDescent="0.35">
      <c r="A205" t="s">
        <v>402</v>
      </c>
      <c r="B205" t="s">
        <v>275</v>
      </c>
      <c r="C205" t="s">
        <v>16</v>
      </c>
      <c r="D205">
        <v>1</v>
      </c>
      <c r="E205">
        <v>18</v>
      </c>
      <c r="F205" t="s">
        <v>416</v>
      </c>
      <c r="G205">
        <v>18</v>
      </c>
      <c r="H205" t="s">
        <v>18</v>
      </c>
      <c r="I205">
        <v>9</v>
      </c>
      <c r="J205">
        <v>28.5</v>
      </c>
      <c r="K205">
        <v>2</v>
      </c>
      <c r="L205">
        <v>3</v>
      </c>
      <c r="M205">
        <v>21</v>
      </c>
      <c r="N205" t="s">
        <v>91</v>
      </c>
    </row>
    <row r="206" spans="1:14" x14ac:dyDescent="0.35">
      <c r="A206" t="s">
        <v>402</v>
      </c>
      <c r="B206" t="s">
        <v>284</v>
      </c>
      <c r="C206" t="s">
        <v>16</v>
      </c>
      <c r="D206">
        <v>1</v>
      </c>
      <c r="E206">
        <v>19</v>
      </c>
      <c r="F206" t="s">
        <v>417</v>
      </c>
      <c r="G206">
        <v>18</v>
      </c>
      <c r="H206" t="s">
        <v>18</v>
      </c>
      <c r="I206">
        <v>7</v>
      </c>
      <c r="J206">
        <v>30.5</v>
      </c>
      <c r="K206">
        <v>0</v>
      </c>
      <c r="L206">
        <v>0</v>
      </c>
      <c r="M206">
        <v>18</v>
      </c>
      <c r="N206" t="s">
        <v>301</v>
      </c>
    </row>
    <row r="207" spans="1:14" x14ac:dyDescent="0.35">
      <c r="A207" t="s">
        <v>402</v>
      </c>
      <c r="B207" t="s">
        <v>287</v>
      </c>
      <c r="C207" t="s">
        <v>16</v>
      </c>
      <c r="D207">
        <v>2</v>
      </c>
      <c r="E207">
        <v>21</v>
      </c>
      <c r="F207" t="s">
        <v>80</v>
      </c>
      <c r="G207">
        <v>18</v>
      </c>
      <c r="H207" t="s">
        <v>18</v>
      </c>
      <c r="I207">
        <v>5</v>
      </c>
      <c r="J207">
        <v>29.1</v>
      </c>
      <c r="K207">
        <v>0</v>
      </c>
      <c r="L207">
        <v>0</v>
      </c>
      <c r="M207">
        <v>18</v>
      </c>
      <c r="N207" t="s">
        <v>418</v>
      </c>
    </row>
    <row r="208" spans="1:14" x14ac:dyDescent="0.35">
      <c r="A208" t="s">
        <v>402</v>
      </c>
      <c r="B208" t="s">
        <v>82</v>
      </c>
      <c r="C208" t="s">
        <v>16</v>
      </c>
      <c r="D208">
        <v>5</v>
      </c>
      <c r="E208">
        <v>13</v>
      </c>
      <c r="F208" t="s">
        <v>282</v>
      </c>
      <c r="G208">
        <v>18</v>
      </c>
      <c r="H208" t="s">
        <v>18</v>
      </c>
      <c r="I208">
        <v>1</v>
      </c>
      <c r="J208">
        <v>30.3</v>
      </c>
      <c r="K208">
        <v>1</v>
      </c>
      <c r="L208">
        <v>3</v>
      </c>
      <c r="M208">
        <v>21</v>
      </c>
      <c r="N208" t="s">
        <v>291</v>
      </c>
    </row>
    <row r="209" spans="1:14" x14ac:dyDescent="0.35">
      <c r="A209" t="s">
        <v>402</v>
      </c>
      <c r="B209" t="s">
        <v>64</v>
      </c>
      <c r="C209" t="s">
        <v>29</v>
      </c>
      <c r="D209">
        <v>1</v>
      </c>
      <c r="E209">
        <v>17</v>
      </c>
      <c r="F209" t="s">
        <v>282</v>
      </c>
      <c r="G209">
        <v>18</v>
      </c>
      <c r="H209" t="s">
        <v>18</v>
      </c>
      <c r="I209">
        <v>20</v>
      </c>
      <c r="J209">
        <v>21</v>
      </c>
      <c r="K209">
        <v>2</v>
      </c>
      <c r="L209">
        <v>3</v>
      </c>
      <c r="M209">
        <v>21</v>
      </c>
      <c r="N209" t="s">
        <v>78</v>
      </c>
    </row>
    <row r="210" spans="1:14" x14ac:dyDescent="0.35">
      <c r="A210" t="s">
        <v>402</v>
      </c>
      <c r="B210" t="s">
        <v>290</v>
      </c>
      <c r="C210" t="s">
        <v>16</v>
      </c>
      <c r="D210">
        <v>0</v>
      </c>
      <c r="E210">
        <v>20</v>
      </c>
      <c r="F210" t="s">
        <v>419</v>
      </c>
      <c r="G210">
        <v>18</v>
      </c>
      <c r="H210" t="s">
        <v>18</v>
      </c>
      <c r="I210">
        <v>4</v>
      </c>
      <c r="J210">
        <v>21.3</v>
      </c>
      <c r="K210">
        <v>2</v>
      </c>
      <c r="L210">
        <v>5</v>
      </c>
      <c r="M210">
        <v>23</v>
      </c>
      <c r="N210" t="s">
        <v>289</v>
      </c>
    </row>
    <row r="211" spans="1:14" x14ac:dyDescent="0.35">
      <c r="A211" t="s">
        <v>402</v>
      </c>
      <c r="B211" t="s">
        <v>73</v>
      </c>
      <c r="C211" t="s">
        <v>16</v>
      </c>
      <c r="D211">
        <v>2</v>
      </c>
      <c r="E211">
        <v>20</v>
      </c>
      <c r="F211" t="s">
        <v>93</v>
      </c>
      <c r="G211">
        <v>18</v>
      </c>
      <c r="H211" t="s">
        <v>18</v>
      </c>
      <c r="I211">
        <v>4</v>
      </c>
      <c r="J211">
        <v>28.6</v>
      </c>
      <c r="K211">
        <v>4</v>
      </c>
      <c r="L211">
        <v>4</v>
      </c>
      <c r="M211">
        <v>22</v>
      </c>
      <c r="N211" t="s">
        <v>294</v>
      </c>
    </row>
    <row r="212" spans="1:14" x14ac:dyDescent="0.35">
      <c r="A212" t="s">
        <v>402</v>
      </c>
      <c r="B212" t="s">
        <v>83</v>
      </c>
      <c r="C212" t="s">
        <v>29</v>
      </c>
      <c r="D212">
        <v>0</v>
      </c>
      <c r="E212">
        <v>20</v>
      </c>
      <c r="F212" t="s">
        <v>420</v>
      </c>
      <c r="G212">
        <v>18</v>
      </c>
      <c r="H212" t="s">
        <v>18</v>
      </c>
      <c r="I212">
        <v>12</v>
      </c>
      <c r="J212">
        <v>24.6</v>
      </c>
      <c r="K212">
        <v>2</v>
      </c>
      <c r="L212">
        <v>5</v>
      </c>
      <c r="M212">
        <v>23</v>
      </c>
      <c r="N212" t="s">
        <v>294</v>
      </c>
    </row>
    <row r="213" spans="1:14" x14ac:dyDescent="0.35">
      <c r="A213" t="s">
        <v>402</v>
      </c>
      <c r="B213" t="s">
        <v>285</v>
      </c>
      <c r="C213" t="s">
        <v>16</v>
      </c>
      <c r="D213">
        <v>4</v>
      </c>
      <c r="E213">
        <v>21</v>
      </c>
      <c r="F213" t="s">
        <v>94</v>
      </c>
      <c r="G213">
        <v>18</v>
      </c>
      <c r="H213" t="s">
        <v>18</v>
      </c>
      <c r="I213">
        <v>4</v>
      </c>
      <c r="J213">
        <v>27.4</v>
      </c>
      <c r="K213">
        <v>3</v>
      </c>
      <c r="L213">
        <v>3</v>
      </c>
      <c r="M213">
        <v>21</v>
      </c>
      <c r="N213" t="s">
        <v>95</v>
      </c>
    </row>
    <row r="214" spans="1:14" x14ac:dyDescent="0.35">
      <c r="A214" t="s">
        <v>402</v>
      </c>
      <c r="B214" t="s">
        <v>96</v>
      </c>
      <c r="C214" t="s">
        <v>16</v>
      </c>
      <c r="D214">
        <v>7</v>
      </c>
      <c r="E214">
        <v>13</v>
      </c>
      <c r="F214" t="s">
        <v>98</v>
      </c>
      <c r="G214">
        <v>18</v>
      </c>
      <c r="H214" t="s">
        <v>18</v>
      </c>
      <c r="I214">
        <v>3</v>
      </c>
      <c r="J214">
        <v>31.3</v>
      </c>
      <c r="K214">
        <v>3</v>
      </c>
      <c r="L214">
        <v>3</v>
      </c>
      <c r="M214">
        <v>21</v>
      </c>
      <c r="N214" t="s">
        <v>421</v>
      </c>
    </row>
    <row r="215" spans="1:14" x14ac:dyDescent="0.35">
      <c r="A215" t="s">
        <v>402</v>
      </c>
      <c r="B215" t="s">
        <v>296</v>
      </c>
      <c r="C215" t="s">
        <v>16</v>
      </c>
      <c r="D215">
        <v>2</v>
      </c>
      <c r="E215">
        <v>16</v>
      </c>
      <c r="F215" t="s">
        <v>291</v>
      </c>
      <c r="G215">
        <v>18</v>
      </c>
      <c r="H215" t="s">
        <v>18</v>
      </c>
      <c r="I215">
        <v>10</v>
      </c>
      <c r="J215">
        <v>21.8</v>
      </c>
      <c r="K215">
        <v>4</v>
      </c>
      <c r="L215">
        <v>4</v>
      </c>
      <c r="M215">
        <v>22</v>
      </c>
      <c r="N215" t="s">
        <v>422</v>
      </c>
    </row>
    <row r="216" spans="1:14" x14ac:dyDescent="0.35">
      <c r="A216" t="s">
        <v>402</v>
      </c>
      <c r="B216" t="s">
        <v>94</v>
      </c>
      <c r="C216" t="s">
        <v>29</v>
      </c>
      <c r="D216">
        <v>2</v>
      </c>
      <c r="E216">
        <v>16</v>
      </c>
      <c r="F216" t="s">
        <v>84</v>
      </c>
      <c r="G216">
        <v>18</v>
      </c>
      <c r="H216" t="s">
        <v>18</v>
      </c>
      <c r="I216">
        <v>16</v>
      </c>
      <c r="J216">
        <v>23.7</v>
      </c>
      <c r="K216">
        <v>1</v>
      </c>
      <c r="L216">
        <v>3</v>
      </c>
      <c r="M216">
        <v>21</v>
      </c>
      <c r="N216" t="s">
        <v>423</v>
      </c>
    </row>
    <row r="217" spans="1:14" x14ac:dyDescent="0.35">
      <c r="A217" t="s">
        <v>402</v>
      </c>
      <c r="B217" t="s">
        <v>298</v>
      </c>
      <c r="C217" t="s">
        <v>16</v>
      </c>
      <c r="D217">
        <v>0</v>
      </c>
      <c r="E217">
        <v>18</v>
      </c>
      <c r="F217" t="s">
        <v>424</v>
      </c>
      <c r="G217">
        <v>18</v>
      </c>
      <c r="H217" t="s">
        <v>18</v>
      </c>
      <c r="I217">
        <v>12</v>
      </c>
      <c r="J217">
        <v>24.4</v>
      </c>
      <c r="K217">
        <v>0</v>
      </c>
      <c r="L217">
        <v>0</v>
      </c>
      <c r="M217">
        <v>18</v>
      </c>
      <c r="N217" t="s">
        <v>111</v>
      </c>
    </row>
    <row r="218" spans="1:14" x14ac:dyDescent="0.35">
      <c r="A218" t="s">
        <v>402</v>
      </c>
      <c r="B218" t="s">
        <v>104</v>
      </c>
      <c r="C218" t="s">
        <v>16</v>
      </c>
      <c r="D218">
        <v>0</v>
      </c>
      <c r="E218">
        <v>18</v>
      </c>
      <c r="F218" t="s">
        <v>425</v>
      </c>
      <c r="G218">
        <v>18</v>
      </c>
      <c r="H218" t="s">
        <v>18</v>
      </c>
      <c r="I218">
        <v>24</v>
      </c>
      <c r="J218">
        <v>30.1</v>
      </c>
      <c r="K218">
        <v>0</v>
      </c>
      <c r="L218">
        <v>0</v>
      </c>
      <c r="M218">
        <v>18</v>
      </c>
      <c r="N218" t="s">
        <v>426</v>
      </c>
    </row>
    <row r="219" spans="1:14" x14ac:dyDescent="0.35">
      <c r="A219" t="s">
        <v>402</v>
      </c>
      <c r="B219" t="s">
        <v>105</v>
      </c>
      <c r="C219" t="s">
        <v>16</v>
      </c>
      <c r="D219">
        <v>0</v>
      </c>
      <c r="E219">
        <v>18</v>
      </c>
      <c r="F219" t="s">
        <v>108</v>
      </c>
      <c r="G219">
        <v>18</v>
      </c>
      <c r="H219" t="s">
        <v>18</v>
      </c>
      <c r="I219">
        <v>27</v>
      </c>
      <c r="J219">
        <v>28.6</v>
      </c>
      <c r="K219">
        <v>4</v>
      </c>
      <c r="L219">
        <v>0</v>
      </c>
      <c r="M219">
        <v>18</v>
      </c>
      <c r="N219" t="s">
        <v>427</v>
      </c>
    </row>
    <row r="220" spans="1:14" x14ac:dyDescent="0.35">
      <c r="A220" t="s">
        <v>402</v>
      </c>
      <c r="B220" t="s">
        <v>298</v>
      </c>
      <c r="C220" t="s">
        <v>29</v>
      </c>
      <c r="D220">
        <v>0</v>
      </c>
      <c r="E220">
        <v>18</v>
      </c>
      <c r="F220" t="s">
        <v>110</v>
      </c>
      <c r="G220">
        <v>18</v>
      </c>
      <c r="H220" t="s">
        <v>18</v>
      </c>
      <c r="I220">
        <v>75</v>
      </c>
      <c r="J220">
        <v>27</v>
      </c>
      <c r="K220">
        <v>0</v>
      </c>
      <c r="L220">
        <v>0</v>
      </c>
      <c r="M220">
        <v>18</v>
      </c>
      <c r="N220" t="s">
        <v>428</v>
      </c>
    </row>
    <row r="221" spans="1:14" x14ac:dyDescent="0.35">
      <c r="A221" t="s">
        <v>402</v>
      </c>
      <c r="B221" t="s">
        <v>429</v>
      </c>
      <c r="C221" t="s">
        <v>16</v>
      </c>
      <c r="D221">
        <v>0</v>
      </c>
      <c r="E221">
        <v>18</v>
      </c>
      <c r="F221" t="s">
        <v>430</v>
      </c>
      <c r="G221">
        <v>18</v>
      </c>
      <c r="H221" t="s">
        <v>18</v>
      </c>
      <c r="I221">
        <v>25</v>
      </c>
      <c r="J221">
        <v>26.1</v>
      </c>
      <c r="K221">
        <v>1</v>
      </c>
      <c r="L221">
        <v>3</v>
      </c>
      <c r="M221">
        <v>21</v>
      </c>
      <c r="N221" t="s">
        <v>431</v>
      </c>
    </row>
    <row r="222" spans="1:14" x14ac:dyDescent="0.35">
      <c r="A222" t="s">
        <v>402</v>
      </c>
      <c r="B222" t="s">
        <v>432</v>
      </c>
      <c r="C222" t="s">
        <v>16</v>
      </c>
      <c r="D222">
        <v>0</v>
      </c>
      <c r="E222">
        <v>18</v>
      </c>
      <c r="F222" t="s">
        <v>433</v>
      </c>
      <c r="G222">
        <v>18</v>
      </c>
      <c r="H222" t="s">
        <v>18</v>
      </c>
      <c r="I222">
        <v>23</v>
      </c>
      <c r="J222">
        <v>30.2</v>
      </c>
      <c r="K222">
        <v>3</v>
      </c>
      <c r="L222">
        <v>3</v>
      </c>
      <c r="M222">
        <v>21</v>
      </c>
      <c r="N222" t="s">
        <v>324</v>
      </c>
    </row>
    <row r="223" spans="1:14" x14ac:dyDescent="0.35">
      <c r="A223" t="s">
        <v>402</v>
      </c>
      <c r="B223" t="s">
        <v>434</v>
      </c>
      <c r="C223" t="s">
        <v>16</v>
      </c>
      <c r="D223">
        <v>0</v>
      </c>
      <c r="E223">
        <v>23</v>
      </c>
      <c r="F223" t="s">
        <v>137</v>
      </c>
      <c r="G223">
        <v>18</v>
      </c>
      <c r="H223" t="s">
        <v>18</v>
      </c>
      <c r="I223">
        <v>14</v>
      </c>
      <c r="J223">
        <v>24.2</v>
      </c>
      <c r="K223">
        <v>3</v>
      </c>
      <c r="L223">
        <v>4</v>
      </c>
      <c r="M223">
        <v>22</v>
      </c>
      <c r="N223" t="s">
        <v>145</v>
      </c>
    </row>
    <row r="224" spans="1:14" x14ac:dyDescent="0.35">
      <c r="A224" t="s">
        <v>402</v>
      </c>
      <c r="B224" t="s">
        <v>115</v>
      </c>
      <c r="C224" t="s">
        <v>29</v>
      </c>
      <c r="D224">
        <v>0</v>
      </c>
      <c r="E224">
        <v>19</v>
      </c>
      <c r="F224" t="s">
        <v>126</v>
      </c>
      <c r="G224">
        <v>18</v>
      </c>
      <c r="H224" t="s">
        <v>18</v>
      </c>
      <c r="I224">
        <v>63</v>
      </c>
      <c r="J224">
        <v>28</v>
      </c>
      <c r="K224">
        <v>0</v>
      </c>
      <c r="L224">
        <v>0</v>
      </c>
      <c r="M224">
        <v>18</v>
      </c>
      <c r="N224" t="s">
        <v>149</v>
      </c>
    </row>
    <row r="225" spans="1:14" x14ac:dyDescent="0.35">
      <c r="A225" t="s">
        <v>402</v>
      </c>
      <c r="B225" t="s">
        <v>126</v>
      </c>
      <c r="C225" t="s">
        <v>16</v>
      </c>
      <c r="D225">
        <v>5</v>
      </c>
      <c r="E225">
        <v>13</v>
      </c>
      <c r="F225" t="s">
        <v>435</v>
      </c>
      <c r="G225">
        <v>18</v>
      </c>
      <c r="H225" t="s">
        <v>18</v>
      </c>
      <c r="I225">
        <v>2</v>
      </c>
      <c r="J225">
        <v>27.8</v>
      </c>
      <c r="K225">
        <v>3</v>
      </c>
      <c r="L225">
        <v>3</v>
      </c>
      <c r="M225">
        <v>21</v>
      </c>
      <c r="N225" t="s">
        <v>127</v>
      </c>
    </row>
    <row r="226" spans="1:14" x14ac:dyDescent="0.35">
      <c r="A226" t="s">
        <v>402</v>
      </c>
      <c r="B226" t="s">
        <v>436</v>
      </c>
      <c r="C226" t="s">
        <v>16</v>
      </c>
      <c r="D226">
        <v>0</v>
      </c>
      <c r="E226">
        <v>20</v>
      </c>
      <c r="F226" t="s">
        <v>132</v>
      </c>
      <c r="G226">
        <v>18</v>
      </c>
      <c r="H226" t="s">
        <v>18</v>
      </c>
      <c r="I226">
        <v>4</v>
      </c>
      <c r="J226">
        <v>28.1</v>
      </c>
      <c r="K226">
        <v>3</v>
      </c>
      <c r="L226">
        <v>3</v>
      </c>
      <c r="M226">
        <v>21</v>
      </c>
      <c r="N226" t="s">
        <v>437</v>
      </c>
    </row>
    <row r="227" spans="1:14" x14ac:dyDescent="0.35">
      <c r="A227" t="s">
        <v>402</v>
      </c>
      <c r="B227" t="s">
        <v>134</v>
      </c>
      <c r="C227" t="s">
        <v>16</v>
      </c>
      <c r="D227">
        <v>2</v>
      </c>
      <c r="E227">
        <v>19</v>
      </c>
      <c r="F227" t="s">
        <v>135</v>
      </c>
      <c r="G227">
        <v>18</v>
      </c>
      <c r="H227" t="s">
        <v>18</v>
      </c>
      <c r="I227">
        <v>4</v>
      </c>
      <c r="J227">
        <v>26.7</v>
      </c>
      <c r="K227">
        <v>3</v>
      </c>
      <c r="L227">
        <v>5</v>
      </c>
      <c r="M227">
        <v>23</v>
      </c>
      <c r="N227" t="s">
        <v>438</v>
      </c>
    </row>
    <row r="228" spans="1:14" x14ac:dyDescent="0.35">
      <c r="A228" t="s">
        <v>402</v>
      </c>
      <c r="B228" t="s">
        <v>138</v>
      </c>
      <c r="C228" t="s">
        <v>16</v>
      </c>
      <c r="D228">
        <v>3</v>
      </c>
      <c r="E228">
        <v>19</v>
      </c>
      <c r="F228" t="s">
        <v>439</v>
      </c>
      <c r="G228">
        <v>18</v>
      </c>
      <c r="H228" t="s">
        <v>18</v>
      </c>
      <c r="I228">
        <v>4</v>
      </c>
      <c r="J228">
        <v>30.1</v>
      </c>
      <c r="K228">
        <v>0</v>
      </c>
      <c r="L228">
        <v>0</v>
      </c>
      <c r="M228">
        <v>18</v>
      </c>
      <c r="N228" t="s">
        <v>440</v>
      </c>
    </row>
    <row r="229" spans="1:14" x14ac:dyDescent="0.35">
      <c r="A229" t="s">
        <v>402</v>
      </c>
      <c r="B229" t="s">
        <v>128</v>
      </c>
      <c r="C229" t="s">
        <v>29</v>
      </c>
      <c r="D229">
        <v>1</v>
      </c>
      <c r="E229">
        <v>17</v>
      </c>
      <c r="F229" t="s">
        <v>142</v>
      </c>
      <c r="G229">
        <v>18</v>
      </c>
      <c r="H229" t="s">
        <v>18</v>
      </c>
      <c r="I229">
        <v>18</v>
      </c>
      <c r="J229">
        <v>17.100000000000001</v>
      </c>
      <c r="K229">
        <v>1</v>
      </c>
      <c r="L229">
        <v>5</v>
      </c>
      <c r="M229">
        <v>23</v>
      </c>
      <c r="N229" t="s">
        <v>133</v>
      </c>
    </row>
    <row r="230" spans="1:14" x14ac:dyDescent="0.35">
      <c r="A230" t="s">
        <v>402</v>
      </c>
      <c r="B230" t="s">
        <v>122</v>
      </c>
      <c r="C230" t="s">
        <v>16</v>
      </c>
      <c r="D230">
        <v>4</v>
      </c>
      <c r="E230">
        <v>15</v>
      </c>
      <c r="F230" t="s">
        <v>147</v>
      </c>
      <c r="G230">
        <v>18</v>
      </c>
      <c r="H230" t="s">
        <v>18</v>
      </c>
      <c r="I230">
        <v>6</v>
      </c>
      <c r="J230">
        <v>28</v>
      </c>
      <c r="K230">
        <v>2</v>
      </c>
      <c r="L230">
        <v>5</v>
      </c>
      <c r="M230">
        <v>23</v>
      </c>
      <c r="N230" t="s">
        <v>146</v>
      </c>
    </row>
    <row r="231" spans="1:14" x14ac:dyDescent="0.35">
      <c r="A231" t="s">
        <v>402</v>
      </c>
      <c r="B231" t="s">
        <v>155</v>
      </c>
      <c r="C231" t="s">
        <v>16</v>
      </c>
      <c r="D231">
        <v>1</v>
      </c>
      <c r="E231">
        <v>17</v>
      </c>
      <c r="F231" t="s">
        <v>130</v>
      </c>
      <c r="G231">
        <v>18</v>
      </c>
      <c r="H231" t="s">
        <v>18</v>
      </c>
      <c r="I231">
        <v>9</v>
      </c>
      <c r="J231">
        <v>28.4</v>
      </c>
      <c r="K231">
        <v>2</v>
      </c>
      <c r="L231">
        <v>4</v>
      </c>
      <c r="M231">
        <v>22</v>
      </c>
      <c r="N231" t="s">
        <v>441</v>
      </c>
    </row>
    <row r="232" spans="1:14" x14ac:dyDescent="0.35">
      <c r="A232" t="s">
        <v>402</v>
      </c>
      <c r="B232" t="s">
        <v>437</v>
      </c>
      <c r="C232" t="s">
        <v>16</v>
      </c>
      <c r="D232">
        <v>0</v>
      </c>
      <c r="E232">
        <v>18</v>
      </c>
      <c r="F232" t="s">
        <v>152</v>
      </c>
      <c r="G232">
        <v>18</v>
      </c>
      <c r="H232" t="s">
        <v>18</v>
      </c>
      <c r="I232">
        <v>7</v>
      </c>
      <c r="J232">
        <v>25</v>
      </c>
      <c r="K232">
        <v>4</v>
      </c>
      <c r="L232">
        <v>3</v>
      </c>
      <c r="M232">
        <v>21</v>
      </c>
      <c r="N232" t="s">
        <v>163</v>
      </c>
    </row>
    <row r="233" spans="1:14" x14ac:dyDescent="0.35">
      <c r="A233" t="s">
        <v>402</v>
      </c>
      <c r="B233" t="s">
        <v>144</v>
      </c>
      <c r="C233" t="s">
        <v>29</v>
      </c>
      <c r="D233">
        <v>0</v>
      </c>
      <c r="E233">
        <v>18</v>
      </c>
      <c r="F233" t="s">
        <v>442</v>
      </c>
      <c r="G233">
        <v>18</v>
      </c>
      <c r="H233" t="s">
        <v>18</v>
      </c>
      <c r="I233">
        <v>24</v>
      </c>
      <c r="J233">
        <v>24.1</v>
      </c>
      <c r="K233">
        <v>0</v>
      </c>
      <c r="L233">
        <v>0</v>
      </c>
      <c r="M233">
        <v>18</v>
      </c>
      <c r="N233" t="s">
        <v>165</v>
      </c>
    </row>
    <row r="234" spans="1:14" x14ac:dyDescent="0.35">
      <c r="A234" t="s">
        <v>402</v>
      </c>
      <c r="B234" t="s">
        <v>442</v>
      </c>
      <c r="C234" t="s">
        <v>16</v>
      </c>
      <c r="D234">
        <v>0</v>
      </c>
      <c r="E234">
        <v>18</v>
      </c>
      <c r="F234" t="s">
        <v>159</v>
      </c>
      <c r="G234">
        <v>18</v>
      </c>
      <c r="H234" t="s">
        <v>18</v>
      </c>
      <c r="I234">
        <v>12</v>
      </c>
      <c r="J234">
        <v>30.1</v>
      </c>
      <c r="K234">
        <v>4</v>
      </c>
      <c r="L234">
        <v>4</v>
      </c>
      <c r="M234">
        <v>22</v>
      </c>
      <c r="N234" t="s">
        <v>178</v>
      </c>
    </row>
    <row r="235" spans="1:14" x14ac:dyDescent="0.35">
      <c r="A235" t="s">
        <v>402</v>
      </c>
      <c r="B235" t="s">
        <v>443</v>
      </c>
      <c r="C235" t="s">
        <v>16</v>
      </c>
      <c r="D235">
        <v>0</v>
      </c>
      <c r="E235">
        <v>18</v>
      </c>
      <c r="F235" t="s">
        <v>444</v>
      </c>
      <c r="G235">
        <v>18</v>
      </c>
      <c r="H235" t="s">
        <v>18</v>
      </c>
      <c r="I235">
        <v>4</v>
      </c>
      <c r="J235">
        <v>30</v>
      </c>
      <c r="K235">
        <v>3</v>
      </c>
      <c r="L235">
        <v>4</v>
      </c>
      <c r="M235">
        <v>22</v>
      </c>
      <c r="N235" t="s">
        <v>445</v>
      </c>
    </row>
    <row r="236" spans="1:14" x14ac:dyDescent="0.35">
      <c r="A236" t="s">
        <v>402</v>
      </c>
      <c r="B236" t="s">
        <v>325</v>
      </c>
      <c r="C236" t="s">
        <v>29</v>
      </c>
      <c r="D236">
        <v>0</v>
      </c>
      <c r="E236">
        <v>12</v>
      </c>
      <c r="F236" t="s">
        <v>162</v>
      </c>
      <c r="G236">
        <v>12</v>
      </c>
      <c r="H236" t="s">
        <v>157</v>
      </c>
      <c r="I236">
        <v>15</v>
      </c>
      <c r="J236">
        <v>22</v>
      </c>
      <c r="K236">
        <v>3</v>
      </c>
      <c r="L236">
        <v>5</v>
      </c>
      <c r="M236">
        <v>17</v>
      </c>
      <c r="N236" t="s">
        <v>178</v>
      </c>
    </row>
    <row r="237" spans="1:14" x14ac:dyDescent="0.35">
      <c r="A237" t="s">
        <v>402</v>
      </c>
      <c r="B237" t="s">
        <v>441</v>
      </c>
      <c r="C237" t="s">
        <v>16</v>
      </c>
      <c r="D237">
        <v>0</v>
      </c>
      <c r="E237">
        <v>22</v>
      </c>
      <c r="F237" t="s">
        <v>329</v>
      </c>
      <c r="G237">
        <v>18</v>
      </c>
      <c r="H237" t="s">
        <v>18</v>
      </c>
      <c r="I237">
        <v>3</v>
      </c>
      <c r="J237">
        <v>31.3</v>
      </c>
      <c r="K237">
        <v>4</v>
      </c>
      <c r="L237">
        <v>7</v>
      </c>
      <c r="M237">
        <v>25</v>
      </c>
      <c r="N237" t="s">
        <v>446</v>
      </c>
    </row>
    <row r="238" spans="1:14" x14ac:dyDescent="0.35">
      <c r="A238" t="s">
        <v>402</v>
      </c>
      <c r="B238" t="s">
        <v>331</v>
      </c>
      <c r="C238" t="s">
        <v>16</v>
      </c>
      <c r="D238">
        <v>4</v>
      </c>
      <c r="E238">
        <v>18</v>
      </c>
      <c r="F238" t="s">
        <v>153</v>
      </c>
      <c r="G238">
        <v>18</v>
      </c>
      <c r="H238" t="s">
        <v>18</v>
      </c>
      <c r="I238">
        <v>3</v>
      </c>
      <c r="J238">
        <v>26.6</v>
      </c>
      <c r="K238">
        <v>1</v>
      </c>
      <c r="L238">
        <v>5</v>
      </c>
      <c r="M238">
        <v>23</v>
      </c>
      <c r="N238" t="s">
        <v>183</v>
      </c>
    </row>
    <row r="239" spans="1:14" x14ac:dyDescent="0.35">
      <c r="A239" t="s">
        <v>402</v>
      </c>
      <c r="B239" t="s">
        <v>332</v>
      </c>
      <c r="C239" t="s">
        <v>16</v>
      </c>
      <c r="D239">
        <v>4</v>
      </c>
      <c r="E239">
        <v>14</v>
      </c>
      <c r="F239" t="s">
        <v>333</v>
      </c>
      <c r="G239">
        <v>18</v>
      </c>
      <c r="H239" t="s">
        <v>18</v>
      </c>
      <c r="I239">
        <v>3</v>
      </c>
      <c r="J239">
        <v>29</v>
      </c>
      <c r="K239">
        <v>1</v>
      </c>
      <c r="L239">
        <v>3</v>
      </c>
      <c r="M239">
        <v>21</v>
      </c>
      <c r="N239" t="s">
        <v>334</v>
      </c>
    </row>
    <row r="240" spans="1:14" x14ac:dyDescent="0.35">
      <c r="A240" t="s">
        <v>402</v>
      </c>
      <c r="B240" t="s">
        <v>329</v>
      </c>
      <c r="C240" t="s">
        <v>29</v>
      </c>
      <c r="D240">
        <v>0</v>
      </c>
      <c r="E240">
        <v>19</v>
      </c>
      <c r="F240" t="s">
        <v>335</v>
      </c>
      <c r="G240">
        <v>18</v>
      </c>
      <c r="H240" t="s">
        <v>18</v>
      </c>
      <c r="I240">
        <v>9</v>
      </c>
      <c r="J240">
        <v>23.8</v>
      </c>
      <c r="K240">
        <v>0</v>
      </c>
      <c r="L240">
        <v>0</v>
      </c>
      <c r="M240">
        <v>18</v>
      </c>
      <c r="N240" t="s">
        <v>164</v>
      </c>
    </row>
    <row r="241" spans="1:14" x14ac:dyDescent="0.35">
      <c r="A241" t="s">
        <v>402</v>
      </c>
      <c r="B241" t="s">
        <v>335</v>
      </c>
      <c r="C241" t="s">
        <v>16</v>
      </c>
      <c r="D241">
        <v>0</v>
      </c>
      <c r="E241">
        <v>20</v>
      </c>
      <c r="F241" t="s">
        <v>169</v>
      </c>
      <c r="G241">
        <v>18</v>
      </c>
      <c r="H241" t="s">
        <v>18</v>
      </c>
      <c r="I241">
        <v>3</v>
      </c>
      <c r="J241">
        <v>23.2</v>
      </c>
      <c r="K241">
        <v>0</v>
      </c>
      <c r="L241">
        <v>0</v>
      </c>
      <c r="M241">
        <v>18</v>
      </c>
      <c r="N241" t="s">
        <v>186</v>
      </c>
    </row>
    <row r="242" spans="1:14" x14ac:dyDescent="0.35">
      <c r="A242" t="s">
        <v>402</v>
      </c>
      <c r="B242" t="s">
        <v>171</v>
      </c>
      <c r="C242" t="s">
        <v>16</v>
      </c>
      <c r="D242">
        <v>2</v>
      </c>
      <c r="E242">
        <v>18</v>
      </c>
      <c r="F242" t="s">
        <v>336</v>
      </c>
      <c r="G242">
        <v>18</v>
      </c>
      <c r="H242" t="s">
        <v>18</v>
      </c>
      <c r="I242">
        <v>4</v>
      </c>
      <c r="J242">
        <v>23.5</v>
      </c>
      <c r="K242">
        <v>3</v>
      </c>
      <c r="L242">
        <v>4</v>
      </c>
      <c r="M242">
        <v>22</v>
      </c>
      <c r="N242" t="s">
        <v>170</v>
      </c>
    </row>
    <row r="243" spans="1:14" x14ac:dyDescent="0.35">
      <c r="A243" t="s">
        <v>402</v>
      </c>
      <c r="B243" t="s">
        <v>173</v>
      </c>
      <c r="C243" t="s">
        <v>16</v>
      </c>
      <c r="D243">
        <v>2</v>
      </c>
      <c r="E243">
        <v>16</v>
      </c>
      <c r="F243" t="s">
        <v>161</v>
      </c>
      <c r="G243">
        <v>18</v>
      </c>
      <c r="H243" t="s">
        <v>18</v>
      </c>
      <c r="I243">
        <v>6</v>
      </c>
      <c r="J243">
        <v>28.7</v>
      </c>
      <c r="K243">
        <v>4</v>
      </c>
      <c r="L243">
        <v>5</v>
      </c>
      <c r="M243">
        <v>23</v>
      </c>
      <c r="N243" t="s">
        <v>447</v>
      </c>
    </row>
    <row r="244" spans="1:14" x14ac:dyDescent="0.35">
      <c r="A244" t="s">
        <v>402</v>
      </c>
      <c r="B244" t="s">
        <v>448</v>
      </c>
      <c r="C244" t="s">
        <v>29</v>
      </c>
      <c r="D244">
        <v>1</v>
      </c>
      <c r="E244">
        <v>13</v>
      </c>
      <c r="F244" t="s">
        <v>449</v>
      </c>
      <c r="G244">
        <v>14</v>
      </c>
      <c r="H244" t="s">
        <v>157</v>
      </c>
      <c r="I244">
        <v>15</v>
      </c>
      <c r="J244">
        <v>25.1</v>
      </c>
      <c r="K244">
        <v>1</v>
      </c>
      <c r="L244">
        <v>3</v>
      </c>
      <c r="M244">
        <v>17</v>
      </c>
      <c r="N244" t="s">
        <v>187</v>
      </c>
    </row>
    <row r="245" spans="1:14" x14ac:dyDescent="0.35">
      <c r="A245" t="s">
        <v>402</v>
      </c>
      <c r="B245" t="s">
        <v>449</v>
      </c>
      <c r="C245" t="s">
        <v>16</v>
      </c>
      <c r="D245">
        <v>0</v>
      </c>
      <c r="E245">
        <v>20</v>
      </c>
      <c r="F245" t="s">
        <v>170</v>
      </c>
      <c r="G245">
        <v>18</v>
      </c>
      <c r="H245" t="s">
        <v>18</v>
      </c>
      <c r="I245">
        <v>15</v>
      </c>
      <c r="J245">
        <v>30</v>
      </c>
      <c r="K245">
        <v>1</v>
      </c>
      <c r="L245">
        <v>3</v>
      </c>
      <c r="M245">
        <v>21</v>
      </c>
      <c r="N245" t="s">
        <v>347</v>
      </c>
    </row>
    <row r="246" spans="1:14" x14ac:dyDescent="0.35">
      <c r="A246" t="s">
        <v>402</v>
      </c>
      <c r="B246" t="s">
        <v>330</v>
      </c>
      <c r="C246" t="s">
        <v>29</v>
      </c>
      <c r="D246">
        <v>0</v>
      </c>
      <c r="E246">
        <v>3</v>
      </c>
      <c r="F246" t="s">
        <v>189</v>
      </c>
      <c r="G246">
        <v>3</v>
      </c>
      <c r="H246" t="s">
        <v>157</v>
      </c>
      <c r="I246">
        <v>15</v>
      </c>
      <c r="J246">
        <v>23.9</v>
      </c>
      <c r="K246">
        <v>3</v>
      </c>
      <c r="L246">
        <v>3</v>
      </c>
      <c r="M246">
        <v>6</v>
      </c>
      <c r="N246" t="s">
        <v>450</v>
      </c>
    </row>
    <row r="247" spans="1:14" x14ac:dyDescent="0.35">
      <c r="A247" t="s">
        <v>402</v>
      </c>
      <c r="B247" t="s">
        <v>451</v>
      </c>
      <c r="C247" t="s">
        <v>16</v>
      </c>
      <c r="D247">
        <v>2</v>
      </c>
      <c r="E247">
        <v>17</v>
      </c>
      <c r="F247" t="s">
        <v>447</v>
      </c>
      <c r="G247">
        <v>18</v>
      </c>
      <c r="H247" t="s">
        <v>18</v>
      </c>
      <c r="I247">
        <v>11</v>
      </c>
      <c r="J247">
        <v>30.7</v>
      </c>
      <c r="K247">
        <v>1</v>
      </c>
      <c r="L247">
        <v>2</v>
      </c>
      <c r="M247">
        <v>20</v>
      </c>
      <c r="N247" t="s">
        <v>452</v>
      </c>
    </row>
    <row r="248" spans="1:14" x14ac:dyDescent="0.35">
      <c r="A248" t="s">
        <v>402</v>
      </c>
      <c r="B248" t="s">
        <v>172</v>
      </c>
      <c r="C248" t="s">
        <v>29</v>
      </c>
      <c r="D248">
        <v>0</v>
      </c>
      <c r="E248">
        <v>5</v>
      </c>
      <c r="F248" t="s">
        <v>453</v>
      </c>
      <c r="G248">
        <v>5</v>
      </c>
      <c r="H248" t="s">
        <v>157</v>
      </c>
      <c r="I248">
        <v>15</v>
      </c>
      <c r="J248">
        <v>20.8</v>
      </c>
      <c r="K248">
        <v>1</v>
      </c>
      <c r="L248">
        <v>3</v>
      </c>
      <c r="M248">
        <v>8</v>
      </c>
      <c r="N248" t="s">
        <v>454</v>
      </c>
    </row>
    <row r="249" spans="1:14" x14ac:dyDescent="0.35">
      <c r="A249" t="s">
        <v>402</v>
      </c>
      <c r="B249" t="s">
        <v>344</v>
      </c>
      <c r="C249" t="s">
        <v>16</v>
      </c>
      <c r="D249">
        <v>1</v>
      </c>
      <c r="E249">
        <v>12</v>
      </c>
      <c r="F249" t="s">
        <v>455</v>
      </c>
      <c r="G249">
        <v>13</v>
      </c>
      <c r="H249" t="s">
        <v>157</v>
      </c>
      <c r="I249">
        <v>15</v>
      </c>
      <c r="J249">
        <v>25.3</v>
      </c>
      <c r="K249">
        <v>0</v>
      </c>
      <c r="L249">
        <v>0</v>
      </c>
      <c r="M249">
        <v>13</v>
      </c>
      <c r="N249" t="s">
        <v>456</v>
      </c>
    </row>
    <row r="250" spans="1:14" x14ac:dyDescent="0.35">
      <c r="A250" t="s">
        <v>402</v>
      </c>
      <c r="B250" t="s">
        <v>457</v>
      </c>
      <c r="C250" t="s">
        <v>29</v>
      </c>
      <c r="D250">
        <v>0</v>
      </c>
      <c r="E250">
        <v>4</v>
      </c>
      <c r="F250" t="s">
        <v>188</v>
      </c>
      <c r="G250">
        <v>4</v>
      </c>
      <c r="H250" t="s">
        <v>157</v>
      </c>
      <c r="I250">
        <v>15</v>
      </c>
      <c r="J250">
        <v>26</v>
      </c>
      <c r="K250">
        <v>2</v>
      </c>
      <c r="L250">
        <v>3</v>
      </c>
      <c r="M250">
        <v>7</v>
      </c>
      <c r="N250" t="s">
        <v>458</v>
      </c>
    </row>
    <row r="251" spans="1:14" x14ac:dyDescent="0.35">
      <c r="A251" t="s">
        <v>402</v>
      </c>
      <c r="B251" t="s">
        <v>459</v>
      </c>
      <c r="C251" t="s">
        <v>16</v>
      </c>
      <c r="D251">
        <v>0</v>
      </c>
      <c r="E251">
        <v>14</v>
      </c>
      <c r="F251" t="s">
        <v>198</v>
      </c>
      <c r="G251">
        <v>14</v>
      </c>
      <c r="H251" t="s">
        <v>157</v>
      </c>
      <c r="I251">
        <v>15</v>
      </c>
      <c r="J251">
        <v>30.6</v>
      </c>
      <c r="K251">
        <v>4</v>
      </c>
      <c r="L251">
        <v>2</v>
      </c>
      <c r="M251">
        <v>16</v>
      </c>
      <c r="N251" t="s">
        <v>460</v>
      </c>
    </row>
    <row r="252" spans="1:14" x14ac:dyDescent="0.35">
      <c r="A252" t="s">
        <v>402</v>
      </c>
      <c r="B252" t="s">
        <v>461</v>
      </c>
      <c r="C252" t="s">
        <v>29</v>
      </c>
      <c r="D252">
        <v>0</v>
      </c>
      <c r="E252">
        <v>5</v>
      </c>
      <c r="F252" t="s">
        <v>456</v>
      </c>
      <c r="G252">
        <v>5</v>
      </c>
      <c r="H252" t="s">
        <v>157</v>
      </c>
      <c r="I252">
        <v>15</v>
      </c>
      <c r="J252">
        <v>24.7</v>
      </c>
      <c r="K252">
        <v>0</v>
      </c>
      <c r="L252">
        <v>0</v>
      </c>
      <c r="M252">
        <v>5</v>
      </c>
      <c r="N252" t="s">
        <v>462</v>
      </c>
    </row>
    <row r="253" spans="1:14" x14ac:dyDescent="0.35">
      <c r="A253" t="s">
        <v>402</v>
      </c>
      <c r="B253" t="s">
        <v>353</v>
      </c>
      <c r="C253" t="s">
        <v>16</v>
      </c>
      <c r="D253">
        <v>0</v>
      </c>
      <c r="E253">
        <v>9</v>
      </c>
      <c r="F253" t="s">
        <v>354</v>
      </c>
      <c r="G253">
        <v>9</v>
      </c>
      <c r="H253" t="s">
        <v>157</v>
      </c>
      <c r="I253">
        <v>15</v>
      </c>
      <c r="J253">
        <v>26</v>
      </c>
      <c r="K253">
        <v>3</v>
      </c>
      <c r="L253">
        <v>2</v>
      </c>
      <c r="M253">
        <v>11</v>
      </c>
      <c r="N253" t="s">
        <v>463</v>
      </c>
    </row>
    <row r="254" spans="1:14" x14ac:dyDescent="0.35">
      <c r="A254" t="s">
        <v>402</v>
      </c>
      <c r="B254" t="s">
        <v>193</v>
      </c>
      <c r="C254" t="s">
        <v>29</v>
      </c>
      <c r="D254">
        <v>0</v>
      </c>
      <c r="E254">
        <v>4</v>
      </c>
      <c r="F254" t="s">
        <v>464</v>
      </c>
      <c r="G254">
        <v>4</v>
      </c>
      <c r="H254" t="s">
        <v>157</v>
      </c>
      <c r="I254">
        <v>15</v>
      </c>
      <c r="J254">
        <v>18.5</v>
      </c>
      <c r="K254">
        <v>2</v>
      </c>
      <c r="L254">
        <v>1</v>
      </c>
      <c r="M254">
        <v>5</v>
      </c>
      <c r="N254" t="s">
        <v>360</v>
      </c>
    </row>
    <row r="255" spans="1:14" x14ac:dyDescent="0.35">
      <c r="A255" t="s">
        <v>402</v>
      </c>
      <c r="B255" t="s">
        <v>458</v>
      </c>
      <c r="C255" t="s">
        <v>16</v>
      </c>
      <c r="D255">
        <v>0</v>
      </c>
      <c r="E255">
        <v>14</v>
      </c>
      <c r="F255" t="s">
        <v>355</v>
      </c>
      <c r="G255">
        <v>14</v>
      </c>
      <c r="H255" t="s">
        <v>157</v>
      </c>
      <c r="I255">
        <v>15</v>
      </c>
      <c r="J255">
        <v>26.9</v>
      </c>
      <c r="K255">
        <v>3</v>
      </c>
      <c r="L255">
        <v>0</v>
      </c>
      <c r="M255">
        <v>14</v>
      </c>
      <c r="N255" t="s">
        <v>365</v>
      </c>
    </row>
    <row r="256" spans="1:14" x14ac:dyDescent="0.35">
      <c r="A256" t="s">
        <v>402</v>
      </c>
      <c r="B256" t="s">
        <v>197</v>
      </c>
      <c r="C256" t="s">
        <v>16</v>
      </c>
      <c r="D256">
        <v>0</v>
      </c>
      <c r="E256">
        <v>16</v>
      </c>
      <c r="F256" t="s">
        <v>203</v>
      </c>
      <c r="G256">
        <v>16</v>
      </c>
      <c r="H256" t="s">
        <v>157</v>
      </c>
      <c r="I256">
        <v>15</v>
      </c>
      <c r="J256">
        <v>27.1</v>
      </c>
      <c r="K256">
        <v>3</v>
      </c>
      <c r="L256">
        <v>3</v>
      </c>
      <c r="M256">
        <v>19</v>
      </c>
      <c r="N256" t="s">
        <v>361</v>
      </c>
    </row>
    <row r="257" spans="1:14" x14ac:dyDescent="0.35">
      <c r="A257" t="s">
        <v>402</v>
      </c>
      <c r="B257" t="s">
        <v>465</v>
      </c>
      <c r="C257" t="s">
        <v>16</v>
      </c>
      <c r="D257">
        <v>0</v>
      </c>
      <c r="E257">
        <v>19</v>
      </c>
      <c r="F257" t="s">
        <v>466</v>
      </c>
      <c r="G257">
        <v>18</v>
      </c>
      <c r="H257" t="s">
        <v>18</v>
      </c>
      <c r="I257">
        <v>12</v>
      </c>
      <c r="J257">
        <v>28.6</v>
      </c>
      <c r="K257">
        <v>1</v>
      </c>
      <c r="L257">
        <v>2</v>
      </c>
      <c r="M257">
        <v>20</v>
      </c>
      <c r="N257" t="s">
        <v>369</v>
      </c>
    </row>
    <row r="258" spans="1:14" x14ac:dyDescent="0.35">
      <c r="A258" t="s">
        <v>402</v>
      </c>
      <c r="B258" t="s">
        <v>206</v>
      </c>
      <c r="C258" t="s">
        <v>16</v>
      </c>
      <c r="D258">
        <v>1</v>
      </c>
      <c r="E258">
        <v>17</v>
      </c>
      <c r="F258" t="s">
        <v>209</v>
      </c>
      <c r="G258">
        <v>18</v>
      </c>
      <c r="H258" t="s">
        <v>18</v>
      </c>
      <c r="I258">
        <v>14</v>
      </c>
      <c r="J258">
        <v>30.2</v>
      </c>
      <c r="K258">
        <v>4</v>
      </c>
      <c r="L258">
        <v>1</v>
      </c>
      <c r="M258">
        <v>19</v>
      </c>
      <c r="N258" t="s">
        <v>467</v>
      </c>
    </row>
    <row r="259" spans="1:14" x14ac:dyDescent="0.35">
      <c r="A259" t="s">
        <v>402</v>
      </c>
      <c r="B259" t="s">
        <v>468</v>
      </c>
      <c r="C259" t="s">
        <v>16</v>
      </c>
      <c r="D259">
        <v>0</v>
      </c>
      <c r="E259">
        <v>13</v>
      </c>
      <c r="F259" t="s">
        <v>212</v>
      </c>
      <c r="G259">
        <v>13</v>
      </c>
      <c r="H259" t="s">
        <v>157</v>
      </c>
      <c r="I259">
        <v>15</v>
      </c>
      <c r="J259">
        <v>25.8</v>
      </c>
      <c r="K259">
        <v>2</v>
      </c>
      <c r="L259">
        <v>2</v>
      </c>
      <c r="M259">
        <v>15</v>
      </c>
      <c r="N259" t="s">
        <v>469</v>
      </c>
    </row>
    <row r="260" spans="1:14" x14ac:dyDescent="0.35">
      <c r="A260" t="s">
        <v>402</v>
      </c>
      <c r="B260" t="s">
        <v>470</v>
      </c>
      <c r="C260" t="s">
        <v>16</v>
      </c>
      <c r="D260">
        <v>0</v>
      </c>
      <c r="E260">
        <v>10</v>
      </c>
      <c r="F260" t="s">
        <v>471</v>
      </c>
      <c r="G260">
        <v>10</v>
      </c>
      <c r="H260" t="s">
        <v>157</v>
      </c>
      <c r="I260">
        <v>15</v>
      </c>
      <c r="J260">
        <v>29.5</v>
      </c>
      <c r="K260">
        <v>3</v>
      </c>
      <c r="L260">
        <v>0</v>
      </c>
      <c r="M260">
        <v>10</v>
      </c>
      <c r="N260" t="s">
        <v>378</v>
      </c>
    </row>
    <row r="261" spans="1:14" x14ac:dyDescent="0.35">
      <c r="A261" t="s">
        <v>402</v>
      </c>
      <c r="B261" t="s">
        <v>472</v>
      </c>
      <c r="C261" t="s">
        <v>16</v>
      </c>
      <c r="D261">
        <v>0</v>
      </c>
      <c r="E261">
        <v>12</v>
      </c>
      <c r="F261" t="s">
        <v>473</v>
      </c>
      <c r="G261">
        <v>12</v>
      </c>
      <c r="H261" t="s">
        <v>157</v>
      </c>
      <c r="I261">
        <v>15</v>
      </c>
      <c r="J261">
        <v>29.5</v>
      </c>
      <c r="K261">
        <v>0</v>
      </c>
      <c r="L261">
        <v>0</v>
      </c>
      <c r="M261">
        <v>12</v>
      </c>
      <c r="N261" t="s">
        <v>381</v>
      </c>
    </row>
    <row r="262" spans="1:14" x14ac:dyDescent="0.35">
      <c r="A262" t="s">
        <v>402</v>
      </c>
      <c r="B262" t="s">
        <v>474</v>
      </c>
      <c r="C262" t="s">
        <v>16</v>
      </c>
      <c r="D262">
        <v>0</v>
      </c>
      <c r="E262">
        <v>12</v>
      </c>
      <c r="F262" t="s">
        <v>475</v>
      </c>
      <c r="G262">
        <v>12</v>
      </c>
      <c r="H262" t="s">
        <v>157</v>
      </c>
      <c r="I262">
        <v>15</v>
      </c>
      <c r="J262">
        <v>34.799999999999997</v>
      </c>
      <c r="K262">
        <v>3</v>
      </c>
      <c r="L262">
        <v>2</v>
      </c>
      <c r="M262">
        <v>14</v>
      </c>
      <c r="N262" t="s">
        <v>476</v>
      </c>
    </row>
    <row r="263" spans="1:14" x14ac:dyDescent="0.35">
      <c r="A263" t="s">
        <v>402</v>
      </c>
      <c r="B263" t="s">
        <v>477</v>
      </c>
      <c r="C263" t="s">
        <v>16</v>
      </c>
      <c r="D263">
        <v>0</v>
      </c>
      <c r="E263">
        <v>13</v>
      </c>
      <c r="F263" t="s">
        <v>478</v>
      </c>
      <c r="G263">
        <v>13</v>
      </c>
      <c r="H263" t="s">
        <v>157</v>
      </c>
      <c r="I263">
        <v>15</v>
      </c>
      <c r="J263">
        <v>27.9</v>
      </c>
      <c r="K263">
        <v>4</v>
      </c>
      <c r="L263">
        <v>2</v>
      </c>
      <c r="M263">
        <v>15</v>
      </c>
      <c r="N263" t="s">
        <v>385</v>
      </c>
    </row>
    <row r="264" spans="1:14" x14ac:dyDescent="0.35">
      <c r="A264" t="s">
        <v>402</v>
      </c>
      <c r="B264" t="s">
        <v>479</v>
      </c>
      <c r="C264" t="s">
        <v>16</v>
      </c>
      <c r="D264">
        <v>0</v>
      </c>
      <c r="E264">
        <v>7</v>
      </c>
      <c r="F264" t="s">
        <v>480</v>
      </c>
      <c r="G264">
        <v>7</v>
      </c>
      <c r="H264" t="s">
        <v>157</v>
      </c>
      <c r="I264">
        <v>15</v>
      </c>
      <c r="J264">
        <v>27</v>
      </c>
      <c r="K264">
        <v>2</v>
      </c>
      <c r="L264">
        <v>0</v>
      </c>
      <c r="M264">
        <v>7</v>
      </c>
      <c r="N264" t="s">
        <v>388</v>
      </c>
    </row>
    <row r="265" spans="1:14" x14ac:dyDescent="0.35">
      <c r="A265" t="s">
        <v>402</v>
      </c>
      <c r="B265" t="s">
        <v>227</v>
      </c>
      <c r="C265" t="s">
        <v>16</v>
      </c>
      <c r="D265">
        <v>0</v>
      </c>
      <c r="E265">
        <v>15</v>
      </c>
      <c r="F265" t="s">
        <v>481</v>
      </c>
      <c r="G265">
        <v>15</v>
      </c>
      <c r="H265" t="s">
        <v>157</v>
      </c>
      <c r="I265">
        <v>15</v>
      </c>
      <c r="J265">
        <v>25.9</v>
      </c>
      <c r="K265">
        <v>3</v>
      </c>
      <c r="L265">
        <v>1</v>
      </c>
      <c r="M265">
        <v>16</v>
      </c>
      <c r="N265" t="s">
        <v>482</v>
      </c>
    </row>
    <row r="266" spans="1:14" x14ac:dyDescent="0.35">
      <c r="A266" t="s">
        <v>402</v>
      </c>
      <c r="B266" t="s">
        <v>483</v>
      </c>
      <c r="C266" t="s">
        <v>16</v>
      </c>
      <c r="D266">
        <v>0</v>
      </c>
      <c r="E266">
        <v>16</v>
      </c>
      <c r="F266" t="s">
        <v>484</v>
      </c>
      <c r="G266">
        <v>16</v>
      </c>
      <c r="H266" t="s">
        <v>157</v>
      </c>
      <c r="I266">
        <v>15</v>
      </c>
      <c r="J266">
        <v>28.7</v>
      </c>
      <c r="K266">
        <v>4</v>
      </c>
      <c r="L266">
        <v>3</v>
      </c>
      <c r="M266">
        <v>19</v>
      </c>
      <c r="N266" t="s">
        <v>393</v>
      </c>
    </row>
    <row r="267" spans="1:14" x14ac:dyDescent="0.35">
      <c r="A267" t="s">
        <v>402</v>
      </c>
      <c r="B267" t="s">
        <v>485</v>
      </c>
      <c r="C267" t="s">
        <v>16</v>
      </c>
      <c r="D267">
        <v>0</v>
      </c>
      <c r="E267">
        <v>5</v>
      </c>
      <c r="F267" t="s">
        <v>486</v>
      </c>
      <c r="G267">
        <v>5</v>
      </c>
      <c r="H267" t="s">
        <v>157</v>
      </c>
      <c r="I267">
        <v>15</v>
      </c>
      <c r="J267">
        <v>29.5</v>
      </c>
      <c r="K267">
        <v>4</v>
      </c>
      <c r="L267">
        <v>2</v>
      </c>
      <c r="M267">
        <v>7</v>
      </c>
      <c r="N267" t="s">
        <v>487</v>
      </c>
    </row>
    <row r="268" spans="1:14" x14ac:dyDescent="0.35">
      <c r="A268" t="s">
        <v>402</v>
      </c>
      <c r="B268" t="s">
        <v>488</v>
      </c>
      <c r="C268" t="s">
        <v>16</v>
      </c>
      <c r="D268">
        <v>0</v>
      </c>
      <c r="E268">
        <v>7</v>
      </c>
      <c r="F268" t="s">
        <v>489</v>
      </c>
      <c r="G268">
        <v>7</v>
      </c>
      <c r="H268" t="s">
        <v>157</v>
      </c>
      <c r="I268">
        <v>15</v>
      </c>
      <c r="J268">
        <v>23.7</v>
      </c>
      <c r="K268">
        <v>2</v>
      </c>
      <c r="L268">
        <v>0</v>
      </c>
      <c r="M268">
        <v>7</v>
      </c>
      <c r="N268" t="s">
        <v>247</v>
      </c>
    </row>
    <row r="269" spans="1:14" x14ac:dyDescent="0.35">
      <c r="A269" t="s">
        <v>402</v>
      </c>
      <c r="B269" t="s">
        <v>390</v>
      </c>
      <c r="C269" t="s">
        <v>16</v>
      </c>
      <c r="D269">
        <v>0</v>
      </c>
      <c r="E269">
        <v>11</v>
      </c>
      <c r="F269" t="s">
        <v>490</v>
      </c>
      <c r="G269">
        <v>11</v>
      </c>
      <c r="H269" t="s">
        <v>157</v>
      </c>
      <c r="I269">
        <v>15</v>
      </c>
      <c r="J269">
        <v>32.1</v>
      </c>
      <c r="K269">
        <v>2</v>
      </c>
      <c r="L269">
        <v>1</v>
      </c>
      <c r="M269">
        <v>12</v>
      </c>
      <c r="N269" t="s">
        <v>248</v>
      </c>
    </row>
    <row r="270" spans="1:14" x14ac:dyDescent="0.35">
      <c r="A270" t="s">
        <v>402</v>
      </c>
      <c r="B270" t="s">
        <v>491</v>
      </c>
      <c r="C270" t="s">
        <v>16</v>
      </c>
      <c r="D270">
        <v>0</v>
      </c>
      <c r="E270">
        <v>5</v>
      </c>
      <c r="F270" t="s">
        <v>245</v>
      </c>
      <c r="G270">
        <v>5</v>
      </c>
      <c r="H270" t="s">
        <v>157</v>
      </c>
      <c r="I270">
        <v>15</v>
      </c>
      <c r="J270">
        <v>28.8</v>
      </c>
      <c r="K270">
        <v>1</v>
      </c>
      <c r="L270">
        <v>1</v>
      </c>
      <c r="M270">
        <v>6</v>
      </c>
      <c r="N270" t="s">
        <v>492</v>
      </c>
    </row>
    <row r="271" spans="1:14" x14ac:dyDescent="0.35">
      <c r="A271" t="s">
        <v>402</v>
      </c>
      <c r="B271" t="s">
        <v>493</v>
      </c>
      <c r="C271" t="s">
        <v>16</v>
      </c>
      <c r="D271">
        <v>0</v>
      </c>
      <c r="E271">
        <v>13</v>
      </c>
      <c r="F271" t="s">
        <v>494</v>
      </c>
      <c r="G271">
        <v>13</v>
      </c>
      <c r="H271" t="s">
        <v>157</v>
      </c>
      <c r="I271">
        <v>15</v>
      </c>
      <c r="J271">
        <v>27.1</v>
      </c>
      <c r="K271">
        <v>4</v>
      </c>
      <c r="L271">
        <v>2</v>
      </c>
      <c r="M271">
        <v>15</v>
      </c>
      <c r="N271" t="s">
        <v>495</v>
      </c>
    </row>
    <row r="272" spans="1:14" x14ac:dyDescent="0.35">
      <c r="A272" t="s">
        <v>496</v>
      </c>
      <c r="B272" t="s">
        <v>15</v>
      </c>
      <c r="C272" t="s">
        <v>16</v>
      </c>
      <c r="D272">
        <v>0</v>
      </c>
      <c r="E272">
        <v>22</v>
      </c>
      <c r="F272" t="s">
        <v>20</v>
      </c>
      <c r="G272">
        <v>18</v>
      </c>
      <c r="H272" t="s">
        <v>18</v>
      </c>
      <c r="I272">
        <v>4</v>
      </c>
      <c r="J272">
        <v>29.8</v>
      </c>
      <c r="K272">
        <v>1</v>
      </c>
      <c r="L272">
        <v>4</v>
      </c>
      <c r="M272">
        <v>22</v>
      </c>
      <c r="N272" t="s">
        <v>403</v>
      </c>
    </row>
    <row r="273" spans="1:14" x14ac:dyDescent="0.35">
      <c r="A273" t="s">
        <v>496</v>
      </c>
      <c r="B273" t="s">
        <v>254</v>
      </c>
      <c r="C273" t="s">
        <v>16</v>
      </c>
      <c r="D273">
        <v>4</v>
      </c>
      <c r="E273">
        <v>16</v>
      </c>
      <c r="F273" t="s">
        <v>404</v>
      </c>
      <c r="G273">
        <v>18</v>
      </c>
      <c r="H273" t="s">
        <v>18</v>
      </c>
      <c r="I273">
        <v>4</v>
      </c>
      <c r="J273">
        <v>26.3</v>
      </c>
      <c r="K273">
        <v>3</v>
      </c>
      <c r="L273">
        <v>6</v>
      </c>
      <c r="M273">
        <v>24</v>
      </c>
      <c r="N273" t="s">
        <v>257</v>
      </c>
    </row>
    <row r="274" spans="1:14" x14ac:dyDescent="0.35">
      <c r="A274" t="s">
        <v>496</v>
      </c>
      <c r="B274" t="s">
        <v>24</v>
      </c>
      <c r="C274" t="s">
        <v>16</v>
      </c>
      <c r="D274">
        <v>2</v>
      </c>
      <c r="E274">
        <v>21</v>
      </c>
      <c r="F274" t="s">
        <v>263</v>
      </c>
      <c r="G274">
        <v>18</v>
      </c>
      <c r="H274" t="s">
        <v>18</v>
      </c>
      <c r="I274">
        <v>4</v>
      </c>
      <c r="J274">
        <v>28.8</v>
      </c>
      <c r="K274">
        <v>0</v>
      </c>
      <c r="L274">
        <v>0</v>
      </c>
      <c r="M274">
        <v>18</v>
      </c>
      <c r="N274" t="s">
        <v>497</v>
      </c>
    </row>
    <row r="275" spans="1:14" x14ac:dyDescent="0.35">
      <c r="A275" t="s">
        <v>496</v>
      </c>
      <c r="B275" t="s">
        <v>405</v>
      </c>
      <c r="C275" t="s">
        <v>29</v>
      </c>
      <c r="D275">
        <v>0</v>
      </c>
      <c r="E275">
        <v>20</v>
      </c>
      <c r="F275" t="s">
        <v>30</v>
      </c>
      <c r="G275">
        <v>18</v>
      </c>
      <c r="H275" t="s">
        <v>18</v>
      </c>
      <c r="I275">
        <v>16</v>
      </c>
      <c r="J275">
        <v>22.2</v>
      </c>
      <c r="K275">
        <v>2</v>
      </c>
      <c r="L275">
        <v>4</v>
      </c>
      <c r="M275">
        <v>22</v>
      </c>
      <c r="N275" t="s">
        <v>264</v>
      </c>
    </row>
    <row r="276" spans="1:14" x14ac:dyDescent="0.35">
      <c r="A276" t="s">
        <v>496</v>
      </c>
      <c r="B276" t="s">
        <v>258</v>
      </c>
      <c r="C276" t="s">
        <v>16</v>
      </c>
      <c r="D276">
        <v>5</v>
      </c>
      <c r="E276">
        <v>14</v>
      </c>
      <c r="F276" t="s">
        <v>260</v>
      </c>
      <c r="G276">
        <v>18</v>
      </c>
      <c r="H276" t="s">
        <v>18</v>
      </c>
      <c r="I276">
        <v>4</v>
      </c>
      <c r="J276">
        <v>24.4</v>
      </c>
      <c r="K276">
        <v>0</v>
      </c>
      <c r="L276">
        <v>0</v>
      </c>
      <c r="M276">
        <v>18</v>
      </c>
      <c r="N276" t="s">
        <v>408</v>
      </c>
    </row>
    <row r="277" spans="1:14" x14ac:dyDescent="0.35">
      <c r="A277" t="s">
        <v>496</v>
      </c>
      <c r="B277" t="s">
        <v>31</v>
      </c>
      <c r="C277" t="s">
        <v>16</v>
      </c>
      <c r="D277">
        <v>1</v>
      </c>
      <c r="E277">
        <v>22</v>
      </c>
      <c r="F277" t="s">
        <v>406</v>
      </c>
      <c r="G277">
        <v>18</v>
      </c>
      <c r="H277" t="s">
        <v>18</v>
      </c>
      <c r="I277">
        <v>3</v>
      </c>
      <c r="J277">
        <v>27.3</v>
      </c>
      <c r="K277">
        <v>0</v>
      </c>
      <c r="L277">
        <v>0</v>
      </c>
      <c r="M277">
        <v>18</v>
      </c>
      <c r="N277" t="s">
        <v>262</v>
      </c>
    </row>
    <row r="278" spans="1:14" x14ac:dyDescent="0.35">
      <c r="A278" t="s">
        <v>496</v>
      </c>
      <c r="B278" t="s">
        <v>261</v>
      </c>
      <c r="C278" t="s">
        <v>16</v>
      </c>
      <c r="D278">
        <v>5</v>
      </c>
      <c r="E278">
        <v>15</v>
      </c>
      <c r="F278" t="s">
        <v>38</v>
      </c>
      <c r="G278">
        <v>18</v>
      </c>
      <c r="H278" t="s">
        <v>18</v>
      </c>
      <c r="I278">
        <v>2</v>
      </c>
      <c r="J278">
        <v>31.5</v>
      </c>
      <c r="K278">
        <v>1</v>
      </c>
      <c r="L278">
        <v>6</v>
      </c>
      <c r="M278">
        <v>24</v>
      </c>
      <c r="N278" t="s">
        <v>45</v>
      </c>
    </row>
    <row r="279" spans="1:14" x14ac:dyDescent="0.35">
      <c r="A279" t="s">
        <v>496</v>
      </c>
      <c r="B279" t="s">
        <v>36</v>
      </c>
      <c r="C279" t="s">
        <v>16</v>
      </c>
      <c r="D279">
        <v>2</v>
      </c>
      <c r="E279">
        <v>17</v>
      </c>
      <c r="F279" t="s">
        <v>39</v>
      </c>
      <c r="G279">
        <v>18</v>
      </c>
      <c r="H279" t="s">
        <v>18</v>
      </c>
      <c r="I279">
        <v>2</v>
      </c>
      <c r="J279">
        <v>27.7</v>
      </c>
      <c r="K279">
        <v>1</v>
      </c>
      <c r="L279">
        <v>3</v>
      </c>
      <c r="M279">
        <v>21</v>
      </c>
      <c r="N279" t="s">
        <v>498</v>
      </c>
    </row>
    <row r="280" spans="1:14" x14ac:dyDescent="0.35">
      <c r="A280" t="s">
        <v>496</v>
      </c>
      <c r="B280" t="s">
        <v>499</v>
      </c>
      <c r="C280" t="s">
        <v>29</v>
      </c>
      <c r="D280">
        <v>2</v>
      </c>
      <c r="E280">
        <v>16</v>
      </c>
      <c r="F280" t="s">
        <v>257</v>
      </c>
      <c r="G280">
        <v>18</v>
      </c>
      <c r="H280" t="s">
        <v>18</v>
      </c>
      <c r="I280">
        <v>17</v>
      </c>
      <c r="J280">
        <v>19.100000000000001</v>
      </c>
      <c r="K280">
        <v>2</v>
      </c>
      <c r="L280">
        <v>3</v>
      </c>
      <c r="M280">
        <v>21</v>
      </c>
      <c r="N280" t="s">
        <v>500</v>
      </c>
    </row>
    <row r="281" spans="1:14" x14ac:dyDescent="0.35">
      <c r="A281" t="s">
        <v>496</v>
      </c>
      <c r="B281" t="s">
        <v>41</v>
      </c>
      <c r="C281" t="s">
        <v>16</v>
      </c>
      <c r="D281">
        <v>1</v>
      </c>
      <c r="E281">
        <v>17</v>
      </c>
      <c r="F281" t="s">
        <v>501</v>
      </c>
      <c r="G281">
        <v>18</v>
      </c>
      <c r="H281" t="s">
        <v>18</v>
      </c>
      <c r="I281">
        <v>8</v>
      </c>
      <c r="J281">
        <v>28.7</v>
      </c>
      <c r="K281">
        <v>1</v>
      </c>
      <c r="L281">
        <v>5</v>
      </c>
      <c r="M281">
        <v>23</v>
      </c>
      <c r="N281" t="s">
        <v>411</v>
      </c>
    </row>
    <row r="282" spans="1:14" x14ac:dyDescent="0.35">
      <c r="A282" t="s">
        <v>496</v>
      </c>
      <c r="B282" t="s">
        <v>255</v>
      </c>
      <c r="C282" t="s">
        <v>16</v>
      </c>
      <c r="D282">
        <v>0</v>
      </c>
      <c r="E282">
        <v>18</v>
      </c>
      <c r="F282" t="s">
        <v>35</v>
      </c>
      <c r="G282">
        <v>18</v>
      </c>
      <c r="H282" t="s">
        <v>18</v>
      </c>
      <c r="I282">
        <v>13</v>
      </c>
      <c r="J282">
        <v>33.200000000000003</v>
      </c>
      <c r="K282">
        <v>4</v>
      </c>
      <c r="L282">
        <v>3</v>
      </c>
      <c r="M282">
        <v>21</v>
      </c>
      <c r="N282" t="s">
        <v>68</v>
      </c>
    </row>
    <row r="283" spans="1:14" x14ac:dyDescent="0.35">
      <c r="A283" t="s">
        <v>496</v>
      </c>
      <c r="B283" t="s">
        <v>40</v>
      </c>
      <c r="C283" t="s">
        <v>16</v>
      </c>
      <c r="D283">
        <v>0</v>
      </c>
      <c r="E283">
        <v>25</v>
      </c>
      <c r="F283" t="s">
        <v>48</v>
      </c>
      <c r="G283">
        <v>18</v>
      </c>
      <c r="H283" t="s">
        <v>18</v>
      </c>
      <c r="I283">
        <v>8</v>
      </c>
      <c r="J283">
        <v>24.8</v>
      </c>
      <c r="K283">
        <v>0</v>
      </c>
      <c r="L283">
        <v>0</v>
      </c>
      <c r="M283">
        <v>18</v>
      </c>
      <c r="N283" t="s">
        <v>49</v>
      </c>
    </row>
    <row r="284" spans="1:14" x14ac:dyDescent="0.35">
      <c r="A284" t="s">
        <v>496</v>
      </c>
      <c r="B284" t="s">
        <v>52</v>
      </c>
      <c r="C284" t="s">
        <v>16</v>
      </c>
      <c r="D284">
        <v>7</v>
      </c>
      <c r="E284">
        <v>12</v>
      </c>
      <c r="F284" t="s">
        <v>265</v>
      </c>
      <c r="G284">
        <v>18</v>
      </c>
      <c r="H284" t="s">
        <v>18</v>
      </c>
      <c r="I284">
        <v>1</v>
      </c>
      <c r="J284">
        <v>31.9</v>
      </c>
      <c r="K284">
        <v>0</v>
      </c>
      <c r="L284">
        <v>0</v>
      </c>
      <c r="M284">
        <v>18</v>
      </c>
      <c r="N284" t="s">
        <v>271</v>
      </c>
    </row>
    <row r="285" spans="1:14" x14ac:dyDescent="0.35">
      <c r="A285" t="s">
        <v>496</v>
      </c>
      <c r="B285" t="s">
        <v>411</v>
      </c>
      <c r="C285" t="s">
        <v>16</v>
      </c>
      <c r="D285">
        <v>1</v>
      </c>
      <c r="E285">
        <v>17</v>
      </c>
      <c r="F285" t="s">
        <v>272</v>
      </c>
      <c r="G285">
        <v>18</v>
      </c>
      <c r="H285" t="s">
        <v>18</v>
      </c>
      <c r="I285">
        <v>2</v>
      </c>
      <c r="J285">
        <v>25.2</v>
      </c>
      <c r="K285">
        <v>4</v>
      </c>
      <c r="L285">
        <v>5</v>
      </c>
      <c r="M285">
        <v>23</v>
      </c>
      <c r="N285" t="s">
        <v>502</v>
      </c>
    </row>
    <row r="286" spans="1:14" x14ac:dyDescent="0.35">
      <c r="A286" t="s">
        <v>496</v>
      </c>
      <c r="B286" t="s">
        <v>503</v>
      </c>
      <c r="C286" t="s">
        <v>29</v>
      </c>
      <c r="D286">
        <v>0</v>
      </c>
      <c r="E286">
        <v>19</v>
      </c>
      <c r="F286" t="s">
        <v>55</v>
      </c>
      <c r="G286">
        <v>18</v>
      </c>
      <c r="H286" t="s">
        <v>18</v>
      </c>
      <c r="I286">
        <v>34</v>
      </c>
      <c r="J286">
        <v>25.4</v>
      </c>
      <c r="K286">
        <v>4</v>
      </c>
      <c r="L286">
        <v>4</v>
      </c>
      <c r="M286">
        <v>22</v>
      </c>
      <c r="N286" t="s">
        <v>58</v>
      </c>
    </row>
    <row r="287" spans="1:14" x14ac:dyDescent="0.35">
      <c r="A287" t="s">
        <v>496</v>
      </c>
      <c r="B287" t="s">
        <v>53</v>
      </c>
      <c r="C287" t="s">
        <v>16</v>
      </c>
      <c r="D287">
        <v>0</v>
      </c>
      <c r="E287">
        <v>19</v>
      </c>
      <c r="F287" t="s">
        <v>56</v>
      </c>
      <c r="G287">
        <v>18</v>
      </c>
      <c r="H287" t="s">
        <v>18</v>
      </c>
      <c r="I287">
        <v>3</v>
      </c>
      <c r="J287">
        <v>31.6</v>
      </c>
      <c r="K287">
        <v>4</v>
      </c>
      <c r="L287">
        <v>2</v>
      </c>
      <c r="M287">
        <v>20</v>
      </c>
      <c r="N287" t="s">
        <v>281</v>
      </c>
    </row>
    <row r="288" spans="1:14" x14ac:dyDescent="0.35">
      <c r="A288" t="s">
        <v>496</v>
      </c>
      <c r="B288" t="s">
        <v>43</v>
      </c>
      <c r="C288" t="s">
        <v>16</v>
      </c>
      <c r="D288">
        <v>1</v>
      </c>
      <c r="E288">
        <v>20</v>
      </c>
      <c r="F288" t="s">
        <v>504</v>
      </c>
      <c r="G288">
        <v>18</v>
      </c>
      <c r="H288" t="s">
        <v>18</v>
      </c>
      <c r="I288">
        <v>5</v>
      </c>
      <c r="J288">
        <v>28.6</v>
      </c>
      <c r="K288">
        <v>2</v>
      </c>
      <c r="L288">
        <v>3</v>
      </c>
      <c r="M288">
        <v>21</v>
      </c>
      <c r="N288" t="s">
        <v>275</v>
      </c>
    </row>
    <row r="289" spans="1:14" x14ac:dyDescent="0.35">
      <c r="A289" t="s">
        <v>496</v>
      </c>
      <c r="B289" t="s">
        <v>62</v>
      </c>
      <c r="C289" t="s">
        <v>16</v>
      </c>
      <c r="D289">
        <v>3</v>
      </c>
      <c r="E289">
        <v>16</v>
      </c>
      <c r="F289" t="s">
        <v>277</v>
      </c>
      <c r="G289">
        <v>18</v>
      </c>
      <c r="H289" t="s">
        <v>18</v>
      </c>
      <c r="I289">
        <v>2</v>
      </c>
      <c r="J289">
        <v>28</v>
      </c>
      <c r="K289">
        <v>0</v>
      </c>
      <c r="L289">
        <v>0</v>
      </c>
      <c r="M289">
        <v>18</v>
      </c>
      <c r="N289" t="s">
        <v>66</v>
      </c>
    </row>
    <row r="290" spans="1:14" x14ac:dyDescent="0.35">
      <c r="A290" t="s">
        <v>496</v>
      </c>
      <c r="B290" t="s">
        <v>273</v>
      </c>
      <c r="C290" t="s">
        <v>29</v>
      </c>
      <c r="D290">
        <v>1</v>
      </c>
      <c r="E290">
        <v>19</v>
      </c>
      <c r="F290" t="s">
        <v>277</v>
      </c>
      <c r="G290">
        <v>18</v>
      </c>
      <c r="H290" t="s">
        <v>18</v>
      </c>
      <c r="I290">
        <v>10</v>
      </c>
      <c r="J290">
        <v>21.4</v>
      </c>
      <c r="K290">
        <v>4</v>
      </c>
      <c r="L290">
        <v>5</v>
      </c>
      <c r="M290">
        <v>23</v>
      </c>
      <c r="N290" t="s">
        <v>505</v>
      </c>
    </row>
    <row r="291" spans="1:14" x14ac:dyDescent="0.35">
      <c r="A291" t="s">
        <v>496</v>
      </c>
      <c r="B291" t="s">
        <v>51</v>
      </c>
      <c r="C291" t="s">
        <v>16</v>
      </c>
      <c r="D291">
        <v>1</v>
      </c>
      <c r="E291">
        <v>22</v>
      </c>
      <c r="F291" t="s">
        <v>67</v>
      </c>
      <c r="G291">
        <v>18</v>
      </c>
      <c r="H291" t="s">
        <v>18</v>
      </c>
      <c r="I291">
        <v>2</v>
      </c>
      <c r="J291">
        <v>28.1</v>
      </c>
      <c r="K291">
        <v>1</v>
      </c>
      <c r="L291">
        <v>3</v>
      </c>
      <c r="M291">
        <v>21</v>
      </c>
      <c r="N291" t="s">
        <v>506</v>
      </c>
    </row>
    <row r="292" spans="1:14" x14ac:dyDescent="0.35">
      <c r="A292" t="s">
        <v>496</v>
      </c>
      <c r="B292" t="s">
        <v>65</v>
      </c>
      <c r="C292" t="s">
        <v>16</v>
      </c>
      <c r="D292">
        <v>5</v>
      </c>
      <c r="E292">
        <v>13</v>
      </c>
      <c r="F292" t="s">
        <v>415</v>
      </c>
      <c r="G292">
        <v>18</v>
      </c>
      <c r="H292" t="s">
        <v>18</v>
      </c>
      <c r="I292">
        <v>3</v>
      </c>
      <c r="J292">
        <v>31.1</v>
      </c>
      <c r="K292">
        <v>2</v>
      </c>
      <c r="L292">
        <v>4</v>
      </c>
      <c r="M292">
        <v>22</v>
      </c>
      <c r="N292" t="s">
        <v>278</v>
      </c>
    </row>
    <row r="293" spans="1:14" x14ac:dyDescent="0.35">
      <c r="A293" t="s">
        <v>496</v>
      </c>
      <c r="B293" t="s">
        <v>51</v>
      </c>
      <c r="C293" t="s">
        <v>29</v>
      </c>
      <c r="D293">
        <v>2</v>
      </c>
      <c r="E293">
        <v>17</v>
      </c>
      <c r="F293" t="s">
        <v>412</v>
      </c>
      <c r="G293">
        <v>18</v>
      </c>
      <c r="H293" t="s">
        <v>18</v>
      </c>
      <c r="I293">
        <v>15</v>
      </c>
      <c r="J293">
        <v>19.8</v>
      </c>
      <c r="K293">
        <v>3</v>
      </c>
      <c r="L293">
        <v>4</v>
      </c>
      <c r="M293">
        <v>22</v>
      </c>
      <c r="N293" t="s">
        <v>284</v>
      </c>
    </row>
    <row r="294" spans="1:14" x14ac:dyDescent="0.35">
      <c r="A294" t="s">
        <v>496</v>
      </c>
      <c r="B294" t="s">
        <v>279</v>
      </c>
      <c r="C294" t="s">
        <v>16</v>
      </c>
      <c r="D294">
        <v>0</v>
      </c>
      <c r="E294">
        <v>19</v>
      </c>
      <c r="F294" t="s">
        <v>54</v>
      </c>
      <c r="G294">
        <v>18</v>
      </c>
      <c r="H294" t="s">
        <v>18</v>
      </c>
      <c r="I294">
        <v>10</v>
      </c>
      <c r="J294">
        <v>30.1</v>
      </c>
      <c r="K294">
        <v>2</v>
      </c>
      <c r="L294">
        <v>5</v>
      </c>
      <c r="M294">
        <v>23</v>
      </c>
      <c r="N294" t="s">
        <v>80</v>
      </c>
    </row>
    <row r="295" spans="1:14" x14ac:dyDescent="0.35">
      <c r="A295" t="s">
        <v>496</v>
      </c>
      <c r="B295" t="s">
        <v>57</v>
      </c>
      <c r="C295" t="s">
        <v>16</v>
      </c>
      <c r="D295">
        <v>1</v>
      </c>
      <c r="E295">
        <v>17</v>
      </c>
      <c r="F295" t="s">
        <v>506</v>
      </c>
      <c r="G295">
        <v>18</v>
      </c>
      <c r="H295" t="s">
        <v>18</v>
      </c>
      <c r="I295">
        <v>12</v>
      </c>
      <c r="J295">
        <v>31.6</v>
      </c>
      <c r="K295">
        <v>0</v>
      </c>
      <c r="L295">
        <v>0</v>
      </c>
      <c r="M295">
        <v>18</v>
      </c>
      <c r="N295" t="s">
        <v>91</v>
      </c>
    </row>
    <row r="296" spans="1:14" x14ac:dyDescent="0.35">
      <c r="A296" t="s">
        <v>496</v>
      </c>
      <c r="B296" t="s">
        <v>69</v>
      </c>
      <c r="C296" t="s">
        <v>16</v>
      </c>
      <c r="D296">
        <v>0</v>
      </c>
      <c r="E296">
        <v>19</v>
      </c>
      <c r="F296" t="s">
        <v>75</v>
      </c>
      <c r="G296">
        <v>18</v>
      </c>
      <c r="H296" t="s">
        <v>18</v>
      </c>
      <c r="I296">
        <v>8</v>
      </c>
      <c r="J296">
        <v>31.2</v>
      </c>
      <c r="K296">
        <v>2</v>
      </c>
      <c r="L296">
        <v>3</v>
      </c>
      <c r="M296">
        <v>21</v>
      </c>
      <c r="N296" t="s">
        <v>78</v>
      </c>
    </row>
    <row r="297" spans="1:14" x14ac:dyDescent="0.35">
      <c r="A297" t="s">
        <v>496</v>
      </c>
      <c r="B297" t="s">
        <v>90</v>
      </c>
      <c r="C297" t="s">
        <v>16</v>
      </c>
      <c r="D297">
        <v>1</v>
      </c>
      <c r="E297">
        <v>17</v>
      </c>
      <c r="F297" t="s">
        <v>287</v>
      </c>
      <c r="G297">
        <v>18</v>
      </c>
      <c r="H297" t="s">
        <v>18</v>
      </c>
      <c r="I297">
        <v>2</v>
      </c>
      <c r="J297">
        <v>26.9</v>
      </c>
      <c r="K297">
        <v>3</v>
      </c>
      <c r="L297">
        <v>3</v>
      </c>
      <c r="M297">
        <v>21</v>
      </c>
      <c r="N297" t="s">
        <v>98</v>
      </c>
    </row>
    <row r="298" spans="1:14" x14ac:dyDescent="0.35">
      <c r="A298" t="s">
        <v>496</v>
      </c>
      <c r="B298" t="s">
        <v>507</v>
      </c>
      <c r="C298" t="s">
        <v>29</v>
      </c>
      <c r="D298">
        <v>1</v>
      </c>
      <c r="E298">
        <v>17</v>
      </c>
      <c r="F298" t="s">
        <v>77</v>
      </c>
      <c r="G298">
        <v>18</v>
      </c>
      <c r="H298" t="s">
        <v>18</v>
      </c>
      <c r="I298">
        <v>27</v>
      </c>
      <c r="J298">
        <v>25.3</v>
      </c>
      <c r="K298">
        <v>4</v>
      </c>
      <c r="L298">
        <v>4</v>
      </c>
      <c r="M298">
        <v>22</v>
      </c>
      <c r="N298" t="s">
        <v>98</v>
      </c>
    </row>
    <row r="299" spans="1:14" x14ac:dyDescent="0.35">
      <c r="A299" t="s">
        <v>496</v>
      </c>
      <c r="B299" t="s">
        <v>77</v>
      </c>
      <c r="C299" t="s">
        <v>16</v>
      </c>
      <c r="D299">
        <v>0</v>
      </c>
      <c r="E299">
        <v>21</v>
      </c>
      <c r="F299" t="s">
        <v>282</v>
      </c>
      <c r="G299">
        <v>18</v>
      </c>
      <c r="H299" t="s">
        <v>18</v>
      </c>
      <c r="I299">
        <v>6</v>
      </c>
      <c r="J299">
        <v>27.4</v>
      </c>
      <c r="K299">
        <v>2</v>
      </c>
      <c r="L299">
        <v>3</v>
      </c>
      <c r="M299">
        <v>21</v>
      </c>
      <c r="N299" t="s">
        <v>418</v>
      </c>
    </row>
    <row r="300" spans="1:14" x14ac:dyDescent="0.35">
      <c r="A300" t="s">
        <v>496</v>
      </c>
      <c r="B300" t="s">
        <v>290</v>
      </c>
      <c r="C300" t="s">
        <v>16</v>
      </c>
      <c r="D300">
        <v>3</v>
      </c>
      <c r="E300">
        <v>19</v>
      </c>
      <c r="F300" t="s">
        <v>292</v>
      </c>
      <c r="G300">
        <v>18</v>
      </c>
      <c r="H300" t="s">
        <v>18</v>
      </c>
      <c r="I300">
        <v>3</v>
      </c>
      <c r="J300">
        <v>21.9</v>
      </c>
      <c r="K300">
        <v>1</v>
      </c>
      <c r="L300">
        <v>3</v>
      </c>
      <c r="M300">
        <v>21</v>
      </c>
      <c r="N300" t="s">
        <v>81</v>
      </c>
    </row>
    <row r="301" spans="1:14" x14ac:dyDescent="0.35">
      <c r="A301" t="s">
        <v>496</v>
      </c>
      <c r="B301" t="s">
        <v>419</v>
      </c>
      <c r="C301" t="s">
        <v>16</v>
      </c>
      <c r="D301">
        <v>4</v>
      </c>
      <c r="E301">
        <v>17</v>
      </c>
      <c r="F301" t="s">
        <v>87</v>
      </c>
      <c r="G301">
        <v>18</v>
      </c>
      <c r="H301" t="s">
        <v>18</v>
      </c>
      <c r="I301">
        <v>2</v>
      </c>
      <c r="J301">
        <v>27.5</v>
      </c>
      <c r="K301">
        <v>4</v>
      </c>
      <c r="L301">
        <v>3</v>
      </c>
      <c r="M301">
        <v>21</v>
      </c>
      <c r="N301" t="s">
        <v>101</v>
      </c>
    </row>
    <row r="302" spans="1:14" x14ac:dyDescent="0.35">
      <c r="A302" t="s">
        <v>496</v>
      </c>
      <c r="B302" t="s">
        <v>79</v>
      </c>
      <c r="C302" t="s">
        <v>29</v>
      </c>
      <c r="D302">
        <v>0</v>
      </c>
      <c r="E302">
        <v>19</v>
      </c>
      <c r="F302" t="s">
        <v>88</v>
      </c>
      <c r="G302">
        <v>18</v>
      </c>
      <c r="H302" t="s">
        <v>18</v>
      </c>
      <c r="I302">
        <v>14</v>
      </c>
      <c r="J302">
        <v>22.9</v>
      </c>
      <c r="K302">
        <v>2</v>
      </c>
      <c r="L302">
        <v>3</v>
      </c>
      <c r="M302">
        <v>21</v>
      </c>
      <c r="N302" t="s">
        <v>84</v>
      </c>
    </row>
    <row r="303" spans="1:14" x14ac:dyDescent="0.35">
      <c r="A303" t="s">
        <v>496</v>
      </c>
      <c r="B303" t="s">
        <v>293</v>
      </c>
      <c r="C303" t="s">
        <v>16</v>
      </c>
      <c r="D303">
        <v>3</v>
      </c>
      <c r="E303">
        <v>18</v>
      </c>
      <c r="F303" t="s">
        <v>285</v>
      </c>
      <c r="G303">
        <v>18</v>
      </c>
      <c r="H303" t="s">
        <v>18</v>
      </c>
      <c r="I303">
        <v>3</v>
      </c>
      <c r="J303">
        <v>31.4</v>
      </c>
      <c r="K303">
        <v>0</v>
      </c>
      <c r="L303">
        <v>0</v>
      </c>
      <c r="M303">
        <v>18</v>
      </c>
      <c r="N303" t="s">
        <v>95</v>
      </c>
    </row>
    <row r="304" spans="1:14" x14ac:dyDescent="0.35">
      <c r="A304" t="s">
        <v>496</v>
      </c>
      <c r="B304" t="s">
        <v>91</v>
      </c>
      <c r="C304" t="s">
        <v>16</v>
      </c>
      <c r="D304">
        <v>3</v>
      </c>
      <c r="E304">
        <v>17</v>
      </c>
      <c r="F304" t="s">
        <v>94</v>
      </c>
      <c r="G304">
        <v>18</v>
      </c>
      <c r="H304" t="s">
        <v>18</v>
      </c>
      <c r="I304">
        <v>3</v>
      </c>
      <c r="J304">
        <v>29.9</v>
      </c>
      <c r="K304">
        <v>3</v>
      </c>
      <c r="L304">
        <v>3</v>
      </c>
      <c r="M304">
        <v>21</v>
      </c>
      <c r="N304" t="s">
        <v>424</v>
      </c>
    </row>
    <row r="305" spans="1:14" x14ac:dyDescent="0.35">
      <c r="A305" t="s">
        <v>496</v>
      </c>
      <c r="B305" t="s">
        <v>96</v>
      </c>
      <c r="C305" t="s">
        <v>16</v>
      </c>
      <c r="D305">
        <v>2</v>
      </c>
      <c r="E305">
        <v>16</v>
      </c>
      <c r="F305" t="s">
        <v>301</v>
      </c>
      <c r="G305">
        <v>18</v>
      </c>
      <c r="H305" t="s">
        <v>18</v>
      </c>
      <c r="I305">
        <v>6</v>
      </c>
      <c r="J305">
        <v>32.200000000000003</v>
      </c>
      <c r="K305">
        <v>1</v>
      </c>
      <c r="L305">
        <v>2</v>
      </c>
      <c r="M305">
        <v>20</v>
      </c>
      <c r="N305" t="s">
        <v>423</v>
      </c>
    </row>
    <row r="306" spans="1:14" x14ac:dyDescent="0.35">
      <c r="A306" t="s">
        <v>496</v>
      </c>
      <c r="B306" t="s">
        <v>93</v>
      </c>
      <c r="C306" t="s">
        <v>29</v>
      </c>
      <c r="D306">
        <v>1</v>
      </c>
      <c r="E306">
        <v>17</v>
      </c>
      <c r="F306" t="s">
        <v>101</v>
      </c>
      <c r="G306">
        <v>18</v>
      </c>
      <c r="H306" t="s">
        <v>18</v>
      </c>
      <c r="I306">
        <v>24</v>
      </c>
      <c r="J306">
        <v>23.1</v>
      </c>
      <c r="K306">
        <v>1</v>
      </c>
      <c r="L306">
        <v>4</v>
      </c>
      <c r="M306">
        <v>22</v>
      </c>
      <c r="N306" t="s">
        <v>508</v>
      </c>
    </row>
    <row r="307" spans="1:14" x14ac:dyDescent="0.35">
      <c r="A307" t="s">
        <v>496</v>
      </c>
      <c r="B307" t="s">
        <v>509</v>
      </c>
      <c r="C307" t="s">
        <v>16</v>
      </c>
      <c r="D307">
        <v>0</v>
      </c>
      <c r="E307">
        <v>20</v>
      </c>
      <c r="F307" t="s">
        <v>294</v>
      </c>
      <c r="G307">
        <v>18</v>
      </c>
      <c r="H307" t="s">
        <v>18</v>
      </c>
      <c r="I307">
        <v>14</v>
      </c>
      <c r="J307">
        <v>26.4</v>
      </c>
      <c r="K307">
        <v>2</v>
      </c>
      <c r="L307">
        <v>5</v>
      </c>
      <c r="M307">
        <v>23</v>
      </c>
      <c r="N307" t="s">
        <v>510</v>
      </c>
    </row>
    <row r="308" spans="1:14" x14ac:dyDescent="0.35">
      <c r="A308" t="s">
        <v>496</v>
      </c>
      <c r="B308" t="s">
        <v>86</v>
      </c>
      <c r="C308" t="s">
        <v>16</v>
      </c>
      <c r="D308">
        <v>2</v>
      </c>
      <c r="E308">
        <v>17</v>
      </c>
      <c r="F308" t="s">
        <v>297</v>
      </c>
      <c r="G308">
        <v>18</v>
      </c>
      <c r="H308" t="s">
        <v>18</v>
      </c>
      <c r="I308">
        <v>8</v>
      </c>
      <c r="J308">
        <v>32.9</v>
      </c>
      <c r="K308">
        <v>3</v>
      </c>
      <c r="L308">
        <v>3</v>
      </c>
      <c r="M308">
        <v>21</v>
      </c>
      <c r="N308" t="s">
        <v>511</v>
      </c>
    </row>
    <row r="309" spans="1:14" x14ac:dyDescent="0.35">
      <c r="A309" t="s">
        <v>496</v>
      </c>
      <c r="B309" t="s">
        <v>512</v>
      </c>
      <c r="C309" t="s">
        <v>16</v>
      </c>
      <c r="D309">
        <v>1</v>
      </c>
      <c r="E309">
        <v>17</v>
      </c>
      <c r="F309" t="s">
        <v>513</v>
      </c>
      <c r="G309">
        <v>18</v>
      </c>
      <c r="H309" t="s">
        <v>18</v>
      </c>
      <c r="I309">
        <v>17</v>
      </c>
      <c r="J309">
        <v>30.2</v>
      </c>
      <c r="K309">
        <v>3</v>
      </c>
      <c r="L309">
        <v>3</v>
      </c>
      <c r="M309">
        <v>21</v>
      </c>
      <c r="N309" t="s">
        <v>305</v>
      </c>
    </row>
    <row r="310" spans="1:14" x14ac:dyDescent="0.35">
      <c r="A310" t="s">
        <v>496</v>
      </c>
      <c r="B310" t="s">
        <v>514</v>
      </c>
      <c r="C310" t="s">
        <v>16</v>
      </c>
      <c r="D310">
        <v>0</v>
      </c>
      <c r="E310">
        <v>18</v>
      </c>
      <c r="F310" t="s">
        <v>515</v>
      </c>
      <c r="G310">
        <v>18</v>
      </c>
      <c r="H310" t="s">
        <v>18</v>
      </c>
      <c r="I310">
        <v>16</v>
      </c>
      <c r="J310">
        <v>26.2</v>
      </c>
      <c r="K310">
        <v>1</v>
      </c>
      <c r="L310">
        <v>2</v>
      </c>
      <c r="M310">
        <v>20</v>
      </c>
      <c r="N310" t="s">
        <v>115</v>
      </c>
    </row>
    <row r="311" spans="1:14" x14ac:dyDescent="0.35">
      <c r="A311" t="s">
        <v>496</v>
      </c>
      <c r="B311" t="s">
        <v>516</v>
      </c>
      <c r="C311" t="s">
        <v>16</v>
      </c>
      <c r="D311">
        <v>0</v>
      </c>
      <c r="E311">
        <v>18</v>
      </c>
      <c r="F311" t="s">
        <v>117</v>
      </c>
      <c r="G311">
        <v>18</v>
      </c>
      <c r="H311" t="s">
        <v>18</v>
      </c>
      <c r="I311">
        <v>26</v>
      </c>
      <c r="J311">
        <v>28.7</v>
      </c>
      <c r="K311">
        <v>2</v>
      </c>
      <c r="L311">
        <v>0</v>
      </c>
      <c r="M311">
        <v>18</v>
      </c>
      <c r="N311" t="s">
        <v>313</v>
      </c>
    </row>
    <row r="312" spans="1:14" x14ac:dyDescent="0.35">
      <c r="A312" t="s">
        <v>496</v>
      </c>
      <c r="B312" t="s">
        <v>89</v>
      </c>
      <c r="C312" t="s">
        <v>29</v>
      </c>
      <c r="D312">
        <v>0</v>
      </c>
      <c r="E312">
        <v>18</v>
      </c>
      <c r="F312" t="s">
        <v>517</v>
      </c>
      <c r="G312">
        <v>18</v>
      </c>
      <c r="H312" t="s">
        <v>18</v>
      </c>
      <c r="I312">
        <v>95</v>
      </c>
      <c r="J312">
        <v>18.399999999999999</v>
      </c>
      <c r="K312">
        <v>3</v>
      </c>
      <c r="L312">
        <v>0</v>
      </c>
      <c r="M312">
        <v>18</v>
      </c>
      <c r="N312" t="s">
        <v>518</v>
      </c>
    </row>
    <row r="313" spans="1:14" x14ac:dyDescent="0.35">
      <c r="A313" t="s">
        <v>496</v>
      </c>
      <c r="B313" t="s">
        <v>519</v>
      </c>
      <c r="C313" t="s">
        <v>16</v>
      </c>
      <c r="D313">
        <v>0</v>
      </c>
      <c r="E313">
        <v>18</v>
      </c>
      <c r="F313" t="s">
        <v>520</v>
      </c>
      <c r="G313">
        <v>18</v>
      </c>
      <c r="H313" t="s">
        <v>18</v>
      </c>
      <c r="I313">
        <v>20</v>
      </c>
      <c r="J313">
        <v>26.6</v>
      </c>
      <c r="K313">
        <v>3</v>
      </c>
      <c r="L313">
        <v>1</v>
      </c>
      <c r="M313">
        <v>19</v>
      </c>
      <c r="N313" t="s">
        <v>317</v>
      </c>
    </row>
    <row r="314" spans="1:14" x14ac:dyDescent="0.35">
      <c r="A314" t="s">
        <v>496</v>
      </c>
      <c r="B314" t="s">
        <v>428</v>
      </c>
      <c r="C314" t="s">
        <v>16</v>
      </c>
      <c r="D314">
        <v>0</v>
      </c>
      <c r="E314">
        <v>18</v>
      </c>
      <c r="F314" t="s">
        <v>434</v>
      </c>
      <c r="G314">
        <v>18</v>
      </c>
      <c r="H314" t="s">
        <v>18</v>
      </c>
      <c r="I314">
        <v>22</v>
      </c>
      <c r="J314">
        <v>31.7</v>
      </c>
      <c r="K314">
        <v>1</v>
      </c>
      <c r="L314">
        <v>3</v>
      </c>
      <c r="M314">
        <v>21</v>
      </c>
      <c r="N314" t="s">
        <v>521</v>
      </c>
    </row>
    <row r="315" spans="1:14" x14ac:dyDescent="0.35">
      <c r="A315" t="s">
        <v>496</v>
      </c>
      <c r="B315" t="s">
        <v>121</v>
      </c>
      <c r="C315" t="s">
        <v>16</v>
      </c>
      <c r="D315">
        <v>0</v>
      </c>
      <c r="E315">
        <v>19</v>
      </c>
      <c r="F315" t="s">
        <v>124</v>
      </c>
      <c r="G315">
        <v>18</v>
      </c>
      <c r="H315" t="s">
        <v>18</v>
      </c>
      <c r="I315">
        <v>12</v>
      </c>
      <c r="J315">
        <v>24.7</v>
      </c>
      <c r="K315">
        <v>4</v>
      </c>
      <c r="L315">
        <v>4</v>
      </c>
      <c r="M315">
        <v>22</v>
      </c>
      <c r="N315" t="s">
        <v>522</v>
      </c>
    </row>
    <row r="316" spans="1:14" x14ac:dyDescent="0.35">
      <c r="A316" t="s">
        <v>496</v>
      </c>
      <c r="B316" t="s">
        <v>137</v>
      </c>
      <c r="C316" t="s">
        <v>16</v>
      </c>
      <c r="D316">
        <v>1</v>
      </c>
      <c r="E316">
        <v>19</v>
      </c>
      <c r="F316" t="s">
        <v>436</v>
      </c>
      <c r="G316">
        <v>18</v>
      </c>
      <c r="H316" t="s">
        <v>18</v>
      </c>
      <c r="I316">
        <v>4</v>
      </c>
      <c r="J316">
        <v>32.5</v>
      </c>
      <c r="K316">
        <v>2</v>
      </c>
      <c r="L316">
        <v>3</v>
      </c>
      <c r="M316">
        <v>21</v>
      </c>
      <c r="N316" t="s">
        <v>437</v>
      </c>
    </row>
    <row r="317" spans="1:14" x14ac:dyDescent="0.35">
      <c r="A317" t="s">
        <v>496</v>
      </c>
      <c r="B317" t="s">
        <v>523</v>
      </c>
      <c r="C317" t="s">
        <v>29</v>
      </c>
      <c r="D317">
        <v>0</v>
      </c>
      <c r="E317">
        <v>18</v>
      </c>
      <c r="F317" t="s">
        <v>320</v>
      </c>
      <c r="G317">
        <v>18</v>
      </c>
      <c r="H317" t="s">
        <v>18</v>
      </c>
      <c r="I317">
        <v>43</v>
      </c>
      <c r="J317">
        <v>22.2</v>
      </c>
      <c r="K317">
        <v>4</v>
      </c>
      <c r="L317">
        <v>4</v>
      </c>
      <c r="M317">
        <v>22</v>
      </c>
      <c r="N317" t="s">
        <v>524</v>
      </c>
    </row>
    <row r="318" spans="1:14" x14ac:dyDescent="0.35">
      <c r="A318" t="s">
        <v>496</v>
      </c>
      <c r="B318" t="s">
        <v>320</v>
      </c>
      <c r="C318" t="s">
        <v>16</v>
      </c>
      <c r="D318">
        <v>2</v>
      </c>
      <c r="E318">
        <v>17</v>
      </c>
      <c r="F318" t="s">
        <v>134</v>
      </c>
      <c r="G318">
        <v>18</v>
      </c>
      <c r="H318" t="s">
        <v>18</v>
      </c>
      <c r="I318">
        <v>4</v>
      </c>
      <c r="J318">
        <v>35</v>
      </c>
      <c r="K318">
        <v>3</v>
      </c>
      <c r="L318">
        <v>2</v>
      </c>
      <c r="M318">
        <v>20</v>
      </c>
      <c r="N318" t="s">
        <v>148</v>
      </c>
    </row>
    <row r="319" spans="1:14" x14ac:dyDescent="0.35">
      <c r="A319" t="s">
        <v>496</v>
      </c>
      <c r="B319" t="s">
        <v>322</v>
      </c>
      <c r="C319" t="s">
        <v>16</v>
      </c>
      <c r="D319">
        <v>1</v>
      </c>
      <c r="E319">
        <v>18</v>
      </c>
      <c r="F319" t="s">
        <v>525</v>
      </c>
      <c r="G319">
        <v>18</v>
      </c>
      <c r="H319" t="s">
        <v>18</v>
      </c>
      <c r="I319">
        <v>2</v>
      </c>
      <c r="J319">
        <v>25.7</v>
      </c>
      <c r="K319">
        <v>0</v>
      </c>
      <c r="L319">
        <v>0</v>
      </c>
      <c r="M319">
        <v>18</v>
      </c>
      <c r="N319" t="s">
        <v>133</v>
      </c>
    </row>
    <row r="320" spans="1:14" x14ac:dyDescent="0.35">
      <c r="A320" t="s">
        <v>496</v>
      </c>
      <c r="B320" t="s">
        <v>135</v>
      </c>
      <c r="C320" t="s">
        <v>16</v>
      </c>
      <c r="D320">
        <v>1</v>
      </c>
      <c r="E320">
        <v>19</v>
      </c>
      <c r="F320" t="s">
        <v>521</v>
      </c>
      <c r="G320">
        <v>18</v>
      </c>
      <c r="H320" t="s">
        <v>18</v>
      </c>
      <c r="I320">
        <v>4</v>
      </c>
      <c r="J320">
        <v>27.5</v>
      </c>
      <c r="K320">
        <v>0</v>
      </c>
      <c r="L320">
        <v>0</v>
      </c>
      <c r="M320">
        <v>18</v>
      </c>
      <c r="N320" t="s">
        <v>148</v>
      </c>
    </row>
    <row r="321" spans="1:14" x14ac:dyDescent="0.35">
      <c r="A321" t="s">
        <v>496</v>
      </c>
      <c r="B321" t="s">
        <v>439</v>
      </c>
      <c r="C321" t="s">
        <v>16</v>
      </c>
      <c r="D321">
        <v>2</v>
      </c>
      <c r="E321">
        <v>20</v>
      </c>
      <c r="F321" t="s">
        <v>144</v>
      </c>
      <c r="G321">
        <v>18</v>
      </c>
      <c r="H321" t="s">
        <v>18</v>
      </c>
      <c r="I321">
        <v>3</v>
      </c>
      <c r="J321">
        <v>26.7</v>
      </c>
      <c r="K321">
        <v>0</v>
      </c>
      <c r="L321">
        <v>0</v>
      </c>
      <c r="M321">
        <v>18</v>
      </c>
      <c r="N321" t="s">
        <v>326</v>
      </c>
    </row>
    <row r="322" spans="1:14" x14ac:dyDescent="0.35">
      <c r="A322" t="s">
        <v>496</v>
      </c>
      <c r="B322" t="s">
        <v>129</v>
      </c>
      <c r="C322" t="s">
        <v>29</v>
      </c>
      <c r="D322">
        <v>0</v>
      </c>
      <c r="E322">
        <v>20</v>
      </c>
      <c r="F322" t="s">
        <v>526</v>
      </c>
      <c r="G322">
        <v>18</v>
      </c>
      <c r="H322" t="s">
        <v>18</v>
      </c>
      <c r="I322">
        <v>16</v>
      </c>
      <c r="J322">
        <v>25.4</v>
      </c>
      <c r="K322">
        <v>1</v>
      </c>
      <c r="L322">
        <v>5</v>
      </c>
      <c r="M322">
        <v>23</v>
      </c>
      <c r="N322" t="s">
        <v>326</v>
      </c>
    </row>
    <row r="323" spans="1:14" x14ac:dyDescent="0.35">
      <c r="A323" t="s">
        <v>496</v>
      </c>
      <c r="B323" t="s">
        <v>526</v>
      </c>
      <c r="C323" t="s">
        <v>16</v>
      </c>
      <c r="D323">
        <v>4</v>
      </c>
      <c r="E323">
        <v>17</v>
      </c>
      <c r="F323" t="s">
        <v>155</v>
      </c>
      <c r="G323">
        <v>18</v>
      </c>
      <c r="H323" t="s">
        <v>18</v>
      </c>
      <c r="I323">
        <v>4</v>
      </c>
      <c r="J323">
        <v>32.799999999999997</v>
      </c>
      <c r="K323">
        <v>2</v>
      </c>
      <c r="L323">
        <v>4</v>
      </c>
      <c r="M323">
        <v>22</v>
      </c>
      <c r="N323" t="s">
        <v>443</v>
      </c>
    </row>
    <row r="324" spans="1:14" x14ac:dyDescent="0.35">
      <c r="A324" t="s">
        <v>496</v>
      </c>
      <c r="B324" t="s">
        <v>524</v>
      </c>
      <c r="C324" t="s">
        <v>16</v>
      </c>
      <c r="D324">
        <v>3</v>
      </c>
      <c r="E324">
        <v>15</v>
      </c>
      <c r="F324" t="s">
        <v>321</v>
      </c>
      <c r="G324">
        <v>18</v>
      </c>
      <c r="H324" t="s">
        <v>18</v>
      </c>
      <c r="I324">
        <v>7</v>
      </c>
      <c r="J324">
        <v>28.4</v>
      </c>
      <c r="K324">
        <v>1</v>
      </c>
      <c r="L324">
        <v>4</v>
      </c>
      <c r="M324">
        <v>22</v>
      </c>
      <c r="N324" t="s">
        <v>444</v>
      </c>
    </row>
    <row r="325" spans="1:14" x14ac:dyDescent="0.35">
      <c r="A325" t="s">
        <v>496</v>
      </c>
      <c r="B325" t="s">
        <v>130</v>
      </c>
      <c r="C325" t="s">
        <v>16</v>
      </c>
      <c r="D325">
        <v>0</v>
      </c>
      <c r="E325">
        <v>18</v>
      </c>
      <c r="F325" t="s">
        <v>325</v>
      </c>
      <c r="G325">
        <v>18</v>
      </c>
      <c r="H325" t="s">
        <v>18</v>
      </c>
      <c r="I325">
        <v>15</v>
      </c>
      <c r="J325">
        <v>24.3</v>
      </c>
      <c r="K325">
        <v>0</v>
      </c>
      <c r="L325">
        <v>0</v>
      </c>
      <c r="M325">
        <v>18</v>
      </c>
      <c r="N325" t="s">
        <v>333</v>
      </c>
    </row>
    <row r="326" spans="1:14" x14ac:dyDescent="0.35">
      <c r="A326" t="s">
        <v>496</v>
      </c>
      <c r="B326" t="s">
        <v>527</v>
      </c>
      <c r="C326" t="s">
        <v>16</v>
      </c>
      <c r="D326">
        <v>0</v>
      </c>
      <c r="E326">
        <v>18</v>
      </c>
      <c r="F326" t="s">
        <v>443</v>
      </c>
      <c r="G326">
        <v>18</v>
      </c>
      <c r="H326" t="s">
        <v>18</v>
      </c>
      <c r="I326">
        <v>7</v>
      </c>
      <c r="J326">
        <v>25.8</v>
      </c>
      <c r="K326">
        <v>1</v>
      </c>
      <c r="L326">
        <v>5</v>
      </c>
      <c r="M326">
        <v>23</v>
      </c>
      <c r="N326" t="s">
        <v>336</v>
      </c>
    </row>
    <row r="327" spans="1:14" x14ac:dyDescent="0.35">
      <c r="A327" t="s">
        <v>496</v>
      </c>
      <c r="B327" t="s">
        <v>522</v>
      </c>
      <c r="C327" t="s">
        <v>29</v>
      </c>
      <c r="D327">
        <v>2</v>
      </c>
      <c r="E327">
        <v>13</v>
      </c>
      <c r="F327" t="s">
        <v>156</v>
      </c>
      <c r="G327">
        <v>15</v>
      </c>
      <c r="H327" t="s">
        <v>157</v>
      </c>
      <c r="I327">
        <v>36</v>
      </c>
      <c r="J327">
        <v>24.1</v>
      </c>
      <c r="K327">
        <v>4</v>
      </c>
      <c r="L327">
        <v>4</v>
      </c>
      <c r="M327">
        <v>19</v>
      </c>
      <c r="N327" t="s">
        <v>336</v>
      </c>
    </row>
    <row r="328" spans="1:14" x14ac:dyDescent="0.35">
      <c r="A328" t="s">
        <v>496</v>
      </c>
      <c r="B328" t="s">
        <v>156</v>
      </c>
      <c r="C328" t="s">
        <v>16</v>
      </c>
      <c r="D328">
        <v>0</v>
      </c>
      <c r="E328">
        <v>19</v>
      </c>
      <c r="F328" t="s">
        <v>444</v>
      </c>
      <c r="G328">
        <v>18</v>
      </c>
      <c r="H328" t="s">
        <v>18</v>
      </c>
      <c r="I328">
        <v>3</v>
      </c>
      <c r="J328">
        <v>30</v>
      </c>
      <c r="K328">
        <v>3</v>
      </c>
      <c r="L328">
        <v>3</v>
      </c>
      <c r="M328">
        <v>21</v>
      </c>
      <c r="N328" t="s">
        <v>445</v>
      </c>
    </row>
    <row r="329" spans="1:14" x14ac:dyDescent="0.35">
      <c r="A329" t="s">
        <v>496</v>
      </c>
      <c r="B329" t="s">
        <v>441</v>
      </c>
      <c r="C329" t="s">
        <v>16</v>
      </c>
      <c r="D329">
        <v>1</v>
      </c>
      <c r="E329">
        <v>17</v>
      </c>
      <c r="F329" t="s">
        <v>329</v>
      </c>
      <c r="G329">
        <v>18</v>
      </c>
      <c r="H329" t="s">
        <v>18</v>
      </c>
      <c r="I329">
        <v>3</v>
      </c>
      <c r="J329">
        <v>32.9</v>
      </c>
      <c r="K329">
        <v>3</v>
      </c>
      <c r="L329">
        <v>5</v>
      </c>
      <c r="M329">
        <v>23</v>
      </c>
      <c r="N329" t="s">
        <v>164</v>
      </c>
    </row>
    <row r="330" spans="1:14" x14ac:dyDescent="0.35">
      <c r="A330" t="s">
        <v>496</v>
      </c>
      <c r="B330" t="s">
        <v>328</v>
      </c>
      <c r="C330" t="s">
        <v>29</v>
      </c>
      <c r="D330">
        <v>0</v>
      </c>
      <c r="E330">
        <v>18</v>
      </c>
      <c r="F330" t="s">
        <v>153</v>
      </c>
      <c r="G330">
        <v>18</v>
      </c>
      <c r="H330" t="s">
        <v>18</v>
      </c>
      <c r="I330">
        <v>10</v>
      </c>
      <c r="J330">
        <v>24.4</v>
      </c>
      <c r="K330">
        <v>3</v>
      </c>
      <c r="L330">
        <v>3</v>
      </c>
      <c r="M330">
        <v>21</v>
      </c>
      <c r="N330" t="s">
        <v>167</v>
      </c>
    </row>
    <row r="331" spans="1:14" x14ac:dyDescent="0.35">
      <c r="A331" t="s">
        <v>496</v>
      </c>
      <c r="B331" t="s">
        <v>331</v>
      </c>
      <c r="C331" t="s">
        <v>16</v>
      </c>
      <c r="D331">
        <v>0</v>
      </c>
      <c r="E331">
        <v>22</v>
      </c>
      <c r="F331" t="s">
        <v>332</v>
      </c>
      <c r="G331">
        <v>18</v>
      </c>
      <c r="H331" t="s">
        <v>18</v>
      </c>
      <c r="I331">
        <v>4</v>
      </c>
      <c r="J331">
        <v>25</v>
      </c>
      <c r="K331">
        <v>0</v>
      </c>
      <c r="L331">
        <v>0</v>
      </c>
      <c r="M331">
        <v>18</v>
      </c>
      <c r="N331" t="s">
        <v>183</v>
      </c>
    </row>
    <row r="332" spans="1:14" x14ac:dyDescent="0.35">
      <c r="A332" t="s">
        <v>496</v>
      </c>
      <c r="B332" t="s">
        <v>166</v>
      </c>
      <c r="C332" t="s">
        <v>16</v>
      </c>
      <c r="D332">
        <v>4</v>
      </c>
      <c r="E332">
        <v>15</v>
      </c>
      <c r="F332" t="s">
        <v>333</v>
      </c>
      <c r="G332">
        <v>18</v>
      </c>
      <c r="H332" t="s">
        <v>18</v>
      </c>
      <c r="I332">
        <v>2</v>
      </c>
      <c r="J332">
        <v>32.6</v>
      </c>
      <c r="K332">
        <v>2</v>
      </c>
      <c r="L332">
        <v>5</v>
      </c>
      <c r="M332">
        <v>23</v>
      </c>
      <c r="N332" t="s">
        <v>170</v>
      </c>
    </row>
    <row r="333" spans="1:14" x14ac:dyDescent="0.35">
      <c r="A333" t="s">
        <v>496</v>
      </c>
      <c r="B333" t="s">
        <v>335</v>
      </c>
      <c r="C333" t="s">
        <v>16</v>
      </c>
      <c r="D333">
        <v>1</v>
      </c>
      <c r="E333">
        <v>20</v>
      </c>
      <c r="F333" t="s">
        <v>528</v>
      </c>
      <c r="G333">
        <v>18</v>
      </c>
      <c r="H333" t="s">
        <v>18</v>
      </c>
      <c r="I333">
        <v>5</v>
      </c>
      <c r="J333">
        <v>28.4</v>
      </c>
      <c r="K333">
        <v>1</v>
      </c>
      <c r="L333">
        <v>3</v>
      </c>
      <c r="M333">
        <v>21</v>
      </c>
      <c r="N333" t="s">
        <v>189</v>
      </c>
    </row>
    <row r="334" spans="1:14" x14ac:dyDescent="0.35">
      <c r="A334" t="s">
        <v>496</v>
      </c>
      <c r="B334" t="s">
        <v>332</v>
      </c>
      <c r="C334" t="s">
        <v>29</v>
      </c>
      <c r="D334">
        <v>0</v>
      </c>
      <c r="E334">
        <v>19</v>
      </c>
      <c r="F334" t="s">
        <v>175</v>
      </c>
      <c r="G334">
        <v>18</v>
      </c>
      <c r="H334" t="s">
        <v>18</v>
      </c>
      <c r="I334">
        <v>11</v>
      </c>
      <c r="J334">
        <v>21.9</v>
      </c>
      <c r="K334">
        <v>1</v>
      </c>
      <c r="L334">
        <v>3</v>
      </c>
      <c r="M334">
        <v>21</v>
      </c>
      <c r="N334" t="s">
        <v>334</v>
      </c>
    </row>
    <row r="335" spans="1:14" x14ac:dyDescent="0.35">
      <c r="A335" t="s">
        <v>496</v>
      </c>
      <c r="B335" t="s">
        <v>158</v>
      </c>
      <c r="C335" t="s">
        <v>16</v>
      </c>
      <c r="D335">
        <v>3</v>
      </c>
      <c r="E335">
        <v>19</v>
      </c>
      <c r="F335" t="s">
        <v>173</v>
      </c>
      <c r="G335">
        <v>18</v>
      </c>
      <c r="H335" t="s">
        <v>18</v>
      </c>
      <c r="I335">
        <v>3</v>
      </c>
      <c r="J335">
        <v>27.8</v>
      </c>
      <c r="K335">
        <v>0</v>
      </c>
      <c r="L335">
        <v>0</v>
      </c>
      <c r="M335">
        <v>18</v>
      </c>
      <c r="N335" t="s">
        <v>177</v>
      </c>
    </row>
    <row r="336" spans="1:14" x14ac:dyDescent="0.35">
      <c r="A336" t="s">
        <v>496</v>
      </c>
      <c r="B336" t="s">
        <v>154</v>
      </c>
      <c r="C336" t="s">
        <v>16</v>
      </c>
      <c r="D336">
        <v>4</v>
      </c>
      <c r="E336">
        <v>19</v>
      </c>
      <c r="F336" t="s">
        <v>339</v>
      </c>
      <c r="G336">
        <v>18</v>
      </c>
      <c r="H336" t="s">
        <v>18</v>
      </c>
      <c r="I336">
        <v>3</v>
      </c>
      <c r="J336">
        <v>24</v>
      </c>
      <c r="K336">
        <v>2</v>
      </c>
      <c r="L336">
        <v>5</v>
      </c>
      <c r="M336">
        <v>23</v>
      </c>
      <c r="N336" t="s">
        <v>172</v>
      </c>
    </row>
    <row r="337" spans="1:14" x14ac:dyDescent="0.35">
      <c r="A337" t="s">
        <v>496</v>
      </c>
      <c r="B337" t="s">
        <v>529</v>
      </c>
      <c r="C337" t="s">
        <v>16</v>
      </c>
      <c r="D337">
        <v>5</v>
      </c>
      <c r="E337">
        <v>14</v>
      </c>
      <c r="F337" t="s">
        <v>167</v>
      </c>
      <c r="G337">
        <v>18</v>
      </c>
      <c r="H337" t="s">
        <v>18</v>
      </c>
      <c r="I337">
        <v>5</v>
      </c>
      <c r="J337">
        <v>31</v>
      </c>
      <c r="K337">
        <v>2</v>
      </c>
      <c r="L337">
        <v>1</v>
      </c>
      <c r="M337">
        <v>19</v>
      </c>
      <c r="N337" t="s">
        <v>345</v>
      </c>
    </row>
    <row r="338" spans="1:14" x14ac:dyDescent="0.35">
      <c r="A338" t="s">
        <v>496</v>
      </c>
      <c r="B338" t="s">
        <v>336</v>
      </c>
      <c r="C338" t="s">
        <v>29</v>
      </c>
      <c r="D338">
        <v>1</v>
      </c>
      <c r="E338">
        <v>11</v>
      </c>
      <c r="F338" t="s">
        <v>164</v>
      </c>
      <c r="G338">
        <v>12</v>
      </c>
      <c r="H338" t="s">
        <v>157</v>
      </c>
      <c r="I338">
        <v>15</v>
      </c>
      <c r="J338">
        <v>23.3</v>
      </c>
      <c r="K338">
        <v>1</v>
      </c>
      <c r="L338">
        <v>4</v>
      </c>
      <c r="M338">
        <v>16</v>
      </c>
      <c r="N338" t="s">
        <v>190</v>
      </c>
    </row>
    <row r="339" spans="1:14" x14ac:dyDescent="0.35">
      <c r="A339" t="s">
        <v>496</v>
      </c>
      <c r="B339" t="s">
        <v>179</v>
      </c>
      <c r="C339" t="s">
        <v>16</v>
      </c>
      <c r="D339">
        <v>1</v>
      </c>
      <c r="E339">
        <v>17</v>
      </c>
      <c r="F339" t="s">
        <v>189</v>
      </c>
      <c r="G339">
        <v>18</v>
      </c>
      <c r="H339" t="s">
        <v>18</v>
      </c>
      <c r="I339">
        <v>13</v>
      </c>
      <c r="J339">
        <v>30.3</v>
      </c>
      <c r="K339">
        <v>2</v>
      </c>
      <c r="L339">
        <v>4</v>
      </c>
      <c r="M339">
        <v>22</v>
      </c>
      <c r="N339" t="s">
        <v>342</v>
      </c>
    </row>
    <row r="340" spans="1:14" x14ac:dyDescent="0.35">
      <c r="A340" t="s">
        <v>496</v>
      </c>
      <c r="B340" t="s">
        <v>530</v>
      </c>
      <c r="C340" t="s">
        <v>29</v>
      </c>
      <c r="D340">
        <v>0</v>
      </c>
      <c r="E340">
        <v>4</v>
      </c>
      <c r="F340" t="s">
        <v>531</v>
      </c>
      <c r="G340">
        <v>4</v>
      </c>
      <c r="H340" t="s">
        <v>157</v>
      </c>
      <c r="I340">
        <v>15</v>
      </c>
      <c r="J340">
        <v>20</v>
      </c>
      <c r="K340">
        <v>2</v>
      </c>
      <c r="L340">
        <v>3</v>
      </c>
      <c r="M340">
        <v>7</v>
      </c>
      <c r="N340" t="s">
        <v>455</v>
      </c>
    </row>
    <row r="341" spans="1:14" x14ac:dyDescent="0.35">
      <c r="A341" t="s">
        <v>496</v>
      </c>
      <c r="B341" t="s">
        <v>337</v>
      </c>
      <c r="C341" t="s">
        <v>16</v>
      </c>
      <c r="D341">
        <v>0</v>
      </c>
      <c r="E341">
        <v>19</v>
      </c>
      <c r="F341" t="s">
        <v>187</v>
      </c>
      <c r="G341">
        <v>18</v>
      </c>
      <c r="H341" t="s">
        <v>18</v>
      </c>
      <c r="I341">
        <v>7</v>
      </c>
      <c r="J341">
        <v>26.9</v>
      </c>
      <c r="K341">
        <v>1</v>
      </c>
      <c r="L341">
        <v>4</v>
      </c>
      <c r="M341">
        <v>22</v>
      </c>
      <c r="N341" t="s">
        <v>532</v>
      </c>
    </row>
    <row r="342" spans="1:14" x14ac:dyDescent="0.35">
      <c r="A342" t="s">
        <v>496</v>
      </c>
      <c r="B342" t="s">
        <v>187</v>
      </c>
      <c r="C342" t="s">
        <v>29</v>
      </c>
      <c r="D342">
        <v>0</v>
      </c>
      <c r="E342">
        <v>4</v>
      </c>
      <c r="F342" t="s">
        <v>450</v>
      </c>
      <c r="G342">
        <v>4</v>
      </c>
      <c r="H342" t="s">
        <v>157</v>
      </c>
      <c r="I342">
        <v>15</v>
      </c>
      <c r="J342">
        <v>23.4</v>
      </c>
      <c r="K342">
        <v>1</v>
      </c>
      <c r="L342">
        <v>3</v>
      </c>
      <c r="M342">
        <v>7</v>
      </c>
      <c r="N342" t="s">
        <v>533</v>
      </c>
    </row>
    <row r="343" spans="1:14" x14ac:dyDescent="0.35">
      <c r="A343" t="s">
        <v>496</v>
      </c>
      <c r="B343" t="s">
        <v>534</v>
      </c>
      <c r="C343" t="s">
        <v>16</v>
      </c>
      <c r="D343">
        <v>1</v>
      </c>
      <c r="E343">
        <v>11</v>
      </c>
      <c r="F343" t="s">
        <v>341</v>
      </c>
      <c r="G343">
        <v>12</v>
      </c>
      <c r="H343" t="s">
        <v>157</v>
      </c>
      <c r="I343">
        <v>15</v>
      </c>
      <c r="J343">
        <v>27</v>
      </c>
      <c r="K343">
        <v>1</v>
      </c>
      <c r="L343">
        <v>0</v>
      </c>
      <c r="M343">
        <v>12</v>
      </c>
      <c r="N343" t="s">
        <v>456</v>
      </c>
    </row>
    <row r="344" spans="1:14" x14ac:dyDescent="0.35">
      <c r="A344" t="s">
        <v>496</v>
      </c>
      <c r="B344" t="s">
        <v>455</v>
      </c>
      <c r="C344" t="s">
        <v>16</v>
      </c>
      <c r="D344">
        <v>0</v>
      </c>
      <c r="E344">
        <v>8</v>
      </c>
      <c r="F344" t="s">
        <v>535</v>
      </c>
      <c r="G344">
        <v>8</v>
      </c>
      <c r="H344" t="s">
        <v>157</v>
      </c>
      <c r="I344">
        <v>15</v>
      </c>
      <c r="J344">
        <v>30</v>
      </c>
      <c r="K344">
        <v>2</v>
      </c>
      <c r="L344">
        <v>2</v>
      </c>
      <c r="M344">
        <v>10</v>
      </c>
      <c r="N344" t="s">
        <v>536</v>
      </c>
    </row>
    <row r="345" spans="1:14" x14ac:dyDescent="0.35">
      <c r="A345" t="s">
        <v>496</v>
      </c>
      <c r="B345" t="s">
        <v>192</v>
      </c>
      <c r="C345" t="s">
        <v>29</v>
      </c>
      <c r="D345">
        <v>0</v>
      </c>
      <c r="E345">
        <v>7</v>
      </c>
      <c r="F345" t="s">
        <v>537</v>
      </c>
      <c r="G345">
        <v>7</v>
      </c>
      <c r="H345" t="s">
        <v>157</v>
      </c>
      <c r="I345">
        <v>15</v>
      </c>
      <c r="J345">
        <v>22.1</v>
      </c>
      <c r="K345">
        <v>2</v>
      </c>
      <c r="L345">
        <v>1</v>
      </c>
      <c r="M345">
        <v>8</v>
      </c>
      <c r="N345" t="s">
        <v>538</v>
      </c>
    </row>
    <row r="346" spans="1:14" x14ac:dyDescent="0.35">
      <c r="A346" t="s">
        <v>496</v>
      </c>
      <c r="B346" t="s">
        <v>198</v>
      </c>
      <c r="C346" t="s">
        <v>16</v>
      </c>
      <c r="D346">
        <v>0</v>
      </c>
      <c r="E346">
        <v>15</v>
      </c>
      <c r="F346" t="s">
        <v>199</v>
      </c>
      <c r="G346">
        <v>15</v>
      </c>
      <c r="H346" t="s">
        <v>157</v>
      </c>
      <c r="I346">
        <v>15</v>
      </c>
      <c r="J346">
        <v>30.3</v>
      </c>
      <c r="K346">
        <v>3</v>
      </c>
      <c r="L346">
        <v>3</v>
      </c>
      <c r="M346">
        <v>18</v>
      </c>
      <c r="N346" t="s">
        <v>539</v>
      </c>
    </row>
    <row r="347" spans="1:14" x14ac:dyDescent="0.35">
      <c r="A347" t="s">
        <v>496</v>
      </c>
      <c r="B347" t="s">
        <v>540</v>
      </c>
      <c r="C347" t="s">
        <v>16</v>
      </c>
      <c r="D347">
        <v>0</v>
      </c>
      <c r="E347">
        <v>12</v>
      </c>
      <c r="F347" t="s">
        <v>462</v>
      </c>
      <c r="G347">
        <v>12</v>
      </c>
      <c r="H347" t="s">
        <v>157</v>
      </c>
      <c r="I347">
        <v>15</v>
      </c>
      <c r="J347">
        <v>27.9</v>
      </c>
      <c r="K347">
        <v>3</v>
      </c>
      <c r="L347">
        <v>2</v>
      </c>
      <c r="M347">
        <v>14</v>
      </c>
      <c r="N347" t="s">
        <v>365</v>
      </c>
    </row>
    <row r="348" spans="1:14" x14ac:dyDescent="0.35">
      <c r="A348" t="s">
        <v>496</v>
      </c>
      <c r="B348" t="s">
        <v>197</v>
      </c>
      <c r="C348" t="s">
        <v>16</v>
      </c>
      <c r="D348">
        <v>0</v>
      </c>
      <c r="E348">
        <v>12</v>
      </c>
      <c r="F348" t="s">
        <v>203</v>
      </c>
      <c r="G348">
        <v>12</v>
      </c>
      <c r="H348" t="s">
        <v>157</v>
      </c>
      <c r="I348">
        <v>15</v>
      </c>
      <c r="J348">
        <v>23.5</v>
      </c>
      <c r="K348">
        <v>1</v>
      </c>
      <c r="L348">
        <v>1</v>
      </c>
      <c r="M348">
        <v>13</v>
      </c>
      <c r="N348" t="s">
        <v>541</v>
      </c>
    </row>
    <row r="349" spans="1:14" x14ac:dyDescent="0.35">
      <c r="A349" t="s">
        <v>496</v>
      </c>
      <c r="B349" t="s">
        <v>542</v>
      </c>
      <c r="C349" t="s">
        <v>16</v>
      </c>
      <c r="D349">
        <v>0</v>
      </c>
      <c r="E349">
        <v>11</v>
      </c>
      <c r="F349" t="s">
        <v>543</v>
      </c>
      <c r="G349">
        <v>11</v>
      </c>
      <c r="H349" t="s">
        <v>157</v>
      </c>
      <c r="I349">
        <v>15</v>
      </c>
      <c r="J349">
        <v>28</v>
      </c>
      <c r="K349">
        <v>3</v>
      </c>
      <c r="L349">
        <v>1</v>
      </c>
      <c r="M349">
        <v>12</v>
      </c>
      <c r="N349" t="s">
        <v>544</v>
      </c>
    </row>
    <row r="350" spans="1:14" x14ac:dyDescent="0.35">
      <c r="A350" t="s">
        <v>496</v>
      </c>
      <c r="B350" t="s">
        <v>545</v>
      </c>
      <c r="C350" t="s">
        <v>16</v>
      </c>
      <c r="D350">
        <v>0</v>
      </c>
      <c r="E350">
        <v>9</v>
      </c>
      <c r="F350" t="s">
        <v>546</v>
      </c>
      <c r="G350">
        <v>9</v>
      </c>
      <c r="H350" t="s">
        <v>157</v>
      </c>
      <c r="I350">
        <v>15</v>
      </c>
      <c r="J350">
        <v>28.7</v>
      </c>
      <c r="K350">
        <v>3</v>
      </c>
      <c r="L350">
        <v>0</v>
      </c>
      <c r="M350">
        <v>9</v>
      </c>
      <c r="N350" t="s">
        <v>471</v>
      </c>
    </row>
    <row r="351" spans="1:14" x14ac:dyDescent="0.35">
      <c r="A351" t="s">
        <v>496</v>
      </c>
      <c r="B351" t="s">
        <v>547</v>
      </c>
      <c r="C351" t="s">
        <v>16</v>
      </c>
      <c r="D351">
        <v>0</v>
      </c>
      <c r="E351">
        <v>16</v>
      </c>
      <c r="F351" t="s">
        <v>548</v>
      </c>
      <c r="G351">
        <v>16</v>
      </c>
      <c r="H351" t="s">
        <v>157</v>
      </c>
      <c r="I351">
        <v>15</v>
      </c>
      <c r="J351">
        <v>28.4</v>
      </c>
      <c r="K351">
        <v>3</v>
      </c>
      <c r="L351">
        <v>1</v>
      </c>
      <c r="M351">
        <v>17</v>
      </c>
      <c r="N351" t="s">
        <v>473</v>
      </c>
    </row>
    <row r="352" spans="1:14" x14ac:dyDescent="0.35">
      <c r="A352" t="s">
        <v>496</v>
      </c>
      <c r="B352" t="s">
        <v>549</v>
      </c>
      <c r="C352" t="s">
        <v>16</v>
      </c>
      <c r="D352">
        <v>0</v>
      </c>
      <c r="E352">
        <v>12</v>
      </c>
      <c r="F352" t="s">
        <v>215</v>
      </c>
      <c r="G352">
        <v>12</v>
      </c>
      <c r="H352" t="s">
        <v>157</v>
      </c>
      <c r="I352">
        <v>15</v>
      </c>
      <c r="J352">
        <v>29.7</v>
      </c>
      <c r="K352">
        <v>2</v>
      </c>
      <c r="L352">
        <v>1</v>
      </c>
      <c r="M352">
        <v>13</v>
      </c>
      <c r="N352" t="s">
        <v>550</v>
      </c>
    </row>
    <row r="353" spans="1:14" x14ac:dyDescent="0.35">
      <c r="A353" t="s">
        <v>496</v>
      </c>
      <c r="B353" t="s">
        <v>551</v>
      </c>
      <c r="C353" t="s">
        <v>16</v>
      </c>
      <c r="D353">
        <v>0</v>
      </c>
      <c r="E353">
        <v>20</v>
      </c>
      <c r="F353" t="s">
        <v>473</v>
      </c>
      <c r="G353">
        <v>18</v>
      </c>
      <c r="H353" t="s">
        <v>18</v>
      </c>
      <c r="I353">
        <v>11</v>
      </c>
      <c r="J353">
        <v>32.299999999999997</v>
      </c>
      <c r="K353">
        <v>4</v>
      </c>
      <c r="L353">
        <v>3</v>
      </c>
      <c r="M353">
        <v>21</v>
      </c>
      <c r="N353" t="s">
        <v>552</v>
      </c>
    </row>
    <row r="354" spans="1:14" x14ac:dyDescent="0.35">
      <c r="A354" t="s">
        <v>496</v>
      </c>
      <c r="B354" t="s">
        <v>553</v>
      </c>
      <c r="C354" t="s">
        <v>16</v>
      </c>
      <c r="D354">
        <v>2</v>
      </c>
      <c r="E354">
        <v>16</v>
      </c>
      <c r="F354" t="s">
        <v>554</v>
      </c>
      <c r="G354">
        <v>18</v>
      </c>
      <c r="H354" t="s">
        <v>18</v>
      </c>
      <c r="I354">
        <v>14</v>
      </c>
      <c r="J354">
        <v>33.6</v>
      </c>
      <c r="K354">
        <v>2</v>
      </c>
      <c r="L354">
        <v>0</v>
      </c>
      <c r="M354">
        <v>18</v>
      </c>
      <c r="N354" t="s">
        <v>555</v>
      </c>
    </row>
    <row r="355" spans="1:14" x14ac:dyDescent="0.35">
      <c r="A355" t="s">
        <v>496</v>
      </c>
      <c r="B355" t="s">
        <v>550</v>
      </c>
      <c r="C355" t="s">
        <v>16</v>
      </c>
      <c r="D355">
        <v>0</v>
      </c>
      <c r="E355">
        <v>18</v>
      </c>
      <c r="F355" t="s">
        <v>552</v>
      </c>
      <c r="G355">
        <v>18</v>
      </c>
      <c r="H355" t="s">
        <v>18</v>
      </c>
      <c r="I355">
        <v>15</v>
      </c>
      <c r="J355">
        <v>30.2</v>
      </c>
      <c r="K355">
        <v>0</v>
      </c>
      <c r="L355">
        <v>0</v>
      </c>
      <c r="M355">
        <v>18</v>
      </c>
      <c r="N355" t="s">
        <v>556</v>
      </c>
    </row>
    <row r="356" spans="1:14" x14ac:dyDescent="0.35">
      <c r="A356" t="s">
        <v>496</v>
      </c>
      <c r="B356" t="s">
        <v>557</v>
      </c>
      <c r="C356" t="s">
        <v>16</v>
      </c>
      <c r="D356">
        <v>0</v>
      </c>
      <c r="E356">
        <v>12</v>
      </c>
      <c r="F356" t="s">
        <v>555</v>
      </c>
      <c r="G356">
        <v>12</v>
      </c>
      <c r="H356" t="s">
        <v>157</v>
      </c>
      <c r="I356">
        <v>15</v>
      </c>
      <c r="J356">
        <v>27.6</v>
      </c>
      <c r="K356">
        <v>1</v>
      </c>
      <c r="L356">
        <v>2</v>
      </c>
      <c r="M356">
        <v>14</v>
      </c>
      <c r="N356" t="s">
        <v>235</v>
      </c>
    </row>
    <row r="357" spans="1:14" x14ac:dyDescent="0.35">
      <c r="A357" t="s">
        <v>496</v>
      </c>
      <c r="B357" t="s">
        <v>558</v>
      </c>
      <c r="C357" t="s">
        <v>16</v>
      </c>
      <c r="D357">
        <v>0</v>
      </c>
      <c r="E357">
        <v>14</v>
      </c>
      <c r="F357" t="s">
        <v>559</v>
      </c>
      <c r="G357">
        <v>14</v>
      </c>
      <c r="H357" t="s">
        <v>157</v>
      </c>
      <c r="I357">
        <v>15</v>
      </c>
      <c r="J357">
        <v>32.299999999999997</v>
      </c>
      <c r="K357">
        <v>0</v>
      </c>
      <c r="L357">
        <v>0</v>
      </c>
      <c r="M357">
        <v>14</v>
      </c>
      <c r="N357" t="s">
        <v>560</v>
      </c>
    </row>
    <row r="358" spans="1:14" x14ac:dyDescent="0.35">
      <c r="A358" t="s">
        <v>496</v>
      </c>
      <c r="B358" t="s">
        <v>230</v>
      </c>
      <c r="C358" t="s">
        <v>16</v>
      </c>
      <c r="D358">
        <v>0</v>
      </c>
      <c r="E358">
        <v>8</v>
      </c>
      <c r="F358" t="s">
        <v>561</v>
      </c>
      <c r="G358">
        <v>8</v>
      </c>
      <c r="H358" t="s">
        <v>157</v>
      </c>
      <c r="I358">
        <v>15</v>
      </c>
      <c r="J358">
        <v>23.8</v>
      </c>
      <c r="K358">
        <v>0</v>
      </c>
      <c r="L358">
        <v>0</v>
      </c>
      <c r="M358">
        <v>8</v>
      </c>
      <c r="N358" t="s">
        <v>562</v>
      </c>
    </row>
    <row r="359" spans="1:14" x14ac:dyDescent="0.35">
      <c r="A359" t="s">
        <v>496</v>
      </c>
      <c r="B359" t="s">
        <v>563</v>
      </c>
      <c r="C359" t="s">
        <v>16</v>
      </c>
      <c r="D359">
        <v>0</v>
      </c>
      <c r="E359">
        <v>14</v>
      </c>
      <c r="F359" t="s">
        <v>560</v>
      </c>
      <c r="G359">
        <v>14</v>
      </c>
      <c r="H359" t="s">
        <v>157</v>
      </c>
      <c r="I359">
        <v>15</v>
      </c>
      <c r="J359">
        <v>28.5</v>
      </c>
      <c r="K359">
        <v>4</v>
      </c>
      <c r="L359">
        <v>3</v>
      </c>
      <c r="M359">
        <v>17</v>
      </c>
      <c r="N359" t="s">
        <v>564</v>
      </c>
    </row>
    <row r="360" spans="1:14" x14ac:dyDescent="0.35">
      <c r="A360" t="s">
        <v>496</v>
      </c>
      <c r="B360" t="s">
        <v>565</v>
      </c>
      <c r="C360" t="s">
        <v>16</v>
      </c>
      <c r="D360">
        <v>0</v>
      </c>
      <c r="E360">
        <v>10</v>
      </c>
      <c r="F360" t="s">
        <v>566</v>
      </c>
      <c r="G360">
        <v>10</v>
      </c>
      <c r="H360" t="s">
        <v>157</v>
      </c>
      <c r="I360">
        <v>15</v>
      </c>
      <c r="J360">
        <v>25.1</v>
      </c>
      <c r="K360">
        <v>1</v>
      </c>
      <c r="L360">
        <v>3</v>
      </c>
      <c r="M360">
        <v>13</v>
      </c>
      <c r="N360" t="s">
        <v>392</v>
      </c>
    </row>
    <row r="361" spans="1:14" x14ac:dyDescent="0.35">
      <c r="A361" t="s">
        <v>496</v>
      </c>
      <c r="B361" t="s">
        <v>567</v>
      </c>
      <c r="C361" t="s">
        <v>16</v>
      </c>
      <c r="D361">
        <v>0</v>
      </c>
      <c r="E361">
        <v>17</v>
      </c>
      <c r="F361" t="s">
        <v>242</v>
      </c>
      <c r="G361">
        <v>17</v>
      </c>
      <c r="H361" t="s">
        <v>157</v>
      </c>
      <c r="I361">
        <v>15</v>
      </c>
      <c r="J361">
        <v>31</v>
      </c>
      <c r="K361">
        <v>3</v>
      </c>
      <c r="L361">
        <v>0</v>
      </c>
      <c r="M361">
        <v>17</v>
      </c>
      <c r="N361" t="s">
        <v>568</v>
      </c>
    </row>
    <row r="362" spans="1:14" x14ac:dyDescent="0.35">
      <c r="A362" t="s">
        <v>496</v>
      </c>
      <c r="B362" t="s">
        <v>569</v>
      </c>
      <c r="C362" t="s">
        <v>16</v>
      </c>
      <c r="D362">
        <v>0</v>
      </c>
      <c r="E362">
        <v>15</v>
      </c>
      <c r="F362" t="s">
        <v>395</v>
      </c>
      <c r="G362">
        <v>15</v>
      </c>
      <c r="H362" t="s">
        <v>157</v>
      </c>
      <c r="I362">
        <v>15</v>
      </c>
      <c r="J362">
        <v>31.3</v>
      </c>
      <c r="K362">
        <v>4</v>
      </c>
      <c r="L362">
        <v>0</v>
      </c>
      <c r="M362">
        <v>15</v>
      </c>
      <c r="N362" t="s">
        <v>570</v>
      </c>
    </row>
    <row r="363" spans="1:14" x14ac:dyDescent="0.35">
      <c r="A363" t="s">
        <v>496</v>
      </c>
      <c r="B363" t="s">
        <v>571</v>
      </c>
      <c r="C363" t="s">
        <v>16</v>
      </c>
      <c r="D363">
        <v>0</v>
      </c>
      <c r="E363">
        <v>10</v>
      </c>
      <c r="F363" t="s">
        <v>572</v>
      </c>
      <c r="G363">
        <v>10</v>
      </c>
      <c r="H363" t="s">
        <v>157</v>
      </c>
      <c r="I363">
        <v>15</v>
      </c>
      <c r="J363">
        <v>30.2</v>
      </c>
      <c r="K363">
        <v>2</v>
      </c>
      <c r="L363">
        <v>0</v>
      </c>
      <c r="M363">
        <v>10</v>
      </c>
      <c r="N363" t="s">
        <v>573</v>
      </c>
    </row>
    <row r="364" spans="1:14" x14ac:dyDescent="0.35">
      <c r="A364" t="s">
        <v>574</v>
      </c>
      <c r="B364" t="s">
        <v>15</v>
      </c>
      <c r="C364" t="s">
        <v>16</v>
      </c>
      <c r="D364">
        <v>0</v>
      </c>
      <c r="E364">
        <v>20</v>
      </c>
      <c r="F364" t="s">
        <v>20</v>
      </c>
      <c r="G364">
        <v>18</v>
      </c>
      <c r="H364" t="s">
        <v>18</v>
      </c>
      <c r="I364">
        <v>4</v>
      </c>
      <c r="J364">
        <v>27.9</v>
      </c>
      <c r="K364">
        <v>1</v>
      </c>
      <c r="L364">
        <v>2</v>
      </c>
      <c r="M364">
        <v>20</v>
      </c>
      <c r="N364" t="s">
        <v>253</v>
      </c>
    </row>
    <row r="365" spans="1:14" x14ac:dyDescent="0.35">
      <c r="A365" t="s">
        <v>574</v>
      </c>
      <c r="B365" t="s">
        <v>254</v>
      </c>
      <c r="C365" t="s">
        <v>16</v>
      </c>
      <c r="D365">
        <v>2</v>
      </c>
      <c r="E365">
        <v>17</v>
      </c>
      <c r="F365" t="s">
        <v>575</v>
      </c>
      <c r="G365">
        <v>18</v>
      </c>
      <c r="H365" t="s">
        <v>18</v>
      </c>
      <c r="I365">
        <v>3</v>
      </c>
      <c r="J365">
        <v>24.8</v>
      </c>
      <c r="K365">
        <v>1</v>
      </c>
      <c r="L365">
        <v>2</v>
      </c>
      <c r="M365">
        <v>20</v>
      </c>
      <c r="N365" t="s">
        <v>19</v>
      </c>
    </row>
    <row r="366" spans="1:14" x14ac:dyDescent="0.35">
      <c r="A366" t="s">
        <v>574</v>
      </c>
      <c r="B366" t="s">
        <v>404</v>
      </c>
      <c r="C366" t="s">
        <v>16</v>
      </c>
      <c r="D366">
        <v>1</v>
      </c>
      <c r="E366">
        <v>21</v>
      </c>
      <c r="F366" t="s">
        <v>407</v>
      </c>
      <c r="G366">
        <v>18</v>
      </c>
      <c r="H366" t="s">
        <v>18</v>
      </c>
      <c r="I366">
        <v>3</v>
      </c>
      <c r="J366">
        <v>26.9</v>
      </c>
      <c r="K366">
        <v>3</v>
      </c>
      <c r="L366">
        <v>5</v>
      </c>
      <c r="M366">
        <v>23</v>
      </c>
      <c r="N366" t="s">
        <v>501</v>
      </c>
    </row>
    <row r="367" spans="1:14" x14ac:dyDescent="0.35">
      <c r="A367" t="s">
        <v>574</v>
      </c>
      <c r="B367" t="s">
        <v>256</v>
      </c>
      <c r="C367" t="s">
        <v>16</v>
      </c>
      <c r="D367">
        <v>4</v>
      </c>
      <c r="E367">
        <v>16</v>
      </c>
      <c r="F367" t="s">
        <v>263</v>
      </c>
      <c r="G367">
        <v>18</v>
      </c>
      <c r="H367" t="s">
        <v>18</v>
      </c>
      <c r="I367">
        <v>1</v>
      </c>
      <c r="J367">
        <v>25.4</v>
      </c>
      <c r="K367">
        <v>1</v>
      </c>
      <c r="L367">
        <v>4</v>
      </c>
      <c r="M367">
        <v>22</v>
      </c>
      <c r="N367" t="s">
        <v>264</v>
      </c>
    </row>
    <row r="368" spans="1:14" x14ac:dyDescent="0.35">
      <c r="A368" t="s">
        <v>574</v>
      </c>
      <c r="B368" t="s">
        <v>405</v>
      </c>
      <c r="C368" t="s">
        <v>29</v>
      </c>
      <c r="D368">
        <v>0</v>
      </c>
      <c r="E368">
        <v>18</v>
      </c>
      <c r="F368" t="s">
        <v>27</v>
      </c>
      <c r="G368">
        <v>18</v>
      </c>
      <c r="H368" t="s">
        <v>18</v>
      </c>
      <c r="I368">
        <v>15</v>
      </c>
      <c r="J368">
        <v>26.8</v>
      </c>
      <c r="K368">
        <v>2</v>
      </c>
      <c r="L368">
        <v>1</v>
      </c>
      <c r="M368">
        <v>19</v>
      </c>
      <c r="N368" t="s">
        <v>497</v>
      </c>
    </row>
    <row r="369" spans="1:14" x14ac:dyDescent="0.35">
      <c r="A369" t="s">
        <v>574</v>
      </c>
      <c r="B369" t="s">
        <v>258</v>
      </c>
      <c r="C369" t="s">
        <v>16</v>
      </c>
      <c r="D369">
        <v>2</v>
      </c>
      <c r="E369">
        <v>19</v>
      </c>
      <c r="F369" t="s">
        <v>260</v>
      </c>
      <c r="G369">
        <v>18</v>
      </c>
      <c r="H369" t="s">
        <v>18</v>
      </c>
      <c r="I369">
        <v>4</v>
      </c>
      <c r="J369">
        <v>29.7</v>
      </c>
      <c r="K369">
        <v>4</v>
      </c>
      <c r="L369">
        <v>2</v>
      </c>
      <c r="M369">
        <v>20</v>
      </c>
      <c r="N369" t="s">
        <v>44</v>
      </c>
    </row>
    <row r="370" spans="1:14" x14ac:dyDescent="0.35">
      <c r="A370" t="s">
        <v>574</v>
      </c>
      <c r="B370" t="s">
        <v>31</v>
      </c>
      <c r="C370" t="s">
        <v>16</v>
      </c>
      <c r="D370">
        <v>3</v>
      </c>
      <c r="E370">
        <v>19</v>
      </c>
      <c r="F370" t="s">
        <v>406</v>
      </c>
      <c r="G370">
        <v>18</v>
      </c>
      <c r="H370" t="s">
        <v>18</v>
      </c>
      <c r="I370">
        <v>3</v>
      </c>
      <c r="J370">
        <v>28.6</v>
      </c>
      <c r="K370">
        <v>0</v>
      </c>
      <c r="L370">
        <v>0</v>
      </c>
      <c r="M370">
        <v>18</v>
      </c>
      <c r="N370" t="s">
        <v>32</v>
      </c>
    </row>
    <row r="371" spans="1:14" x14ac:dyDescent="0.35">
      <c r="A371" t="s">
        <v>574</v>
      </c>
      <c r="B371" t="s">
        <v>261</v>
      </c>
      <c r="C371" t="s">
        <v>16</v>
      </c>
      <c r="D371">
        <v>4</v>
      </c>
      <c r="E371">
        <v>16</v>
      </c>
      <c r="F371" t="s">
        <v>36</v>
      </c>
      <c r="G371">
        <v>18</v>
      </c>
      <c r="H371" t="s">
        <v>18</v>
      </c>
      <c r="I371">
        <v>3</v>
      </c>
      <c r="J371">
        <v>30.2</v>
      </c>
      <c r="K371">
        <v>2</v>
      </c>
      <c r="L371">
        <v>2</v>
      </c>
      <c r="M371">
        <v>20</v>
      </c>
      <c r="N371" t="s">
        <v>45</v>
      </c>
    </row>
    <row r="372" spans="1:14" x14ac:dyDescent="0.35">
      <c r="A372" t="s">
        <v>574</v>
      </c>
      <c r="B372" t="s">
        <v>50</v>
      </c>
      <c r="C372" t="s">
        <v>16</v>
      </c>
      <c r="D372">
        <v>2</v>
      </c>
      <c r="E372">
        <v>16</v>
      </c>
      <c r="F372" t="s">
        <v>257</v>
      </c>
      <c r="G372">
        <v>18</v>
      </c>
      <c r="H372" t="s">
        <v>18</v>
      </c>
      <c r="I372">
        <v>7</v>
      </c>
      <c r="J372">
        <v>26</v>
      </c>
      <c r="K372">
        <v>0</v>
      </c>
      <c r="L372">
        <v>0</v>
      </c>
      <c r="M372">
        <v>18</v>
      </c>
      <c r="N372" t="s">
        <v>267</v>
      </c>
    </row>
    <row r="373" spans="1:14" x14ac:dyDescent="0.35">
      <c r="A373" t="s">
        <v>574</v>
      </c>
      <c r="B373" t="s">
        <v>260</v>
      </c>
      <c r="C373" t="s">
        <v>29</v>
      </c>
      <c r="D373">
        <v>0</v>
      </c>
      <c r="E373">
        <v>18</v>
      </c>
      <c r="F373" t="s">
        <v>259</v>
      </c>
      <c r="G373">
        <v>18</v>
      </c>
      <c r="H373" t="s">
        <v>18</v>
      </c>
      <c r="I373">
        <v>26</v>
      </c>
      <c r="J373">
        <v>24.2</v>
      </c>
      <c r="K373">
        <v>4</v>
      </c>
      <c r="L373">
        <v>3</v>
      </c>
      <c r="M373">
        <v>21</v>
      </c>
      <c r="N373" t="s">
        <v>53</v>
      </c>
    </row>
    <row r="374" spans="1:14" x14ac:dyDescent="0.35">
      <c r="A374" t="s">
        <v>574</v>
      </c>
      <c r="B374" t="s">
        <v>25</v>
      </c>
      <c r="C374" t="s">
        <v>16</v>
      </c>
      <c r="D374">
        <v>0</v>
      </c>
      <c r="E374">
        <v>20</v>
      </c>
      <c r="F374" t="s">
        <v>262</v>
      </c>
      <c r="G374">
        <v>18</v>
      </c>
      <c r="H374" t="s">
        <v>18</v>
      </c>
      <c r="I374">
        <v>13</v>
      </c>
      <c r="J374">
        <v>24.8</v>
      </c>
      <c r="K374">
        <v>2</v>
      </c>
      <c r="L374">
        <v>3</v>
      </c>
      <c r="M374">
        <v>21</v>
      </c>
      <c r="N374" t="s">
        <v>414</v>
      </c>
    </row>
    <row r="375" spans="1:14" x14ac:dyDescent="0.35">
      <c r="A375" t="s">
        <v>574</v>
      </c>
      <c r="B375" t="s">
        <v>32</v>
      </c>
      <c r="C375" t="s">
        <v>16</v>
      </c>
      <c r="D375">
        <v>2</v>
      </c>
      <c r="E375">
        <v>16</v>
      </c>
      <c r="F375" t="s">
        <v>409</v>
      </c>
      <c r="G375">
        <v>18</v>
      </c>
      <c r="H375" t="s">
        <v>18</v>
      </c>
      <c r="I375">
        <v>8</v>
      </c>
      <c r="J375">
        <v>30.3</v>
      </c>
      <c r="K375">
        <v>0</v>
      </c>
      <c r="L375">
        <v>0</v>
      </c>
      <c r="M375">
        <v>18</v>
      </c>
      <c r="N375" t="s">
        <v>279</v>
      </c>
    </row>
    <row r="376" spans="1:14" x14ac:dyDescent="0.35">
      <c r="A376" t="s">
        <v>574</v>
      </c>
      <c r="B376" t="s">
        <v>576</v>
      </c>
      <c r="C376" t="s">
        <v>16</v>
      </c>
      <c r="D376">
        <v>0</v>
      </c>
      <c r="E376">
        <v>21</v>
      </c>
      <c r="F376" t="s">
        <v>265</v>
      </c>
      <c r="G376">
        <v>18</v>
      </c>
      <c r="H376" t="s">
        <v>18</v>
      </c>
      <c r="I376">
        <v>5</v>
      </c>
      <c r="J376">
        <v>28.4</v>
      </c>
      <c r="K376">
        <v>0</v>
      </c>
      <c r="L376">
        <v>0</v>
      </c>
      <c r="M376">
        <v>18</v>
      </c>
      <c r="N376" t="s">
        <v>502</v>
      </c>
    </row>
    <row r="377" spans="1:14" x14ac:dyDescent="0.35">
      <c r="A377" t="s">
        <v>574</v>
      </c>
      <c r="B377" t="s">
        <v>37</v>
      </c>
      <c r="C377" t="s">
        <v>29</v>
      </c>
      <c r="D377">
        <v>0</v>
      </c>
      <c r="E377">
        <v>18</v>
      </c>
      <c r="F377" t="s">
        <v>272</v>
      </c>
      <c r="G377">
        <v>18</v>
      </c>
      <c r="H377" t="s">
        <v>18</v>
      </c>
      <c r="I377">
        <v>19</v>
      </c>
      <c r="J377">
        <v>24.5</v>
      </c>
      <c r="K377">
        <v>4</v>
      </c>
      <c r="L377">
        <v>2</v>
      </c>
      <c r="M377">
        <v>20</v>
      </c>
      <c r="N377" t="s">
        <v>410</v>
      </c>
    </row>
    <row r="378" spans="1:14" x14ac:dyDescent="0.35">
      <c r="A378" t="s">
        <v>574</v>
      </c>
      <c r="B378" t="s">
        <v>411</v>
      </c>
      <c r="C378" t="s">
        <v>16</v>
      </c>
      <c r="D378">
        <v>3</v>
      </c>
      <c r="E378">
        <v>19</v>
      </c>
      <c r="F378" t="s">
        <v>55</v>
      </c>
      <c r="G378">
        <v>18</v>
      </c>
      <c r="H378" t="s">
        <v>18</v>
      </c>
      <c r="I378">
        <v>4</v>
      </c>
      <c r="J378">
        <v>31.7</v>
      </c>
      <c r="K378">
        <v>4</v>
      </c>
      <c r="L378">
        <v>5</v>
      </c>
      <c r="M378">
        <v>23</v>
      </c>
      <c r="N378" t="s">
        <v>577</v>
      </c>
    </row>
    <row r="379" spans="1:14" x14ac:dyDescent="0.35">
      <c r="A379" t="s">
        <v>574</v>
      </c>
      <c r="B379" t="s">
        <v>273</v>
      </c>
      <c r="C379" t="s">
        <v>16</v>
      </c>
      <c r="D379">
        <v>4</v>
      </c>
      <c r="E379">
        <v>15</v>
      </c>
      <c r="F379" t="s">
        <v>414</v>
      </c>
      <c r="G379">
        <v>18</v>
      </c>
      <c r="H379" t="s">
        <v>18</v>
      </c>
      <c r="I379">
        <v>3</v>
      </c>
      <c r="J379">
        <v>31.2</v>
      </c>
      <c r="K379">
        <v>3</v>
      </c>
      <c r="L379">
        <v>6</v>
      </c>
      <c r="M379">
        <v>24</v>
      </c>
      <c r="N379" t="s">
        <v>72</v>
      </c>
    </row>
    <row r="380" spans="1:14" x14ac:dyDescent="0.35">
      <c r="A380" t="s">
        <v>574</v>
      </c>
      <c r="B380" t="s">
        <v>274</v>
      </c>
      <c r="C380" t="s">
        <v>16</v>
      </c>
      <c r="D380">
        <v>1</v>
      </c>
      <c r="E380">
        <v>23</v>
      </c>
      <c r="F380" t="s">
        <v>62</v>
      </c>
      <c r="G380">
        <v>18</v>
      </c>
      <c r="H380" t="s">
        <v>18</v>
      </c>
      <c r="I380">
        <v>4</v>
      </c>
      <c r="J380">
        <v>28.7</v>
      </c>
      <c r="K380">
        <v>3</v>
      </c>
      <c r="L380">
        <v>3</v>
      </c>
      <c r="M380">
        <v>21</v>
      </c>
      <c r="N380" t="s">
        <v>413</v>
      </c>
    </row>
    <row r="381" spans="1:14" x14ac:dyDescent="0.35">
      <c r="A381" t="s">
        <v>574</v>
      </c>
      <c r="B381" t="s">
        <v>55</v>
      </c>
      <c r="C381" t="s">
        <v>29</v>
      </c>
      <c r="D381">
        <v>0</v>
      </c>
      <c r="E381">
        <v>18</v>
      </c>
      <c r="F381" t="s">
        <v>277</v>
      </c>
      <c r="G381">
        <v>18</v>
      </c>
      <c r="H381" t="s">
        <v>18</v>
      </c>
      <c r="I381">
        <v>11</v>
      </c>
      <c r="J381">
        <v>22.1</v>
      </c>
      <c r="K381">
        <v>3</v>
      </c>
      <c r="L381">
        <v>4</v>
      </c>
      <c r="M381">
        <v>22</v>
      </c>
      <c r="N381" t="s">
        <v>281</v>
      </c>
    </row>
    <row r="382" spans="1:14" x14ac:dyDescent="0.35">
      <c r="A382" t="s">
        <v>574</v>
      </c>
      <c r="B382" t="s">
        <v>63</v>
      </c>
      <c r="C382" t="s">
        <v>16</v>
      </c>
      <c r="D382">
        <v>6</v>
      </c>
      <c r="E382">
        <v>13</v>
      </c>
      <c r="F382" t="s">
        <v>65</v>
      </c>
      <c r="G382">
        <v>18</v>
      </c>
      <c r="H382" t="s">
        <v>18</v>
      </c>
      <c r="I382">
        <v>5</v>
      </c>
      <c r="J382">
        <v>28.5</v>
      </c>
      <c r="K382">
        <v>0</v>
      </c>
      <c r="L382">
        <v>0</v>
      </c>
      <c r="M382">
        <v>18</v>
      </c>
      <c r="N382" t="s">
        <v>69</v>
      </c>
    </row>
    <row r="383" spans="1:14" x14ac:dyDescent="0.35">
      <c r="A383" t="s">
        <v>574</v>
      </c>
      <c r="B383" t="s">
        <v>68</v>
      </c>
      <c r="C383" t="s">
        <v>16</v>
      </c>
      <c r="D383">
        <v>1</v>
      </c>
      <c r="E383">
        <v>18</v>
      </c>
      <c r="F383" t="s">
        <v>58</v>
      </c>
      <c r="G383">
        <v>18</v>
      </c>
      <c r="H383" t="s">
        <v>18</v>
      </c>
      <c r="I383">
        <v>9</v>
      </c>
      <c r="J383">
        <v>29.2</v>
      </c>
      <c r="K383">
        <v>3</v>
      </c>
      <c r="L383">
        <v>4</v>
      </c>
      <c r="M383">
        <v>22</v>
      </c>
      <c r="N383" t="s">
        <v>287</v>
      </c>
    </row>
    <row r="384" spans="1:14" x14ac:dyDescent="0.35">
      <c r="A384" t="s">
        <v>574</v>
      </c>
      <c r="B384" t="s">
        <v>271</v>
      </c>
      <c r="C384" t="s">
        <v>16</v>
      </c>
      <c r="D384">
        <v>1</v>
      </c>
      <c r="E384">
        <v>19</v>
      </c>
      <c r="F384" t="s">
        <v>413</v>
      </c>
      <c r="G384">
        <v>18</v>
      </c>
      <c r="H384" t="s">
        <v>18</v>
      </c>
      <c r="I384">
        <v>11</v>
      </c>
      <c r="J384">
        <v>26.1</v>
      </c>
      <c r="K384">
        <v>2</v>
      </c>
      <c r="L384">
        <v>2</v>
      </c>
      <c r="M384">
        <v>20</v>
      </c>
      <c r="N384" t="s">
        <v>83</v>
      </c>
    </row>
    <row r="385" spans="1:14" x14ac:dyDescent="0.35">
      <c r="A385" t="s">
        <v>574</v>
      </c>
      <c r="B385" t="s">
        <v>51</v>
      </c>
      <c r="C385" t="s">
        <v>29</v>
      </c>
      <c r="D385">
        <v>0</v>
      </c>
      <c r="E385">
        <v>18</v>
      </c>
      <c r="F385" t="s">
        <v>578</v>
      </c>
      <c r="G385">
        <v>18</v>
      </c>
      <c r="H385" t="s">
        <v>18</v>
      </c>
      <c r="I385">
        <v>32</v>
      </c>
      <c r="J385">
        <v>23.9</v>
      </c>
      <c r="K385">
        <v>2</v>
      </c>
      <c r="L385">
        <v>4</v>
      </c>
      <c r="M385">
        <v>22</v>
      </c>
      <c r="N385" t="s">
        <v>73</v>
      </c>
    </row>
    <row r="386" spans="1:14" x14ac:dyDescent="0.35">
      <c r="A386" t="s">
        <v>574</v>
      </c>
      <c r="B386" t="s">
        <v>60</v>
      </c>
      <c r="C386" t="s">
        <v>16</v>
      </c>
      <c r="D386">
        <v>2</v>
      </c>
      <c r="E386">
        <v>17</v>
      </c>
      <c r="F386" t="s">
        <v>416</v>
      </c>
      <c r="G386">
        <v>18</v>
      </c>
      <c r="H386" t="s">
        <v>18</v>
      </c>
      <c r="I386">
        <v>7</v>
      </c>
      <c r="J386">
        <v>27.8</v>
      </c>
      <c r="K386">
        <v>2</v>
      </c>
      <c r="L386">
        <v>4</v>
      </c>
      <c r="M386">
        <v>22</v>
      </c>
      <c r="N386" t="s">
        <v>285</v>
      </c>
    </row>
    <row r="387" spans="1:14" x14ac:dyDescent="0.35">
      <c r="A387" t="s">
        <v>574</v>
      </c>
      <c r="B387" t="s">
        <v>284</v>
      </c>
      <c r="C387" t="s">
        <v>16</v>
      </c>
      <c r="D387">
        <v>1</v>
      </c>
      <c r="E387">
        <v>17</v>
      </c>
      <c r="F387" t="s">
        <v>71</v>
      </c>
      <c r="G387">
        <v>18</v>
      </c>
      <c r="H387" t="s">
        <v>18</v>
      </c>
      <c r="I387">
        <v>4</v>
      </c>
      <c r="J387">
        <v>19.7</v>
      </c>
      <c r="K387">
        <v>3</v>
      </c>
      <c r="L387">
        <v>3</v>
      </c>
      <c r="M387">
        <v>21</v>
      </c>
      <c r="N387" t="s">
        <v>293</v>
      </c>
    </row>
    <row r="388" spans="1:14" x14ac:dyDescent="0.35">
      <c r="A388" t="s">
        <v>574</v>
      </c>
      <c r="B388" t="s">
        <v>75</v>
      </c>
      <c r="C388" t="s">
        <v>16</v>
      </c>
      <c r="D388">
        <v>0</v>
      </c>
      <c r="E388">
        <v>23</v>
      </c>
      <c r="F388" t="s">
        <v>77</v>
      </c>
      <c r="G388">
        <v>18</v>
      </c>
      <c r="H388" t="s">
        <v>18</v>
      </c>
      <c r="I388">
        <v>4</v>
      </c>
      <c r="J388">
        <v>27</v>
      </c>
      <c r="K388">
        <v>1</v>
      </c>
      <c r="L388">
        <v>4</v>
      </c>
      <c r="M388">
        <v>22</v>
      </c>
      <c r="N388" t="s">
        <v>78</v>
      </c>
    </row>
    <row r="389" spans="1:14" x14ac:dyDescent="0.35">
      <c r="A389" t="s">
        <v>574</v>
      </c>
      <c r="B389" t="s">
        <v>79</v>
      </c>
      <c r="C389" t="s">
        <v>16</v>
      </c>
      <c r="D389">
        <v>5</v>
      </c>
      <c r="E389">
        <v>14</v>
      </c>
      <c r="F389" t="s">
        <v>80</v>
      </c>
      <c r="G389">
        <v>18</v>
      </c>
      <c r="H389" t="s">
        <v>18</v>
      </c>
      <c r="I389">
        <v>3</v>
      </c>
      <c r="J389">
        <v>27.4</v>
      </c>
      <c r="K389">
        <v>0</v>
      </c>
      <c r="L389">
        <v>0</v>
      </c>
      <c r="M389">
        <v>18</v>
      </c>
      <c r="N389" t="s">
        <v>81</v>
      </c>
    </row>
    <row r="390" spans="1:14" x14ac:dyDescent="0.35">
      <c r="A390" t="s">
        <v>574</v>
      </c>
      <c r="B390" t="s">
        <v>82</v>
      </c>
      <c r="C390" t="s">
        <v>16</v>
      </c>
      <c r="D390">
        <v>1</v>
      </c>
      <c r="E390">
        <v>17</v>
      </c>
      <c r="F390" t="s">
        <v>85</v>
      </c>
      <c r="G390">
        <v>18</v>
      </c>
      <c r="H390" t="s">
        <v>18</v>
      </c>
      <c r="I390">
        <v>4</v>
      </c>
      <c r="J390">
        <v>29.8</v>
      </c>
      <c r="K390">
        <v>2</v>
      </c>
      <c r="L390">
        <v>3</v>
      </c>
      <c r="M390">
        <v>21</v>
      </c>
      <c r="N390" t="s">
        <v>298</v>
      </c>
    </row>
    <row r="391" spans="1:14" x14ac:dyDescent="0.35">
      <c r="A391" t="s">
        <v>574</v>
      </c>
      <c r="B391" t="s">
        <v>286</v>
      </c>
      <c r="C391" t="s">
        <v>29</v>
      </c>
      <c r="D391">
        <v>0</v>
      </c>
      <c r="E391">
        <v>19</v>
      </c>
      <c r="F391" t="s">
        <v>419</v>
      </c>
      <c r="G391">
        <v>18</v>
      </c>
      <c r="H391" t="s">
        <v>18</v>
      </c>
      <c r="I391">
        <v>19</v>
      </c>
      <c r="J391">
        <v>26.5</v>
      </c>
      <c r="K391">
        <v>4</v>
      </c>
      <c r="L391">
        <v>3</v>
      </c>
      <c r="M391">
        <v>21</v>
      </c>
      <c r="N391" t="s">
        <v>84</v>
      </c>
    </row>
    <row r="392" spans="1:14" x14ac:dyDescent="0.35">
      <c r="A392" t="s">
        <v>574</v>
      </c>
      <c r="B392" t="s">
        <v>292</v>
      </c>
      <c r="C392" t="s">
        <v>16</v>
      </c>
      <c r="D392">
        <v>0</v>
      </c>
      <c r="E392">
        <v>20</v>
      </c>
      <c r="F392" t="s">
        <v>87</v>
      </c>
      <c r="G392">
        <v>18</v>
      </c>
      <c r="H392" t="s">
        <v>18</v>
      </c>
      <c r="I392">
        <v>3</v>
      </c>
      <c r="J392">
        <v>31.3</v>
      </c>
      <c r="K392">
        <v>1</v>
      </c>
      <c r="L392">
        <v>3</v>
      </c>
      <c r="M392">
        <v>21</v>
      </c>
      <c r="N392" t="s">
        <v>294</v>
      </c>
    </row>
    <row r="393" spans="1:14" x14ac:dyDescent="0.35">
      <c r="A393" t="s">
        <v>574</v>
      </c>
      <c r="B393" t="s">
        <v>293</v>
      </c>
      <c r="C393" t="s">
        <v>16</v>
      </c>
      <c r="D393">
        <v>2</v>
      </c>
      <c r="E393">
        <v>18</v>
      </c>
      <c r="F393" t="s">
        <v>285</v>
      </c>
      <c r="G393">
        <v>18</v>
      </c>
      <c r="H393" t="s">
        <v>18</v>
      </c>
      <c r="I393">
        <v>3</v>
      </c>
      <c r="J393">
        <v>30.1</v>
      </c>
      <c r="K393">
        <v>4</v>
      </c>
      <c r="L393">
        <v>3</v>
      </c>
      <c r="M393">
        <v>21</v>
      </c>
      <c r="N393" t="s">
        <v>579</v>
      </c>
    </row>
    <row r="394" spans="1:14" x14ac:dyDescent="0.35">
      <c r="A394" t="s">
        <v>574</v>
      </c>
      <c r="B394" t="s">
        <v>91</v>
      </c>
      <c r="C394" t="s">
        <v>16</v>
      </c>
      <c r="D394">
        <v>2</v>
      </c>
      <c r="E394">
        <v>16</v>
      </c>
      <c r="F394" t="s">
        <v>94</v>
      </c>
      <c r="G394">
        <v>18</v>
      </c>
      <c r="H394" t="s">
        <v>18</v>
      </c>
      <c r="I394">
        <v>3</v>
      </c>
      <c r="J394">
        <v>28.6</v>
      </c>
      <c r="K394">
        <v>3</v>
      </c>
      <c r="L394">
        <v>5</v>
      </c>
      <c r="M394">
        <v>23</v>
      </c>
      <c r="N394" t="s">
        <v>97</v>
      </c>
    </row>
    <row r="395" spans="1:14" x14ac:dyDescent="0.35">
      <c r="A395" t="s">
        <v>574</v>
      </c>
      <c r="B395" t="s">
        <v>96</v>
      </c>
      <c r="C395" t="s">
        <v>16</v>
      </c>
      <c r="D395">
        <v>0</v>
      </c>
      <c r="E395">
        <v>20</v>
      </c>
      <c r="F395" t="s">
        <v>580</v>
      </c>
      <c r="G395">
        <v>18</v>
      </c>
      <c r="H395" t="s">
        <v>18</v>
      </c>
      <c r="I395">
        <v>7</v>
      </c>
      <c r="J395">
        <v>31</v>
      </c>
      <c r="K395">
        <v>3</v>
      </c>
      <c r="L395">
        <v>5</v>
      </c>
      <c r="M395">
        <v>23</v>
      </c>
      <c r="N395" t="s">
        <v>423</v>
      </c>
    </row>
    <row r="396" spans="1:14" x14ac:dyDescent="0.35">
      <c r="A396" t="s">
        <v>574</v>
      </c>
      <c r="B396" t="s">
        <v>73</v>
      </c>
      <c r="C396" t="s">
        <v>29</v>
      </c>
      <c r="D396">
        <v>1</v>
      </c>
      <c r="E396">
        <v>17</v>
      </c>
      <c r="F396" t="s">
        <v>580</v>
      </c>
      <c r="G396">
        <v>18</v>
      </c>
      <c r="H396" t="s">
        <v>18</v>
      </c>
      <c r="I396">
        <v>17</v>
      </c>
      <c r="J396">
        <v>23</v>
      </c>
      <c r="K396">
        <v>4</v>
      </c>
      <c r="L396">
        <v>4</v>
      </c>
      <c r="M396">
        <v>22</v>
      </c>
      <c r="N396" t="s">
        <v>106</v>
      </c>
    </row>
    <row r="397" spans="1:14" x14ac:dyDescent="0.35">
      <c r="A397" t="s">
        <v>574</v>
      </c>
      <c r="B397" t="s">
        <v>509</v>
      </c>
      <c r="C397" t="s">
        <v>16</v>
      </c>
      <c r="D397">
        <v>2</v>
      </c>
      <c r="E397">
        <v>17</v>
      </c>
      <c r="F397" t="s">
        <v>298</v>
      </c>
      <c r="G397">
        <v>18</v>
      </c>
      <c r="H397" t="s">
        <v>18</v>
      </c>
      <c r="I397">
        <v>8</v>
      </c>
      <c r="J397">
        <v>30.5</v>
      </c>
      <c r="K397">
        <v>4</v>
      </c>
      <c r="L397">
        <v>2</v>
      </c>
      <c r="M397">
        <v>20</v>
      </c>
      <c r="N397" t="s">
        <v>315</v>
      </c>
    </row>
    <row r="398" spans="1:14" x14ac:dyDescent="0.35">
      <c r="A398" t="s">
        <v>574</v>
      </c>
      <c r="B398" t="s">
        <v>299</v>
      </c>
      <c r="C398" t="s">
        <v>16</v>
      </c>
      <c r="D398">
        <v>1</v>
      </c>
      <c r="E398">
        <v>17</v>
      </c>
      <c r="F398" t="s">
        <v>97</v>
      </c>
      <c r="G398">
        <v>18</v>
      </c>
      <c r="H398" t="s">
        <v>18</v>
      </c>
      <c r="I398">
        <v>10</v>
      </c>
      <c r="J398">
        <v>29.5</v>
      </c>
      <c r="K398">
        <v>2</v>
      </c>
      <c r="L398">
        <v>5</v>
      </c>
      <c r="M398">
        <v>23</v>
      </c>
      <c r="N398" t="s">
        <v>306</v>
      </c>
    </row>
    <row r="399" spans="1:14" x14ac:dyDescent="0.35">
      <c r="A399" t="s">
        <v>574</v>
      </c>
      <c r="B399" t="s">
        <v>424</v>
      </c>
      <c r="C399" t="s">
        <v>16</v>
      </c>
      <c r="D399">
        <v>0</v>
      </c>
      <c r="E399">
        <v>18</v>
      </c>
      <c r="F399" t="s">
        <v>425</v>
      </c>
      <c r="G399">
        <v>18</v>
      </c>
      <c r="H399" t="s">
        <v>18</v>
      </c>
      <c r="I399">
        <v>25</v>
      </c>
      <c r="J399">
        <v>30.9</v>
      </c>
      <c r="K399">
        <v>4</v>
      </c>
      <c r="L399">
        <v>1</v>
      </c>
      <c r="M399">
        <v>19</v>
      </c>
      <c r="N399" t="s">
        <v>426</v>
      </c>
    </row>
    <row r="400" spans="1:14" x14ac:dyDescent="0.35">
      <c r="A400" t="s">
        <v>574</v>
      </c>
      <c r="B400" t="s">
        <v>105</v>
      </c>
      <c r="C400" t="s">
        <v>16</v>
      </c>
      <c r="D400">
        <v>0</v>
      </c>
      <c r="E400">
        <v>18</v>
      </c>
      <c r="F400" t="s">
        <v>123</v>
      </c>
      <c r="G400">
        <v>18</v>
      </c>
      <c r="H400" t="s">
        <v>18</v>
      </c>
      <c r="I400">
        <v>18</v>
      </c>
      <c r="J400">
        <v>30.8</v>
      </c>
      <c r="K400">
        <v>1</v>
      </c>
      <c r="L400">
        <v>3</v>
      </c>
      <c r="M400">
        <v>21</v>
      </c>
      <c r="N400" t="s">
        <v>581</v>
      </c>
    </row>
    <row r="401" spans="1:14" x14ac:dyDescent="0.35">
      <c r="A401" t="s">
        <v>574</v>
      </c>
      <c r="B401" t="s">
        <v>289</v>
      </c>
      <c r="C401" t="s">
        <v>29</v>
      </c>
      <c r="D401">
        <v>0</v>
      </c>
      <c r="E401">
        <v>18</v>
      </c>
      <c r="F401" t="s">
        <v>582</v>
      </c>
      <c r="G401">
        <v>18</v>
      </c>
      <c r="H401" t="s">
        <v>18</v>
      </c>
      <c r="I401">
        <v>66</v>
      </c>
      <c r="J401">
        <v>20.6</v>
      </c>
      <c r="K401">
        <v>3</v>
      </c>
      <c r="L401">
        <v>3</v>
      </c>
      <c r="M401">
        <v>21</v>
      </c>
      <c r="N401" t="s">
        <v>583</v>
      </c>
    </row>
    <row r="402" spans="1:14" x14ac:dyDescent="0.35">
      <c r="A402" t="s">
        <v>574</v>
      </c>
      <c r="B402" t="s">
        <v>309</v>
      </c>
      <c r="C402" t="s">
        <v>16</v>
      </c>
      <c r="D402">
        <v>0</v>
      </c>
      <c r="E402">
        <v>18</v>
      </c>
      <c r="F402" t="s">
        <v>113</v>
      </c>
      <c r="G402">
        <v>18</v>
      </c>
      <c r="H402" t="s">
        <v>18</v>
      </c>
      <c r="I402">
        <v>23</v>
      </c>
      <c r="J402">
        <v>29</v>
      </c>
      <c r="K402">
        <v>3</v>
      </c>
      <c r="L402">
        <v>2</v>
      </c>
      <c r="M402">
        <v>20</v>
      </c>
      <c r="N402" t="s">
        <v>584</v>
      </c>
    </row>
    <row r="403" spans="1:14" x14ac:dyDescent="0.35">
      <c r="A403" t="s">
        <v>574</v>
      </c>
      <c r="B403" t="s">
        <v>581</v>
      </c>
      <c r="C403" t="s">
        <v>16</v>
      </c>
      <c r="D403">
        <v>0</v>
      </c>
      <c r="E403">
        <v>19</v>
      </c>
      <c r="F403" t="s">
        <v>120</v>
      </c>
      <c r="G403">
        <v>18</v>
      </c>
      <c r="H403" t="s">
        <v>18</v>
      </c>
      <c r="I403">
        <v>18</v>
      </c>
      <c r="J403">
        <v>29.4</v>
      </c>
      <c r="K403">
        <v>2</v>
      </c>
      <c r="L403">
        <v>3</v>
      </c>
      <c r="M403">
        <v>21</v>
      </c>
      <c r="N403" t="s">
        <v>585</v>
      </c>
    </row>
    <row r="404" spans="1:14" x14ac:dyDescent="0.35">
      <c r="A404" t="s">
        <v>574</v>
      </c>
      <c r="B404" t="s">
        <v>313</v>
      </c>
      <c r="C404" t="s">
        <v>16</v>
      </c>
      <c r="D404">
        <v>1</v>
      </c>
      <c r="E404">
        <v>18</v>
      </c>
      <c r="F404" t="s">
        <v>586</v>
      </c>
      <c r="G404">
        <v>18</v>
      </c>
      <c r="H404" t="s">
        <v>18</v>
      </c>
      <c r="I404">
        <v>16</v>
      </c>
      <c r="J404">
        <v>27.7</v>
      </c>
      <c r="K404">
        <v>0</v>
      </c>
      <c r="L404">
        <v>0</v>
      </c>
      <c r="M404">
        <v>18</v>
      </c>
      <c r="N404" t="s">
        <v>322</v>
      </c>
    </row>
    <row r="405" spans="1:14" x14ac:dyDescent="0.35">
      <c r="A405" t="s">
        <v>574</v>
      </c>
      <c r="B405" t="s">
        <v>587</v>
      </c>
      <c r="C405" t="s">
        <v>16</v>
      </c>
      <c r="D405">
        <v>1</v>
      </c>
      <c r="E405">
        <v>17</v>
      </c>
      <c r="F405" t="s">
        <v>124</v>
      </c>
      <c r="G405">
        <v>18</v>
      </c>
      <c r="H405" t="s">
        <v>18</v>
      </c>
      <c r="I405">
        <v>15</v>
      </c>
      <c r="J405">
        <v>27.1</v>
      </c>
      <c r="K405">
        <v>3</v>
      </c>
      <c r="L405">
        <v>2</v>
      </c>
      <c r="M405">
        <v>20</v>
      </c>
      <c r="N405" t="s">
        <v>155</v>
      </c>
    </row>
    <row r="406" spans="1:14" x14ac:dyDescent="0.35">
      <c r="A406" t="s">
        <v>574</v>
      </c>
      <c r="B406" t="s">
        <v>137</v>
      </c>
      <c r="C406" t="s">
        <v>16</v>
      </c>
      <c r="D406">
        <v>0</v>
      </c>
      <c r="E406">
        <v>20</v>
      </c>
      <c r="F406" t="s">
        <v>436</v>
      </c>
      <c r="G406">
        <v>18</v>
      </c>
      <c r="H406" t="s">
        <v>18</v>
      </c>
      <c r="I406">
        <v>4</v>
      </c>
      <c r="J406">
        <v>29.3</v>
      </c>
      <c r="K406">
        <v>2</v>
      </c>
      <c r="L406">
        <v>3</v>
      </c>
      <c r="M406">
        <v>21</v>
      </c>
      <c r="N406" t="s">
        <v>588</v>
      </c>
    </row>
    <row r="407" spans="1:14" x14ac:dyDescent="0.35">
      <c r="A407" t="s">
        <v>574</v>
      </c>
      <c r="B407" t="s">
        <v>305</v>
      </c>
      <c r="C407" t="s">
        <v>29</v>
      </c>
      <c r="D407">
        <v>0</v>
      </c>
      <c r="E407">
        <v>18</v>
      </c>
      <c r="F407" t="s">
        <v>320</v>
      </c>
      <c r="G407">
        <v>18</v>
      </c>
      <c r="H407" t="s">
        <v>18</v>
      </c>
      <c r="I407">
        <v>80</v>
      </c>
      <c r="J407">
        <v>18.600000000000001</v>
      </c>
      <c r="K407">
        <v>1</v>
      </c>
      <c r="L407">
        <v>4</v>
      </c>
      <c r="M407">
        <v>22</v>
      </c>
      <c r="N407" t="s">
        <v>522</v>
      </c>
    </row>
    <row r="408" spans="1:14" x14ac:dyDescent="0.35">
      <c r="A408" t="s">
        <v>574</v>
      </c>
      <c r="B408" t="s">
        <v>320</v>
      </c>
      <c r="C408" t="s">
        <v>16</v>
      </c>
      <c r="D408">
        <v>2</v>
      </c>
      <c r="E408">
        <v>20</v>
      </c>
      <c r="F408" t="s">
        <v>134</v>
      </c>
      <c r="G408">
        <v>18</v>
      </c>
      <c r="H408" t="s">
        <v>18</v>
      </c>
      <c r="I408">
        <v>4</v>
      </c>
      <c r="J408">
        <v>28.7</v>
      </c>
      <c r="K408">
        <v>3</v>
      </c>
      <c r="L408">
        <v>2</v>
      </c>
      <c r="M408">
        <v>20</v>
      </c>
      <c r="N408" t="s">
        <v>133</v>
      </c>
    </row>
    <row r="409" spans="1:14" x14ac:dyDescent="0.35">
      <c r="A409" t="s">
        <v>574</v>
      </c>
      <c r="B409" t="s">
        <v>322</v>
      </c>
      <c r="C409" t="s">
        <v>16</v>
      </c>
      <c r="D409">
        <v>4</v>
      </c>
      <c r="E409">
        <v>16</v>
      </c>
      <c r="F409" t="s">
        <v>525</v>
      </c>
      <c r="G409">
        <v>18</v>
      </c>
      <c r="H409" t="s">
        <v>18</v>
      </c>
      <c r="I409">
        <v>2</v>
      </c>
      <c r="J409">
        <v>30.5</v>
      </c>
      <c r="K409">
        <v>1</v>
      </c>
      <c r="L409">
        <v>5</v>
      </c>
      <c r="M409">
        <v>23</v>
      </c>
      <c r="N409" t="s">
        <v>136</v>
      </c>
    </row>
    <row r="410" spans="1:14" x14ac:dyDescent="0.35">
      <c r="A410" t="s">
        <v>574</v>
      </c>
      <c r="B410" t="s">
        <v>135</v>
      </c>
      <c r="C410" t="s">
        <v>16</v>
      </c>
      <c r="D410">
        <v>2</v>
      </c>
      <c r="E410">
        <v>21</v>
      </c>
      <c r="F410" t="s">
        <v>139</v>
      </c>
      <c r="G410">
        <v>18</v>
      </c>
      <c r="H410" t="s">
        <v>18</v>
      </c>
      <c r="I410">
        <v>2</v>
      </c>
      <c r="J410">
        <v>24.7</v>
      </c>
      <c r="K410">
        <v>1</v>
      </c>
      <c r="L410">
        <v>3</v>
      </c>
      <c r="M410">
        <v>21</v>
      </c>
      <c r="N410" t="s">
        <v>438</v>
      </c>
    </row>
    <row r="411" spans="1:14" x14ac:dyDescent="0.35">
      <c r="A411" t="s">
        <v>574</v>
      </c>
      <c r="B411" t="s">
        <v>141</v>
      </c>
      <c r="C411" t="s">
        <v>16</v>
      </c>
      <c r="D411">
        <v>5</v>
      </c>
      <c r="E411">
        <v>13</v>
      </c>
      <c r="F411" t="s">
        <v>439</v>
      </c>
      <c r="G411">
        <v>18</v>
      </c>
      <c r="H411" t="s">
        <v>18</v>
      </c>
      <c r="I411">
        <v>2</v>
      </c>
      <c r="J411">
        <v>30.7</v>
      </c>
      <c r="K411">
        <v>3</v>
      </c>
      <c r="L411">
        <v>3</v>
      </c>
      <c r="M411">
        <v>21</v>
      </c>
      <c r="N411" t="s">
        <v>440</v>
      </c>
    </row>
    <row r="412" spans="1:14" x14ac:dyDescent="0.35">
      <c r="A412" t="s">
        <v>574</v>
      </c>
      <c r="B412" t="s">
        <v>129</v>
      </c>
      <c r="C412" t="s">
        <v>29</v>
      </c>
      <c r="D412">
        <v>0</v>
      </c>
      <c r="E412">
        <v>18</v>
      </c>
      <c r="F412" t="s">
        <v>142</v>
      </c>
      <c r="G412">
        <v>18</v>
      </c>
      <c r="H412" t="s">
        <v>18</v>
      </c>
      <c r="I412">
        <v>14</v>
      </c>
      <c r="J412">
        <v>22.7</v>
      </c>
      <c r="K412">
        <v>4</v>
      </c>
      <c r="L412">
        <v>5</v>
      </c>
      <c r="M412">
        <v>23</v>
      </c>
      <c r="N412" t="s">
        <v>136</v>
      </c>
    </row>
    <row r="413" spans="1:14" x14ac:dyDescent="0.35">
      <c r="A413" t="s">
        <v>574</v>
      </c>
      <c r="B413" t="s">
        <v>122</v>
      </c>
      <c r="C413" t="s">
        <v>16</v>
      </c>
      <c r="D413">
        <v>0</v>
      </c>
      <c r="E413">
        <v>21</v>
      </c>
      <c r="F413" t="s">
        <v>526</v>
      </c>
      <c r="G413">
        <v>18</v>
      </c>
      <c r="H413" t="s">
        <v>18</v>
      </c>
      <c r="I413">
        <v>3</v>
      </c>
      <c r="J413">
        <v>28.4</v>
      </c>
      <c r="K413">
        <v>0</v>
      </c>
      <c r="L413">
        <v>0</v>
      </c>
      <c r="M413">
        <v>18</v>
      </c>
      <c r="N413" t="s">
        <v>325</v>
      </c>
    </row>
    <row r="414" spans="1:14" x14ac:dyDescent="0.35">
      <c r="A414" t="s">
        <v>574</v>
      </c>
      <c r="B414" t="s">
        <v>522</v>
      </c>
      <c r="C414" t="s">
        <v>16</v>
      </c>
      <c r="D414">
        <v>3</v>
      </c>
      <c r="E414">
        <v>17</v>
      </c>
      <c r="F414" t="s">
        <v>524</v>
      </c>
      <c r="G414">
        <v>18</v>
      </c>
      <c r="H414" t="s">
        <v>18</v>
      </c>
      <c r="I414">
        <v>4</v>
      </c>
      <c r="J414">
        <v>24.8</v>
      </c>
      <c r="K414">
        <v>2</v>
      </c>
      <c r="L414">
        <v>5</v>
      </c>
      <c r="M414">
        <v>23</v>
      </c>
      <c r="N414" t="s">
        <v>527</v>
      </c>
    </row>
    <row r="415" spans="1:14" x14ac:dyDescent="0.35">
      <c r="A415" t="s">
        <v>574</v>
      </c>
      <c r="B415" t="s">
        <v>319</v>
      </c>
      <c r="C415" t="s">
        <v>16</v>
      </c>
      <c r="D415">
        <v>2</v>
      </c>
      <c r="E415">
        <v>16</v>
      </c>
      <c r="F415" t="s">
        <v>130</v>
      </c>
      <c r="G415">
        <v>18</v>
      </c>
      <c r="H415" t="s">
        <v>18</v>
      </c>
      <c r="I415">
        <v>7</v>
      </c>
      <c r="J415">
        <v>27</v>
      </c>
      <c r="K415">
        <v>4</v>
      </c>
      <c r="L415">
        <v>3</v>
      </c>
      <c r="M415">
        <v>21</v>
      </c>
      <c r="N415" t="s">
        <v>444</v>
      </c>
    </row>
    <row r="416" spans="1:14" x14ac:dyDescent="0.35">
      <c r="A416" t="s">
        <v>574</v>
      </c>
      <c r="B416" t="s">
        <v>144</v>
      </c>
      <c r="C416" t="s">
        <v>29</v>
      </c>
      <c r="D416">
        <v>0</v>
      </c>
      <c r="E416">
        <v>19</v>
      </c>
      <c r="F416" t="s">
        <v>589</v>
      </c>
      <c r="G416">
        <v>18</v>
      </c>
      <c r="H416" t="s">
        <v>18</v>
      </c>
      <c r="I416">
        <v>17</v>
      </c>
      <c r="J416">
        <v>20.8</v>
      </c>
      <c r="K416">
        <v>1</v>
      </c>
      <c r="L416">
        <v>5</v>
      </c>
      <c r="M416">
        <v>23</v>
      </c>
      <c r="N416" t="s">
        <v>443</v>
      </c>
    </row>
    <row r="417" spans="1:14" x14ac:dyDescent="0.35">
      <c r="A417" t="s">
        <v>574</v>
      </c>
      <c r="B417" t="s">
        <v>133</v>
      </c>
      <c r="C417" t="s">
        <v>16</v>
      </c>
      <c r="D417">
        <v>0</v>
      </c>
      <c r="E417">
        <v>19</v>
      </c>
      <c r="F417" t="s">
        <v>326</v>
      </c>
      <c r="G417">
        <v>18</v>
      </c>
      <c r="H417" t="s">
        <v>18</v>
      </c>
      <c r="I417">
        <v>10</v>
      </c>
      <c r="J417">
        <v>27</v>
      </c>
      <c r="K417">
        <v>2</v>
      </c>
      <c r="L417">
        <v>2</v>
      </c>
      <c r="M417">
        <v>20</v>
      </c>
      <c r="N417" t="s">
        <v>333</v>
      </c>
    </row>
    <row r="418" spans="1:14" x14ac:dyDescent="0.35">
      <c r="A418" t="s">
        <v>574</v>
      </c>
      <c r="B418" t="s">
        <v>440</v>
      </c>
      <c r="C418" t="s">
        <v>16</v>
      </c>
      <c r="D418">
        <v>1</v>
      </c>
      <c r="E418">
        <v>18</v>
      </c>
      <c r="F418" t="s">
        <v>156</v>
      </c>
      <c r="G418">
        <v>18</v>
      </c>
      <c r="H418" t="s">
        <v>18</v>
      </c>
      <c r="I418">
        <v>11</v>
      </c>
      <c r="J418">
        <v>27.7</v>
      </c>
      <c r="K418">
        <v>3</v>
      </c>
      <c r="L418">
        <v>3</v>
      </c>
      <c r="M418">
        <v>21</v>
      </c>
      <c r="N418" t="s">
        <v>176</v>
      </c>
    </row>
    <row r="419" spans="1:14" x14ac:dyDescent="0.35">
      <c r="A419" t="s">
        <v>574</v>
      </c>
      <c r="B419" t="s">
        <v>438</v>
      </c>
      <c r="C419" t="s">
        <v>29</v>
      </c>
      <c r="D419">
        <v>1</v>
      </c>
      <c r="E419">
        <v>7</v>
      </c>
      <c r="F419" t="s">
        <v>156</v>
      </c>
      <c r="G419">
        <v>8</v>
      </c>
      <c r="H419" t="s">
        <v>157</v>
      </c>
      <c r="I419">
        <v>20</v>
      </c>
      <c r="J419">
        <v>22.4</v>
      </c>
      <c r="K419">
        <v>1</v>
      </c>
      <c r="L419">
        <v>6</v>
      </c>
      <c r="M419">
        <v>14</v>
      </c>
      <c r="N419" t="s">
        <v>158</v>
      </c>
    </row>
    <row r="420" spans="1:14" x14ac:dyDescent="0.35">
      <c r="A420" t="s">
        <v>574</v>
      </c>
      <c r="B420" t="s">
        <v>328</v>
      </c>
      <c r="C420" t="s">
        <v>16</v>
      </c>
      <c r="D420">
        <v>1</v>
      </c>
      <c r="E420">
        <v>18</v>
      </c>
      <c r="F420" t="s">
        <v>160</v>
      </c>
      <c r="G420">
        <v>18</v>
      </c>
      <c r="H420" t="s">
        <v>18</v>
      </c>
      <c r="I420">
        <v>4</v>
      </c>
      <c r="J420">
        <v>25</v>
      </c>
      <c r="K420">
        <v>0</v>
      </c>
      <c r="L420">
        <v>0</v>
      </c>
      <c r="M420">
        <v>18</v>
      </c>
      <c r="N420" t="s">
        <v>529</v>
      </c>
    </row>
    <row r="421" spans="1:14" x14ac:dyDescent="0.35">
      <c r="A421" t="s">
        <v>574</v>
      </c>
      <c r="B421" t="s">
        <v>162</v>
      </c>
      <c r="C421" t="s">
        <v>16</v>
      </c>
      <c r="D421">
        <v>1</v>
      </c>
      <c r="E421">
        <v>19</v>
      </c>
      <c r="F421" t="s">
        <v>165</v>
      </c>
      <c r="G421">
        <v>18</v>
      </c>
      <c r="H421" t="s">
        <v>18</v>
      </c>
      <c r="I421">
        <v>4</v>
      </c>
      <c r="J421">
        <v>24</v>
      </c>
      <c r="K421">
        <v>3</v>
      </c>
      <c r="L421">
        <v>2</v>
      </c>
      <c r="M421">
        <v>20</v>
      </c>
      <c r="N421" t="s">
        <v>330</v>
      </c>
    </row>
    <row r="422" spans="1:14" x14ac:dyDescent="0.35">
      <c r="A422" t="s">
        <v>574</v>
      </c>
      <c r="B422" t="s">
        <v>153</v>
      </c>
      <c r="C422" t="s">
        <v>16</v>
      </c>
      <c r="D422">
        <v>2</v>
      </c>
      <c r="E422">
        <v>20</v>
      </c>
      <c r="F422" t="s">
        <v>168</v>
      </c>
      <c r="G422">
        <v>18</v>
      </c>
      <c r="H422" t="s">
        <v>18</v>
      </c>
      <c r="I422">
        <v>3</v>
      </c>
      <c r="J422">
        <v>25.3</v>
      </c>
      <c r="K422">
        <v>3</v>
      </c>
      <c r="L422">
        <v>2</v>
      </c>
      <c r="M422">
        <v>20</v>
      </c>
      <c r="N422" t="s">
        <v>164</v>
      </c>
    </row>
    <row r="423" spans="1:14" x14ac:dyDescent="0.35">
      <c r="A423" t="s">
        <v>574</v>
      </c>
      <c r="B423" t="s">
        <v>150</v>
      </c>
      <c r="C423" t="s">
        <v>29</v>
      </c>
      <c r="D423">
        <v>0</v>
      </c>
      <c r="E423">
        <v>18</v>
      </c>
      <c r="F423" t="s">
        <v>333</v>
      </c>
      <c r="G423">
        <v>18</v>
      </c>
      <c r="H423" t="s">
        <v>18</v>
      </c>
      <c r="I423">
        <v>13</v>
      </c>
      <c r="J423">
        <v>20</v>
      </c>
      <c r="K423">
        <v>4</v>
      </c>
      <c r="L423">
        <v>3</v>
      </c>
      <c r="M423">
        <v>21</v>
      </c>
      <c r="N423" t="s">
        <v>167</v>
      </c>
    </row>
    <row r="424" spans="1:14" x14ac:dyDescent="0.35">
      <c r="A424" t="s">
        <v>574</v>
      </c>
      <c r="B424" t="s">
        <v>333</v>
      </c>
      <c r="C424" t="s">
        <v>16</v>
      </c>
      <c r="D424">
        <v>4</v>
      </c>
      <c r="E424">
        <v>23</v>
      </c>
      <c r="F424" t="s">
        <v>448</v>
      </c>
      <c r="G424">
        <v>18</v>
      </c>
      <c r="H424" t="s">
        <v>18</v>
      </c>
      <c r="I424">
        <v>2</v>
      </c>
      <c r="J424">
        <v>31.3</v>
      </c>
      <c r="K424">
        <v>0</v>
      </c>
      <c r="L424">
        <v>0</v>
      </c>
      <c r="M424">
        <v>18</v>
      </c>
      <c r="N424" t="s">
        <v>451</v>
      </c>
    </row>
    <row r="425" spans="1:14" x14ac:dyDescent="0.35">
      <c r="A425" t="s">
        <v>574</v>
      </c>
      <c r="B425" t="s">
        <v>590</v>
      </c>
      <c r="C425" t="s">
        <v>16</v>
      </c>
      <c r="D425">
        <v>9</v>
      </c>
      <c r="E425">
        <v>9</v>
      </c>
      <c r="F425" t="s">
        <v>171</v>
      </c>
      <c r="G425">
        <v>18</v>
      </c>
      <c r="H425" t="s">
        <v>18</v>
      </c>
      <c r="I425">
        <v>2</v>
      </c>
      <c r="J425">
        <v>26.5</v>
      </c>
      <c r="K425">
        <v>2</v>
      </c>
      <c r="L425">
        <v>2</v>
      </c>
      <c r="M425">
        <v>20</v>
      </c>
      <c r="N425" t="s">
        <v>184</v>
      </c>
    </row>
    <row r="426" spans="1:14" x14ac:dyDescent="0.35">
      <c r="A426" t="s">
        <v>574</v>
      </c>
      <c r="B426" t="s">
        <v>528</v>
      </c>
      <c r="C426" t="s">
        <v>16</v>
      </c>
      <c r="D426">
        <v>0</v>
      </c>
      <c r="E426">
        <v>18</v>
      </c>
      <c r="F426" t="s">
        <v>173</v>
      </c>
      <c r="G426">
        <v>18</v>
      </c>
      <c r="H426" t="s">
        <v>18</v>
      </c>
      <c r="I426">
        <v>4</v>
      </c>
      <c r="J426">
        <v>24.3</v>
      </c>
      <c r="K426">
        <v>3</v>
      </c>
      <c r="L426">
        <v>4</v>
      </c>
      <c r="M426">
        <v>22</v>
      </c>
      <c r="N426" t="s">
        <v>189</v>
      </c>
    </row>
    <row r="427" spans="1:14" x14ac:dyDescent="0.35">
      <c r="A427" t="s">
        <v>574</v>
      </c>
      <c r="B427" t="s">
        <v>448</v>
      </c>
      <c r="C427" t="s">
        <v>29</v>
      </c>
      <c r="D427">
        <v>0</v>
      </c>
      <c r="E427">
        <v>19</v>
      </c>
      <c r="F427" t="s">
        <v>339</v>
      </c>
      <c r="G427">
        <v>18</v>
      </c>
      <c r="H427" t="s">
        <v>18</v>
      </c>
      <c r="I427">
        <v>12</v>
      </c>
      <c r="J427">
        <v>25</v>
      </c>
      <c r="K427">
        <v>0</v>
      </c>
      <c r="L427">
        <v>0</v>
      </c>
      <c r="M427">
        <v>18</v>
      </c>
      <c r="N427" t="s">
        <v>338</v>
      </c>
    </row>
    <row r="428" spans="1:14" x14ac:dyDescent="0.35">
      <c r="A428" t="s">
        <v>574</v>
      </c>
      <c r="B428" t="s">
        <v>154</v>
      </c>
      <c r="C428" t="s">
        <v>16</v>
      </c>
      <c r="D428">
        <v>0</v>
      </c>
      <c r="E428">
        <v>18</v>
      </c>
      <c r="F428" t="s">
        <v>449</v>
      </c>
      <c r="G428">
        <v>18</v>
      </c>
      <c r="H428" t="s">
        <v>18</v>
      </c>
      <c r="I428">
        <v>6</v>
      </c>
      <c r="J428">
        <v>27.4</v>
      </c>
      <c r="K428">
        <v>2</v>
      </c>
      <c r="L428">
        <v>3</v>
      </c>
      <c r="M428">
        <v>21</v>
      </c>
      <c r="N428" t="s">
        <v>447</v>
      </c>
    </row>
    <row r="429" spans="1:14" x14ac:dyDescent="0.35">
      <c r="A429" t="s">
        <v>574</v>
      </c>
      <c r="B429" t="s">
        <v>445</v>
      </c>
      <c r="C429" t="s">
        <v>16</v>
      </c>
      <c r="D429">
        <v>0</v>
      </c>
      <c r="E429">
        <v>18</v>
      </c>
      <c r="F429" t="s">
        <v>186</v>
      </c>
      <c r="G429">
        <v>18</v>
      </c>
      <c r="H429" t="s">
        <v>18</v>
      </c>
      <c r="I429">
        <v>9</v>
      </c>
      <c r="J429">
        <v>31</v>
      </c>
      <c r="K429">
        <v>1</v>
      </c>
      <c r="L429">
        <v>4</v>
      </c>
      <c r="M429">
        <v>22</v>
      </c>
      <c r="N429" t="s">
        <v>341</v>
      </c>
    </row>
    <row r="430" spans="1:14" x14ac:dyDescent="0.35">
      <c r="A430" t="s">
        <v>574</v>
      </c>
      <c r="B430" t="s">
        <v>529</v>
      </c>
      <c r="C430" t="s">
        <v>29</v>
      </c>
      <c r="D430">
        <v>1</v>
      </c>
      <c r="E430">
        <v>6</v>
      </c>
      <c r="F430" t="s">
        <v>343</v>
      </c>
      <c r="G430">
        <v>7</v>
      </c>
      <c r="H430" t="s">
        <v>157</v>
      </c>
      <c r="I430">
        <v>15</v>
      </c>
      <c r="J430">
        <v>20</v>
      </c>
      <c r="K430">
        <v>0</v>
      </c>
      <c r="L430">
        <v>0</v>
      </c>
      <c r="M430">
        <v>7</v>
      </c>
      <c r="N430" t="s">
        <v>180</v>
      </c>
    </row>
    <row r="431" spans="1:14" x14ac:dyDescent="0.35">
      <c r="A431" t="s">
        <v>574</v>
      </c>
      <c r="B431" t="s">
        <v>334</v>
      </c>
      <c r="C431" t="s">
        <v>16</v>
      </c>
      <c r="D431">
        <v>0</v>
      </c>
      <c r="E431">
        <v>19</v>
      </c>
      <c r="F431" t="s">
        <v>534</v>
      </c>
      <c r="G431">
        <v>18</v>
      </c>
      <c r="H431" t="s">
        <v>18</v>
      </c>
      <c r="I431">
        <v>14</v>
      </c>
      <c r="J431">
        <v>28.5</v>
      </c>
      <c r="K431">
        <v>2</v>
      </c>
      <c r="L431">
        <v>3</v>
      </c>
      <c r="M431">
        <v>21</v>
      </c>
      <c r="N431" t="s">
        <v>351</v>
      </c>
    </row>
    <row r="432" spans="1:14" x14ac:dyDescent="0.35">
      <c r="A432" t="s">
        <v>574</v>
      </c>
      <c r="B432" t="s">
        <v>170</v>
      </c>
      <c r="C432" t="s">
        <v>29</v>
      </c>
      <c r="D432">
        <v>0</v>
      </c>
      <c r="E432">
        <v>10</v>
      </c>
      <c r="F432" t="s">
        <v>190</v>
      </c>
      <c r="G432">
        <v>10</v>
      </c>
      <c r="H432" t="s">
        <v>157</v>
      </c>
      <c r="I432">
        <v>15</v>
      </c>
      <c r="J432">
        <v>25.1</v>
      </c>
      <c r="K432">
        <v>1</v>
      </c>
      <c r="L432">
        <v>2</v>
      </c>
      <c r="M432">
        <v>12</v>
      </c>
      <c r="N432" t="s">
        <v>191</v>
      </c>
    </row>
    <row r="433" spans="1:14" x14ac:dyDescent="0.35">
      <c r="A433" t="s">
        <v>574</v>
      </c>
      <c r="B433" t="s">
        <v>447</v>
      </c>
      <c r="C433" t="s">
        <v>16</v>
      </c>
      <c r="D433">
        <v>1</v>
      </c>
      <c r="E433">
        <v>8</v>
      </c>
      <c r="F433" t="s">
        <v>185</v>
      </c>
      <c r="G433">
        <v>9</v>
      </c>
      <c r="H433" t="s">
        <v>157</v>
      </c>
      <c r="I433">
        <v>15</v>
      </c>
      <c r="J433">
        <v>30.3</v>
      </c>
      <c r="K433">
        <v>2</v>
      </c>
      <c r="L433">
        <v>1</v>
      </c>
      <c r="M433">
        <v>10</v>
      </c>
      <c r="N433" t="s">
        <v>591</v>
      </c>
    </row>
    <row r="434" spans="1:14" x14ac:dyDescent="0.35">
      <c r="A434" t="s">
        <v>574</v>
      </c>
      <c r="B434" t="s">
        <v>457</v>
      </c>
      <c r="C434" t="s">
        <v>29</v>
      </c>
      <c r="D434">
        <v>0</v>
      </c>
      <c r="E434">
        <v>2</v>
      </c>
      <c r="F434" t="s">
        <v>188</v>
      </c>
      <c r="G434">
        <v>2</v>
      </c>
      <c r="H434" t="s">
        <v>157</v>
      </c>
      <c r="I434">
        <v>15</v>
      </c>
      <c r="J434">
        <v>25.6</v>
      </c>
      <c r="K434">
        <v>3</v>
      </c>
      <c r="L434">
        <v>1</v>
      </c>
      <c r="M434">
        <v>3</v>
      </c>
      <c r="N434" t="s">
        <v>540</v>
      </c>
    </row>
    <row r="435" spans="1:14" x14ac:dyDescent="0.35">
      <c r="A435" t="s">
        <v>574</v>
      </c>
      <c r="B435" t="s">
        <v>455</v>
      </c>
      <c r="C435" t="s">
        <v>16</v>
      </c>
      <c r="D435">
        <v>0</v>
      </c>
      <c r="E435">
        <v>8</v>
      </c>
      <c r="F435" t="s">
        <v>535</v>
      </c>
      <c r="G435">
        <v>8</v>
      </c>
      <c r="H435" t="s">
        <v>157</v>
      </c>
      <c r="I435">
        <v>15</v>
      </c>
      <c r="J435">
        <v>25.6</v>
      </c>
      <c r="K435">
        <v>2</v>
      </c>
      <c r="L435">
        <v>3</v>
      </c>
      <c r="M435">
        <v>11</v>
      </c>
      <c r="N435" t="s">
        <v>538</v>
      </c>
    </row>
    <row r="436" spans="1:14" x14ac:dyDescent="0.35">
      <c r="A436" t="s">
        <v>574</v>
      </c>
      <c r="B436" t="s">
        <v>461</v>
      </c>
      <c r="C436" t="s">
        <v>29</v>
      </c>
      <c r="D436">
        <v>0</v>
      </c>
      <c r="E436">
        <v>4</v>
      </c>
      <c r="F436" t="s">
        <v>456</v>
      </c>
      <c r="G436">
        <v>4</v>
      </c>
      <c r="H436" t="s">
        <v>157</v>
      </c>
      <c r="I436">
        <v>15</v>
      </c>
      <c r="J436">
        <v>24.1</v>
      </c>
      <c r="K436">
        <v>0</v>
      </c>
      <c r="L436">
        <v>0</v>
      </c>
      <c r="M436">
        <v>4</v>
      </c>
      <c r="N436" t="s">
        <v>462</v>
      </c>
    </row>
    <row r="437" spans="1:14" x14ac:dyDescent="0.35">
      <c r="A437" t="s">
        <v>574</v>
      </c>
      <c r="B437" t="s">
        <v>537</v>
      </c>
      <c r="C437" t="s">
        <v>16</v>
      </c>
      <c r="D437">
        <v>0</v>
      </c>
      <c r="E437">
        <v>16</v>
      </c>
      <c r="F437" t="s">
        <v>592</v>
      </c>
      <c r="G437">
        <v>16</v>
      </c>
      <c r="H437" t="s">
        <v>157</v>
      </c>
      <c r="I437">
        <v>15</v>
      </c>
      <c r="J437">
        <v>30.9</v>
      </c>
      <c r="K437">
        <v>1</v>
      </c>
      <c r="L437">
        <v>3</v>
      </c>
      <c r="M437">
        <v>19</v>
      </c>
      <c r="N437" t="s">
        <v>593</v>
      </c>
    </row>
    <row r="438" spans="1:14" x14ac:dyDescent="0.35">
      <c r="A438" t="s">
        <v>574</v>
      </c>
      <c r="B438" t="s">
        <v>458</v>
      </c>
      <c r="C438" t="s">
        <v>16</v>
      </c>
      <c r="D438">
        <v>0</v>
      </c>
      <c r="E438">
        <v>12</v>
      </c>
      <c r="F438" t="s">
        <v>355</v>
      </c>
      <c r="G438">
        <v>12</v>
      </c>
      <c r="H438" t="s">
        <v>157</v>
      </c>
      <c r="I438">
        <v>15</v>
      </c>
      <c r="J438">
        <v>27.2</v>
      </c>
      <c r="K438">
        <v>3</v>
      </c>
      <c r="L438">
        <v>0</v>
      </c>
      <c r="M438">
        <v>12</v>
      </c>
      <c r="N438" t="s">
        <v>594</v>
      </c>
    </row>
    <row r="439" spans="1:14" x14ac:dyDescent="0.35">
      <c r="A439" t="s">
        <v>574</v>
      </c>
      <c r="B439" t="s">
        <v>197</v>
      </c>
      <c r="C439" t="s">
        <v>16</v>
      </c>
      <c r="D439">
        <v>0</v>
      </c>
      <c r="E439">
        <v>12</v>
      </c>
      <c r="F439" t="s">
        <v>203</v>
      </c>
      <c r="G439">
        <v>12</v>
      </c>
      <c r="H439" t="s">
        <v>157</v>
      </c>
      <c r="I439">
        <v>15</v>
      </c>
      <c r="J439">
        <v>26.1</v>
      </c>
      <c r="K439">
        <v>1</v>
      </c>
      <c r="L439">
        <v>1</v>
      </c>
      <c r="M439">
        <v>13</v>
      </c>
      <c r="N439" t="s">
        <v>595</v>
      </c>
    </row>
    <row r="440" spans="1:14" x14ac:dyDescent="0.35">
      <c r="A440" t="s">
        <v>574</v>
      </c>
      <c r="B440" t="s">
        <v>465</v>
      </c>
      <c r="C440" t="s">
        <v>16</v>
      </c>
      <c r="D440">
        <v>0</v>
      </c>
      <c r="E440">
        <v>12</v>
      </c>
      <c r="F440" t="s">
        <v>596</v>
      </c>
      <c r="G440">
        <v>12</v>
      </c>
      <c r="H440" t="s">
        <v>157</v>
      </c>
      <c r="I440">
        <v>15</v>
      </c>
      <c r="J440">
        <v>20.6</v>
      </c>
      <c r="K440">
        <v>2</v>
      </c>
      <c r="L440">
        <v>1</v>
      </c>
      <c r="M440">
        <v>13</v>
      </c>
      <c r="N440" t="s">
        <v>597</v>
      </c>
    </row>
    <row r="441" spans="1:14" x14ac:dyDescent="0.35">
      <c r="A441" t="s">
        <v>574</v>
      </c>
      <c r="B441" t="s">
        <v>366</v>
      </c>
      <c r="C441" t="s">
        <v>16</v>
      </c>
      <c r="D441">
        <v>0</v>
      </c>
      <c r="E441">
        <v>8</v>
      </c>
      <c r="F441" t="s">
        <v>216</v>
      </c>
      <c r="G441">
        <v>8</v>
      </c>
      <c r="H441" t="s">
        <v>157</v>
      </c>
      <c r="I441">
        <v>15</v>
      </c>
      <c r="J441">
        <v>23.5</v>
      </c>
      <c r="K441">
        <v>0</v>
      </c>
      <c r="L441">
        <v>0</v>
      </c>
      <c r="M441">
        <v>8</v>
      </c>
      <c r="N441" t="s">
        <v>472</v>
      </c>
    </row>
    <row r="442" spans="1:14" x14ac:dyDescent="0.35">
      <c r="A442" t="s">
        <v>574</v>
      </c>
      <c r="B442" t="s">
        <v>598</v>
      </c>
      <c r="C442" t="s">
        <v>16</v>
      </c>
      <c r="D442">
        <v>0</v>
      </c>
      <c r="E442">
        <v>20</v>
      </c>
      <c r="F442" t="s">
        <v>219</v>
      </c>
      <c r="G442">
        <v>18</v>
      </c>
      <c r="H442" t="s">
        <v>18</v>
      </c>
      <c r="I442">
        <v>15</v>
      </c>
      <c r="J442">
        <v>27.8</v>
      </c>
      <c r="K442">
        <v>4</v>
      </c>
      <c r="L442">
        <v>3</v>
      </c>
      <c r="M442">
        <v>21</v>
      </c>
      <c r="N442" t="s">
        <v>599</v>
      </c>
    </row>
    <row r="443" spans="1:14" x14ac:dyDescent="0.35">
      <c r="A443" t="s">
        <v>574</v>
      </c>
      <c r="B443" t="s">
        <v>370</v>
      </c>
      <c r="C443" t="s">
        <v>16</v>
      </c>
      <c r="D443">
        <v>2</v>
      </c>
      <c r="E443">
        <v>16</v>
      </c>
      <c r="F443" t="s">
        <v>222</v>
      </c>
      <c r="G443">
        <v>18</v>
      </c>
      <c r="H443" t="s">
        <v>18</v>
      </c>
      <c r="I443">
        <v>15</v>
      </c>
      <c r="J443">
        <v>30.3</v>
      </c>
      <c r="K443">
        <v>4</v>
      </c>
      <c r="L443">
        <v>3</v>
      </c>
      <c r="M443">
        <v>21</v>
      </c>
      <c r="N443" t="s">
        <v>600</v>
      </c>
    </row>
    <row r="444" spans="1:14" x14ac:dyDescent="0.35">
      <c r="A444" t="s">
        <v>574</v>
      </c>
      <c r="B444" t="s">
        <v>601</v>
      </c>
      <c r="C444" t="s">
        <v>16</v>
      </c>
      <c r="D444">
        <v>0</v>
      </c>
      <c r="E444">
        <v>9</v>
      </c>
      <c r="F444" t="s">
        <v>378</v>
      </c>
      <c r="G444">
        <v>9</v>
      </c>
      <c r="H444" t="s">
        <v>157</v>
      </c>
      <c r="I444">
        <v>15</v>
      </c>
      <c r="J444">
        <v>26.4</v>
      </c>
      <c r="K444">
        <v>0</v>
      </c>
      <c r="L444">
        <v>0</v>
      </c>
      <c r="M444">
        <v>9</v>
      </c>
      <c r="N444" t="s">
        <v>602</v>
      </c>
    </row>
    <row r="445" spans="1:14" x14ac:dyDescent="0.35">
      <c r="A445" t="s">
        <v>574</v>
      </c>
      <c r="B445" t="s">
        <v>554</v>
      </c>
      <c r="C445" t="s">
        <v>16</v>
      </c>
      <c r="D445">
        <v>0</v>
      </c>
      <c r="E445">
        <v>11</v>
      </c>
      <c r="F445" t="s">
        <v>603</v>
      </c>
      <c r="G445">
        <v>11</v>
      </c>
      <c r="H445" t="s">
        <v>157</v>
      </c>
      <c r="I445">
        <v>15</v>
      </c>
      <c r="J445">
        <v>33.299999999999997</v>
      </c>
      <c r="K445">
        <v>2</v>
      </c>
      <c r="L445">
        <v>1</v>
      </c>
      <c r="M445">
        <v>12</v>
      </c>
      <c r="N445" t="s">
        <v>604</v>
      </c>
    </row>
    <row r="446" spans="1:14" x14ac:dyDescent="0.35">
      <c r="A446" t="s">
        <v>574</v>
      </c>
      <c r="B446" t="s">
        <v>605</v>
      </c>
      <c r="C446" t="s">
        <v>16</v>
      </c>
      <c r="D446">
        <v>0</v>
      </c>
      <c r="E446">
        <v>14</v>
      </c>
      <c r="F446" t="s">
        <v>606</v>
      </c>
      <c r="G446">
        <v>14</v>
      </c>
      <c r="H446" t="s">
        <v>157</v>
      </c>
      <c r="I446">
        <v>15</v>
      </c>
      <c r="J446">
        <v>31.1</v>
      </c>
      <c r="K446">
        <v>3</v>
      </c>
      <c r="L446">
        <v>2</v>
      </c>
      <c r="M446">
        <v>16</v>
      </c>
      <c r="N446" t="s">
        <v>388</v>
      </c>
    </row>
    <row r="447" spans="1:14" x14ac:dyDescent="0.35">
      <c r="A447" t="s">
        <v>574</v>
      </c>
      <c r="B447" t="s">
        <v>558</v>
      </c>
      <c r="C447" t="s">
        <v>16</v>
      </c>
      <c r="D447">
        <v>0</v>
      </c>
      <c r="E447">
        <v>9</v>
      </c>
      <c r="F447" t="s">
        <v>559</v>
      </c>
      <c r="G447">
        <v>9</v>
      </c>
      <c r="H447" t="s">
        <v>157</v>
      </c>
      <c r="I447">
        <v>15</v>
      </c>
      <c r="J447">
        <v>25.7</v>
      </c>
      <c r="K447">
        <v>1</v>
      </c>
      <c r="L447">
        <v>2</v>
      </c>
      <c r="M447">
        <v>11</v>
      </c>
      <c r="N447" t="s">
        <v>607</v>
      </c>
    </row>
    <row r="448" spans="1:14" x14ac:dyDescent="0.35">
      <c r="A448" t="s">
        <v>574</v>
      </c>
      <c r="B448" t="s">
        <v>608</v>
      </c>
      <c r="C448" t="s">
        <v>16</v>
      </c>
      <c r="D448">
        <v>0</v>
      </c>
      <c r="E448">
        <v>8</v>
      </c>
      <c r="F448" t="s">
        <v>609</v>
      </c>
      <c r="G448">
        <v>8</v>
      </c>
      <c r="H448" t="s">
        <v>157</v>
      </c>
      <c r="I448">
        <v>15</v>
      </c>
      <c r="J448">
        <v>24.3</v>
      </c>
      <c r="K448">
        <v>3</v>
      </c>
      <c r="L448">
        <v>1</v>
      </c>
      <c r="M448">
        <v>9</v>
      </c>
      <c r="N448" t="s">
        <v>610</v>
      </c>
    </row>
    <row r="449" spans="1:14" x14ac:dyDescent="0.35">
      <c r="A449" t="s">
        <v>574</v>
      </c>
      <c r="B449" t="s">
        <v>484</v>
      </c>
      <c r="C449" t="s">
        <v>16</v>
      </c>
      <c r="D449">
        <v>0</v>
      </c>
      <c r="E449">
        <v>14</v>
      </c>
      <c r="F449" t="s">
        <v>611</v>
      </c>
      <c r="G449">
        <v>14</v>
      </c>
      <c r="H449" t="s">
        <v>157</v>
      </c>
      <c r="I449">
        <v>15</v>
      </c>
      <c r="J449">
        <v>31.3</v>
      </c>
      <c r="K449">
        <v>1</v>
      </c>
      <c r="L449">
        <v>0</v>
      </c>
      <c r="M449">
        <v>14</v>
      </c>
      <c r="N449" t="s">
        <v>242</v>
      </c>
    </row>
    <row r="450" spans="1:14" x14ac:dyDescent="0.35">
      <c r="A450" t="s">
        <v>574</v>
      </c>
      <c r="B450" t="s">
        <v>387</v>
      </c>
      <c r="C450" t="s">
        <v>16</v>
      </c>
      <c r="D450">
        <v>0</v>
      </c>
      <c r="E450">
        <v>18</v>
      </c>
      <c r="F450" t="s">
        <v>612</v>
      </c>
      <c r="G450">
        <v>18</v>
      </c>
      <c r="H450" t="s">
        <v>18</v>
      </c>
      <c r="I450">
        <v>15</v>
      </c>
      <c r="J450">
        <v>32.700000000000003</v>
      </c>
      <c r="K450">
        <v>2</v>
      </c>
      <c r="L450">
        <v>3</v>
      </c>
      <c r="M450">
        <v>21</v>
      </c>
      <c r="N450" t="s">
        <v>613</v>
      </c>
    </row>
    <row r="451" spans="1:14" x14ac:dyDescent="0.35">
      <c r="A451" t="s">
        <v>574</v>
      </c>
      <c r="B451" t="s">
        <v>390</v>
      </c>
      <c r="C451" t="s">
        <v>16</v>
      </c>
      <c r="D451">
        <v>0</v>
      </c>
      <c r="E451">
        <v>16</v>
      </c>
      <c r="F451" t="s">
        <v>490</v>
      </c>
      <c r="G451">
        <v>16</v>
      </c>
      <c r="H451" t="s">
        <v>157</v>
      </c>
      <c r="I451">
        <v>15</v>
      </c>
      <c r="J451">
        <v>33.799999999999997</v>
      </c>
      <c r="K451">
        <v>0</v>
      </c>
      <c r="L451">
        <v>0</v>
      </c>
      <c r="M451">
        <v>16</v>
      </c>
      <c r="N451" t="s">
        <v>614</v>
      </c>
    </row>
    <row r="452" spans="1:14" x14ac:dyDescent="0.35">
      <c r="A452" t="s">
        <v>574</v>
      </c>
      <c r="B452" t="s">
        <v>615</v>
      </c>
      <c r="C452" t="s">
        <v>16</v>
      </c>
      <c r="D452">
        <v>0</v>
      </c>
      <c r="E452">
        <v>13</v>
      </c>
      <c r="F452" t="s">
        <v>613</v>
      </c>
      <c r="G452">
        <v>13</v>
      </c>
      <c r="H452" t="s">
        <v>157</v>
      </c>
      <c r="I452">
        <v>15</v>
      </c>
      <c r="J452">
        <v>29</v>
      </c>
      <c r="K452">
        <v>2</v>
      </c>
      <c r="L452">
        <v>3</v>
      </c>
      <c r="M452">
        <v>16</v>
      </c>
      <c r="N452" t="s">
        <v>492</v>
      </c>
    </row>
    <row r="453" spans="1:14" x14ac:dyDescent="0.35">
      <c r="A453" t="s">
        <v>574</v>
      </c>
      <c r="B453" t="s">
        <v>245</v>
      </c>
      <c r="C453" t="s">
        <v>16</v>
      </c>
      <c r="D453">
        <v>0</v>
      </c>
      <c r="E453">
        <v>13</v>
      </c>
      <c r="F453" t="s">
        <v>248</v>
      </c>
      <c r="G453">
        <v>13</v>
      </c>
      <c r="H453" t="s">
        <v>157</v>
      </c>
      <c r="I453">
        <v>15</v>
      </c>
      <c r="J453">
        <v>28.4</v>
      </c>
      <c r="K453">
        <v>2</v>
      </c>
      <c r="L453">
        <v>1</v>
      </c>
      <c r="M453">
        <v>14</v>
      </c>
      <c r="N453" t="s">
        <v>616</v>
      </c>
    </row>
    <row r="454" spans="1:14" x14ac:dyDescent="0.35">
      <c r="A454" t="s">
        <v>617</v>
      </c>
      <c r="B454" t="s">
        <v>15</v>
      </c>
      <c r="C454" t="s">
        <v>16</v>
      </c>
      <c r="D454">
        <v>0</v>
      </c>
      <c r="E454">
        <v>19</v>
      </c>
      <c r="F454" t="s">
        <v>20</v>
      </c>
      <c r="G454">
        <v>18</v>
      </c>
      <c r="H454" t="s">
        <v>18</v>
      </c>
      <c r="I454">
        <v>4</v>
      </c>
      <c r="J454">
        <v>22.1</v>
      </c>
      <c r="K454">
        <v>1</v>
      </c>
      <c r="L454">
        <v>3</v>
      </c>
      <c r="M454">
        <v>21</v>
      </c>
      <c r="N454" t="s">
        <v>38</v>
      </c>
    </row>
    <row r="455" spans="1:14" x14ac:dyDescent="0.35">
      <c r="A455" t="s">
        <v>617</v>
      </c>
      <c r="B455" t="s">
        <v>254</v>
      </c>
      <c r="C455" t="s">
        <v>16</v>
      </c>
      <c r="D455">
        <v>1</v>
      </c>
      <c r="E455">
        <v>17</v>
      </c>
      <c r="F455" t="s">
        <v>404</v>
      </c>
      <c r="G455">
        <v>18</v>
      </c>
      <c r="H455" t="s">
        <v>18</v>
      </c>
      <c r="I455">
        <v>4</v>
      </c>
      <c r="J455">
        <v>24.4</v>
      </c>
      <c r="K455">
        <v>3</v>
      </c>
      <c r="L455">
        <v>2</v>
      </c>
      <c r="M455">
        <v>20</v>
      </c>
      <c r="N455" t="s">
        <v>403</v>
      </c>
    </row>
    <row r="456" spans="1:14" x14ac:dyDescent="0.35">
      <c r="A456" t="s">
        <v>617</v>
      </c>
      <c r="B456" t="s">
        <v>15</v>
      </c>
      <c r="C456" t="s">
        <v>29</v>
      </c>
      <c r="D456">
        <v>0</v>
      </c>
      <c r="E456">
        <v>18</v>
      </c>
      <c r="F456" t="s">
        <v>404</v>
      </c>
      <c r="G456">
        <v>18</v>
      </c>
      <c r="H456" t="s">
        <v>18</v>
      </c>
      <c r="I456">
        <v>9</v>
      </c>
      <c r="J456">
        <v>24.5</v>
      </c>
      <c r="K456">
        <v>4</v>
      </c>
      <c r="L456">
        <v>3</v>
      </c>
      <c r="M456">
        <v>21</v>
      </c>
      <c r="N456" t="s">
        <v>403</v>
      </c>
    </row>
    <row r="457" spans="1:14" x14ac:dyDescent="0.35">
      <c r="A457" t="s">
        <v>617</v>
      </c>
      <c r="B457" t="s">
        <v>24</v>
      </c>
      <c r="C457" t="s">
        <v>16</v>
      </c>
      <c r="D457">
        <v>0</v>
      </c>
      <c r="E457">
        <v>24</v>
      </c>
      <c r="F457" t="s">
        <v>263</v>
      </c>
      <c r="G457">
        <v>18</v>
      </c>
      <c r="H457" t="s">
        <v>18</v>
      </c>
      <c r="I457">
        <v>4</v>
      </c>
      <c r="J457">
        <v>26.3</v>
      </c>
      <c r="K457">
        <v>1</v>
      </c>
      <c r="L457">
        <v>4</v>
      </c>
      <c r="M457">
        <v>22</v>
      </c>
      <c r="N457" t="s">
        <v>255</v>
      </c>
    </row>
    <row r="458" spans="1:14" x14ac:dyDescent="0.35">
      <c r="A458" t="s">
        <v>617</v>
      </c>
      <c r="B458" t="s">
        <v>258</v>
      </c>
      <c r="C458" t="s">
        <v>16</v>
      </c>
      <c r="D458">
        <v>6</v>
      </c>
      <c r="E458">
        <v>17</v>
      </c>
      <c r="F458" t="s">
        <v>30</v>
      </c>
      <c r="G458">
        <v>18</v>
      </c>
      <c r="H458" t="s">
        <v>18</v>
      </c>
      <c r="I458">
        <v>2</v>
      </c>
      <c r="J458">
        <v>26.3</v>
      </c>
      <c r="K458">
        <v>3</v>
      </c>
      <c r="L458">
        <v>3</v>
      </c>
      <c r="M458">
        <v>21</v>
      </c>
      <c r="N458" t="s">
        <v>408</v>
      </c>
    </row>
    <row r="459" spans="1:14" x14ac:dyDescent="0.35">
      <c r="A459" t="s">
        <v>617</v>
      </c>
      <c r="B459" t="s">
        <v>499</v>
      </c>
      <c r="C459" t="s">
        <v>16</v>
      </c>
      <c r="D459">
        <v>5</v>
      </c>
      <c r="E459">
        <v>15</v>
      </c>
      <c r="F459" t="s">
        <v>31</v>
      </c>
      <c r="G459">
        <v>18</v>
      </c>
      <c r="H459" t="s">
        <v>18</v>
      </c>
      <c r="I459">
        <v>2</v>
      </c>
      <c r="J459">
        <v>31.5</v>
      </c>
      <c r="K459">
        <v>2</v>
      </c>
      <c r="L459">
        <v>4</v>
      </c>
      <c r="M459">
        <v>22</v>
      </c>
      <c r="N459" t="s">
        <v>32</v>
      </c>
    </row>
    <row r="460" spans="1:14" x14ac:dyDescent="0.35">
      <c r="A460" t="s">
        <v>617</v>
      </c>
      <c r="B460" t="s">
        <v>33</v>
      </c>
      <c r="C460" t="s">
        <v>16</v>
      </c>
      <c r="D460">
        <v>2</v>
      </c>
      <c r="E460">
        <v>17</v>
      </c>
      <c r="F460" t="s">
        <v>261</v>
      </c>
      <c r="G460">
        <v>18</v>
      </c>
      <c r="H460" t="s">
        <v>18</v>
      </c>
      <c r="I460">
        <v>3</v>
      </c>
      <c r="J460">
        <v>25.5</v>
      </c>
      <c r="K460">
        <v>3</v>
      </c>
      <c r="L460">
        <v>5</v>
      </c>
      <c r="M460">
        <v>23</v>
      </c>
      <c r="N460" t="s">
        <v>37</v>
      </c>
    </row>
    <row r="461" spans="1:14" x14ac:dyDescent="0.35">
      <c r="A461" t="s">
        <v>617</v>
      </c>
      <c r="B461" t="s">
        <v>24</v>
      </c>
      <c r="C461" t="s">
        <v>29</v>
      </c>
      <c r="D461">
        <v>0</v>
      </c>
      <c r="E461">
        <v>18</v>
      </c>
      <c r="F461" t="s">
        <v>36</v>
      </c>
      <c r="G461">
        <v>18</v>
      </c>
      <c r="H461" t="s">
        <v>18</v>
      </c>
      <c r="I461">
        <v>17</v>
      </c>
      <c r="J461">
        <v>25.6</v>
      </c>
      <c r="K461">
        <v>1</v>
      </c>
      <c r="L461">
        <v>4</v>
      </c>
      <c r="M461">
        <v>22</v>
      </c>
      <c r="N461" t="s">
        <v>266</v>
      </c>
    </row>
    <row r="462" spans="1:14" x14ac:dyDescent="0.35">
      <c r="A462" t="s">
        <v>617</v>
      </c>
      <c r="B462" t="s">
        <v>34</v>
      </c>
      <c r="C462" t="s">
        <v>16</v>
      </c>
      <c r="D462">
        <v>1</v>
      </c>
      <c r="E462">
        <v>20</v>
      </c>
      <c r="F462" t="s">
        <v>50</v>
      </c>
      <c r="G462">
        <v>18</v>
      </c>
      <c r="H462" t="s">
        <v>18</v>
      </c>
      <c r="I462">
        <v>3</v>
      </c>
      <c r="J462">
        <v>24.1</v>
      </c>
      <c r="K462">
        <v>4</v>
      </c>
      <c r="L462">
        <v>3</v>
      </c>
      <c r="M462">
        <v>21</v>
      </c>
      <c r="N462" t="s">
        <v>266</v>
      </c>
    </row>
    <row r="463" spans="1:14" x14ac:dyDescent="0.35">
      <c r="A463" t="s">
        <v>617</v>
      </c>
      <c r="B463" t="s">
        <v>39</v>
      </c>
      <c r="C463" t="s">
        <v>16</v>
      </c>
      <c r="D463">
        <v>3</v>
      </c>
      <c r="E463">
        <v>17</v>
      </c>
      <c r="F463" t="s">
        <v>25</v>
      </c>
      <c r="G463">
        <v>18</v>
      </c>
      <c r="H463" t="s">
        <v>18</v>
      </c>
      <c r="I463">
        <v>8</v>
      </c>
      <c r="J463">
        <v>30.6</v>
      </c>
      <c r="K463">
        <v>2</v>
      </c>
      <c r="L463">
        <v>2</v>
      </c>
      <c r="M463">
        <v>20</v>
      </c>
      <c r="N463" t="s">
        <v>270</v>
      </c>
    </row>
    <row r="464" spans="1:14" x14ac:dyDescent="0.35">
      <c r="A464" t="s">
        <v>617</v>
      </c>
      <c r="B464" t="s">
        <v>50</v>
      </c>
      <c r="C464" t="s">
        <v>29</v>
      </c>
      <c r="D464">
        <v>0</v>
      </c>
      <c r="E464">
        <v>18</v>
      </c>
      <c r="F464" t="s">
        <v>408</v>
      </c>
      <c r="G464">
        <v>18</v>
      </c>
      <c r="H464" t="s">
        <v>18</v>
      </c>
      <c r="I464">
        <v>15</v>
      </c>
      <c r="J464">
        <v>25</v>
      </c>
      <c r="K464">
        <v>2</v>
      </c>
      <c r="L464">
        <v>3</v>
      </c>
      <c r="M464">
        <v>21</v>
      </c>
      <c r="N464" t="s">
        <v>272</v>
      </c>
    </row>
    <row r="465" spans="1:14" x14ac:dyDescent="0.35">
      <c r="A465" t="s">
        <v>617</v>
      </c>
      <c r="B465" t="s">
        <v>501</v>
      </c>
      <c r="C465" t="s">
        <v>16</v>
      </c>
      <c r="D465">
        <v>2</v>
      </c>
      <c r="E465">
        <v>16</v>
      </c>
      <c r="F465" t="s">
        <v>259</v>
      </c>
      <c r="G465">
        <v>18</v>
      </c>
      <c r="H465" t="s">
        <v>18</v>
      </c>
      <c r="I465">
        <v>7</v>
      </c>
      <c r="J465">
        <v>27.6</v>
      </c>
      <c r="K465">
        <v>4</v>
      </c>
      <c r="L465">
        <v>2</v>
      </c>
      <c r="M465">
        <v>20</v>
      </c>
      <c r="N465" t="s">
        <v>56</v>
      </c>
    </row>
    <row r="466" spans="1:14" x14ac:dyDescent="0.35">
      <c r="A466" t="s">
        <v>617</v>
      </c>
      <c r="B466" t="s">
        <v>618</v>
      </c>
      <c r="C466" t="s">
        <v>16</v>
      </c>
      <c r="D466">
        <v>0</v>
      </c>
      <c r="E466">
        <v>27</v>
      </c>
      <c r="F466" t="s">
        <v>576</v>
      </c>
      <c r="G466">
        <v>18</v>
      </c>
      <c r="H466" t="s">
        <v>18</v>
      </c>
      <c r="I466">
        <v>14</v>
      </c>
      <c r="J466">
        <v>26.7</v>
      </c>
      <c r="K466">
        <v>3</v>
      </c>
      <c r="L466">
        <v>3</v>
      </c>
      <c r="M466">
        <v>21</v>
      </c>
      <c r="N466" t="s">
        <v>68</v>
      </c>
    </row>
    <row r="467" spans="1:14" x14ac:dyDescent="0.35">
      <c r="A467" t="s">
        <v>617</v>
      </c>
      <c r="B467" t="s">
        <v>267</v>
      </c>
      <c r="C467" t="s">
        <v>16</v>
      </c>
      <c r="D467">
        <v>9</v>
      </c>
      <c r="E467">
        <v>13</v>
      </c>
      <c r="F467" t="s">
        <v>269</v>
      </c>
      <c r="G467">
        <v>18</v>
      </c>
      <c r="H467" t="s">
        <v>18</v>
      </c>
      <c r="I467">
        <v>1</v>
      </c>
      <c r="J467">
        <v>34.700000000000003</v>
      </c>
      <c r="K467">
        <v>1</v>
      </c>
      <c r="L467">
        <v>4</v>
      </c>
      <c r="M467">
        <v>22</v>
      </c>
      <c r="N467" t="s">
        <v>271</v>
      </c>
    </row>
    <row r="468" spans="1:14" x14ac:dyDescent="0.35">
      <c r="A468" t="s">
        <v>617</v>
      </c>
      <c r="B468" t="s">
        <v>48</v>
      </c>
      <c r="C468" t="s">
        <v>16</v>
      </c>
      <c r="D468">
        <v>4</v>
      </c>
      <c r="E468">
        <v>15</v>
      </c>
      <c r="F468" t="s">
        <v>411</v>
      </c>
      <c r="G468">
        <v>18</v>
      </c>
      <c r="H468" t="s">
        <v>18</v>
      </c>
      <c r="I468">
        <v>3</v>
      </c>
      <c r="J468">
        <v>28.5</v>
      </c>
      <c r="K468">
        <v>1</v>
      </c>
      <c r="L468">
        <v>5</v>
      </c>
      <c r="M468">
        <v>23</v>
      </c>
      <c r="N468" t="s">
        <v>70</v>
      </c>
    </row>
    <row r="469" spans="1:14" x14ac:dyDescent="0.35">
      <c r="A469" t="s">
        <v>617</v>
      </c>
      <c r="B469" t="s">
        <v>618</v>
      </c>
      <c r="C469" t="s">
        <v>29</v>
      </c>
      <c r="D469">
        <v>0</v>
      </c>
      <c r="E469">
        <v>18</v>
      </c>
      <c r="F469" t="s">
        <v>272</v>
      </c>
      <c r="G469">
        <v>18</v>
      </c>
      <c r="H469" t="s">
        <v>18</v>
      </c>
      <c r="I469">
        <v>22</v>
      </c>
      <c r="J469">
        <v>23.3</v>
      </c>
      <c r="K469">
        <v>2</v>
      </c>
      <c r="L469">
        <v>3</v>
      </c>
      <c r="M469">
        <v>21</v>
      </c>
      <c r="N469" t="s">
        <v>268</v>
      </c>
    </row>
    <row r="470" spans="1:14" x14ac:dyDescent="0.35">
      <c r="A470" t="s">
        <v>617</v>
      </c>
      <c r="B470" t="s">
        <v>270</v>
      </c>
      <c r="C470" t="s">
        <v>16</v>
      </c>
      <c r="D470">
        <v>1</v>
      </c>
      <c r="E470">
        <v>17</v>
      </c>
      <c r="F470" t="s">
        <v>55</v>
      </c>
      <c r="G470">
        <v>18</v>
      </c>
      <c r="H470" t="s">
        <v>18</v>
      </c>
      <c r="I470">
        <v>3</v>
      </c>
      <c r="J470">
        <v>30.5</v>
      </c>
      <c r="K470">
        <v>3</v>
      </c>
      <c r="L470">
        <v>5</v>
      </c>
      <c r="M470">
        <v>23</v>
      </c>
      <c r="N470" t="s">
        <v>57</v>
      </c>
    </row>
    <row r="471" spans="1:14" x14ac:dyDescent="0.35">
      <c r="A471" t="s">
        <v>617</v>
      </c>
      <c r="B471" t="s">
        <v>273</v>
      </c>
      <c r="C471" t="s">
        <v>16</v>
      </c>
      <c r="D471">
        <v>0</v>
      </c>
      <c r="E471">
        <v>20</v>
      </c>
      <c r="F471" t="s">
        <v>414</v>
      </c>
      <c r="G471">
        <v>18</v>
      </c>
      <c r="H471" t="s">
        <v>18</v>
      </c>
      <c r="I471">
        <v>3</v>
      </c>
      <c r="J471">
        <v>26.1</v>
      </c>
      <c r="K471">
        <v>2</v>
      </c>
      <c r="L471">
        <v>5</v>
      </c>
      <c r="M471">
        <v>23</v>
      </c>
      <c r="N471" t="s">
        <v>57</v>
      </c>
    </row>
    <row r="472" spans="1:14" x14ac:dyDescent="0.35">
      <c r="A472" t="s">
        <v>617</v>
      </c>
      <c r="B472" t="s">
        <v>274</v>
      </c>
      <c r="C472" t="s">
        <v>16</v>
      </c>
      <c r="D472">
        <v>2</v>
      </c>
      <c r="E472">
        <v>17</v>
      </c>
      <c r="F472" t="s">
        <v>62</v>
      </c>
      <c r="G472">
        <v>18</v>
      </c>
      <c r="H472" t="s">
        <v>18</v>
      </c>
      <c r="I472">
        <v>4</v>
      </c>
      <c r="J472">
        <v>28.6</v>
      </c>
      <c r="K472">
        <v>1</v>
      </c>
      <c r="L472">
        <v>3</v>
      </c>
      <c r="M472">
        <v>21</v>
      </c>
      <c r="N472" t="s">
        <v>413</v>
      </c>
    </row>
    <row r="473" spans="1:14" x14ac:dyDescent="0.35">
      <c r="A473" t="s">
        <v>617</v>
      </c>
      <c r="B473" t="s">
        <v>55</v>
      </c>
      <c r="C473" t="s">
        <v>29</v>
      </c>
      <c r="D473">
        <v>0</v>
      </c>
      <c r="E473">
        <v>18</v>
      </c>
      <c r="F473" t="s">
        <v>62</v>
      </c>
      <c r="G473">
        <v>18</v>
      </c>
      <c r="H473" t="s">
        <v>18</v>
      </c>
      <c r="I473">
        <v>9</v>
      </c>
      <c r="J473">
        <v>21.3</v>
      </c>
      <c r="K473">
        <v>3</v>
      </c>
      <c r="L473">
        <v>4</v>
      </c>
      <c r="M473">
        <v>22</v>
      </c>
      <c r="N473" t="s">
        <v>57</v>
      </c>
    </row>
    <row r="474" spans="1:14" x14ac:dyDescent="0.35">
      <c r="A474" t="s">
        <v>617</v>
      </c>
      <c r="B474" t="s">
        <v>63</v>
      </c>
      <c r="C474" t="s">
        <v>16</v>
      </c>
      <c r="D474">
        <v>1</v>
      </c>
      <c r="E474">
        <v>17</v>
      </c>
      <c r="F474" t="s">
        <v>67</v>
      </c>
      <c r="G474">
        <v>18</v>
      </c>
      <c r="H474" t="s">
        <v>18</v>
      </c>
      <c r="I474">
        <v>4</v>
      </c>
      <c r="J474">
        <v>26.6</v>
      </c>
      <c r="K474">
        <v>0</v>
      </c>
      <c r="L474">
        <v>0</v>
      </c>
      <c r="M474">
        <v>18</v>
      </c>
      <c r="N474" t="s">
        <v>276</v>
      </c>
    </row>
    <row r="475" spans="1:14" x14ac:dyDescent="0.35">
      <c r="A475" t="s">
        <v>617</v>
      </c>
      <c r="B475" t="s">
        <v>65</v>
      </c>
      <c r="C475" t="s">
        <v>16</v>
      </c>
      <c r="D475">
        <v>0</v>
      </c>
      <c r="E475">
        <v>20</v>
      </c>
      <c r="F475" t="s">
        <v>415</v>
      </c>
      <c r="G475">
        <v>18</v>
      </c>
      <c r="H475" t="s">
        <v>18</v>
      </c>
      <c r="I475">
        <v>3</v>
      </c>
      <c r="J475">
        <v>29.6</v>
      </c>
      <c r="K475">
        <v>3</v>
      </c>
      <c r="L475">
        <v>5</v>
      </c>
      <c r="M475">
        <v>23</v>
      </c>
      <c r="N475" t="s">
        <v>286</v>
      </c>
    </row>
    <row r="476" spans="1:14" x14ac:dyDescent="0.35">
      <c r="A476" t="s">
        <v>617</v>
      </c>
      <c r="B476" t="s">
        <v>63</v>
      </c>
      <c r="C476" t="s">
        <v>29</v>
      </c>
      <c r="D476">
        <v>0</v>
      </c>
      <c r="E476">
        <v>18</v>
      </c>
      <c r="F476" t="s">
        <v>268</v>
      </c>
      <c r="G476">
        <v>18</v>
      </c>
      <c r="H476" t="s">
        <v>18</v>
      </c>
      <c r="I476">
        <v>11</v>
      </c>
      <c r="J476">
        <v>26.5</v>
      </c>
      <c r="K476">
        <v>1</v>
      </c>
      <c r="L476">
        <v>4</v>
      </c>
      <c r="M476">
        <v>22</v>
      </c>
      <c r="N476" t="s">
        <v>286</v>
      </c>
    </row>
    <row r="477" spans="1:14" x14ac:dyDescent="0.35">
      <c r="A477" t="s">
        <v>617</v>
      </c>
      <c r="B477" t="s">
        <v>279</v>
      </c>
      <c r="C477" t="s">
        <v>16</v>
      </c>
      <c r="D477">
        <v>2</v>
      </c>
      <c r="E477">
        <v>16</v>
      </c>
      <c r="F477" t="s">
        <v>412</v>
      </c>
      <c r="G477">
        <v>18</v>
      </c>
      <c r="H477" t="s">
        <v>18</v>
      </c>
      <c r="I477">
        <v>8</v>
      </c>
      <c r="J477">
        <v>35.799999999999997</v>
      </c>
      <c r="K477">
        <v>0</v>
      </c>
      <c r="L477">
        <v>0</v>
      </c>
      <c r="M477">
        <v>18</v>
      </c>
      <c r="N477" t="s">
        <v>290</v>
      </c>
    </row>
    <row r="478" spans="1:14" x14ac:dyDescent="0.35">
      <c r="A478" t="s">
        <v>617</v>
      </c>
      <c r="B478" t="s">
        <v>507</v>
      </c>
      <c r="C478" t="s">
        <v>16</v>
      </c>
      <c r="D478">
        <v>0</v>
      </c>
      <c r="E478">
        <v>18</v>
      </c>
      <c r="F478" t="s">
        <v>66</v>
      </c>
      <c r="G478">
        <v>18</v>
      </c>
      <c r="H478" t="s">
        <v>18</v>
      </c>
      <c r="I478">
        <v>11</v>
      </c>
      <c r="J478">
        <v>28.4</v>
      </c>
      <c r="K478">
        <v>2</v>
      </c>
      <c r="L478">
        <v>3</v>
      </c>
      <c r="M478">
        <v>21</v>
      </c>
      <c r="N478" t="s">
        <v>73</v>
      </c>
    </row>
    <row r="479" spans="1:14" x14ac:dyDescent="0.35">
      <c r="A479" t="s">
        <v>617</v>
      </c>
      <c r="B479" t="s">
        <v>276</v>
      </c>
      <c r="C479" t="s">
        <v>16</v>
      </c>
      <c r="D479">
        <v>0</v>
      </c>
      <c r="E479">
        <v>21</v>
      </c>
      <c r="F479" t="s">
        <v>619</v>
      </c>
      <c r="G479">
        <v>18</v>
      </c>
      <c r="H479" t="s">
        <v>18</v>
      </c>
      <c r="I479">
        <v>8</v>
      </c>
      <c r="J479">
        <v>30.5</v>
      </c>
      <c r="K479">
        <v>0</v>
      </c>
      <c r="L479">
        <v>0</v>
      </c>
      <c r="M479">
        <v>18</v>
      </c>
      <c r="N479" t="s">
        <v>295</v>
      </c>
    </row>
    <row r="480" spans="1:14" x14ac:dyDescent="0.35">
      <c r="A480" t="s">
        <v>617</v>
      </c>
      <c r="B480" t="s">
        <v>278</v>
      </c>
      <c r="C480" t="s">
        <v>16</v>
      </c>
      <c r="D480">
        <v>3</v>
      </c>
      <c r="E480">
        <v>15</v>
      </c>
      <c r="F480" t="s">
        <v>75</v>
      </c>
      <c r="G480">
        <v>18</v>
      </c>
      <c r="H480" t="s">
        <v>18</v>
      </c>
      <c r="I480">
        <v>2</v>
      </c>
      <c r="J480">
        <v>28.6</v>
      </c>
      <c r="K480">
        <v>1</v>
      </c>
      <c r="L480">
        <v>4</v>
      </c>
      <c r="M480">
        <v>22</v>
      </c>
      <c r="N480" t="s">
        <v>74</v>
      </c>
    </row>
    <row r="481" spans="1:14" x14ac:dyDescent="0.35">
      <c r="A481" t="s">
        <v>617</v>
      </c>
      <c r="B481" t="s">
        <v>271</v>
      </c>
      <c r="C481" t="s">
        <v>29</v>
      </c>
      <c r="D481">
        <v>0</v>
      </c>
      <c r="E481">
        <v>18</v>
      </c>
      <c r="F481" t="s">
        <v>287</v>
      </c>
      <c r="G481">
        <v>18</v>
      </c>
      <c r="H481" t="s">
        <v>18</v>
      </c>
      <c r="I481">
        <v>28</v>
      </c>
      <c r="J481">
        <v>21</v>
      </c>
      <c r="K481">
        <v>1</v>
      </c>
      <c r="L481">
        <v>4</v>
      </c>
      <c r="M481">
        <v>22</v>
      </c>
      <c r="N481" t="s">
        <v>420</v>
      </c>
    </row>
    <row r="482" spans="1:14" x14ac:dyDescent="0.35">
      <c r="A482" t="s">
        <v>617</v>
      </c>
      <c r="B482" t="s">
        <v>90</v>
      </c>
      <c r="C482" t="s">
        <v>16</v>
      </c>
      <c r="D482">
        <v>0</v>
      </c>
      <c r="E482">
        <v>18</v>
      </c>
      <c r="F482" t="s">
        <v>77</v>
      </c>
      <c r="G482">
        <v>18</v>
      </c>
      <c r="H482" t="s">
        <v>18</v>
      </c>
      <c r="I482">
        <v>3</v>
      </c>
      <c r="J482">
        <v>25.3</v>
      </c>
      <c r="K482">
        <v>2</v>
      </c>
      <c r="L482">
        <v>2</v>
      </c>
      <c r="M482">
        <v>20</v>
      </c>
      <c r="N482" t="s">
        <v>98</v>
      </c>
    </row>
    <row r="483" spans="1:14" x14ac:dyDescent="0.35">
      <c r="A483" t="s">
        <v>617</v>
      </c>
      <c r="B483" t="s">
        <v>79</v>
      </c>
      <c r="C483" t="s">
        <v>16</v>
      </c>
      <c r="D483">
        <v>0</v>
      </c>
      <c r="E483">
        <v>18</v>
      </c>
      <c r="F483" t="s">
        <v>288</v>
      </c>
      <c r="G483">
        <v>18</v>
      </c>
      <c r="H483" t="s">
        <v>18</v>
      </c>
      <c r="I483">
        <v>2</v>
      </c>
      <c r="J483">
        <v>29.6</v>
      </c>
      <c r="K483">
        <v>4</v>
      </c>
      <c r="L483">
        <v>4</v>
      </c>
      <c r="M483">
        <v>22</v>
      </c>
      <c r="N483" t="s">
        <v>289</v>
      </c>
    </row>
    <row r="484" spans="1:14" x14ac:dyDescent="0.35">
      <c r="A484" t="s">
        <v>617</v>
      </c>
      <c r="B484" t="s">
        <v>80</v>
      </c>
      <c r="C484" t="s">
        <v>16</v>
      </c>
      <c r="D484">
        <v>0</v>
      </c>
      <c r="E484">
        <v>21</v>
      </c>
      <c r="F484" t="s">
        <v>282</v>
      </c>
      <c r="G484">
        <v>18</v>
      </c>
      <c r="H484" t="s">
        <v>18</v>
      </c>
      <c r="I484">
        <v>2</v>
      </c>
      <c r="J484">
        <v>28.9</v>
      </c>
      <c r="K484">
        <v>4</v>
      </c>
      <c r="L484">
        <v>3</v>
      </c>
      <c r="M484">
        <v>21</v>
      </c>
      <c r="N484" t="s">
        <v>99</v>
      </c>
    </row>
    <row r="485" spans="1:14" x14ac:dyDescent="0.35">
      <c r="A485" t="s">
        <v>617</v>
      </c>
      <c r="B485" t="s">
        <v>290</v>
      </c>
      <c r="C485" t="s">
        <v>16</v>
      </c>
      <c r="D485">
        <v>3</v>
      </c>
      <c r="E485">
        <v>20</v>
      </c>
      <c r="F485" t="s">
        <v>419</v>
      </c>
      <c r="G485">
        <v>18</v>
      </c>
      <c r="H485" t="s">
        <v>18</v>
      </c>
      <c r="I485">
        <v>4</v>
      </c>
      <c r="J485">
        <v>26.2</v>
      </c>
      <c r="K485">
        <v>3</v>
      </c>
      <c r="L485">
        <v>2</v>
      </c>
      <c r="M485">
        <v>20</v>
      </c>
      <c r="N485" t="s">
        <v>84</v>
      </c>
    </row>
    <row r="486" spans="1:14" x14ac:dyDescent="0.35">
      <c r="A486" t="s">
        <v>617</v>
      </c>
      <c r="B486" t="s">
        <v>73</v>
      </c>
      <c r="C486" t="s">
        <v>16</v>
      </c>
      <c r="D486">
        <v>5</v>
      </c>
      <c r="E486">
        <v>15</v>
      </c>
      <c r="F486" t="s">
        <v>293</v>
      </c>
      <c r="G486">
        <v>18</v>
      </c>
      <c r="H486" t="s">
        <v>18</v>
      </c>
      <c r="I486">
        <v>2</v>
      </c>
      <c r="J486">
        <v>30.6</v>
      </c>
      <c r="K486">
        <v>4</v>
      </c>
      <c r="L486">
        <v>3</v>
      </c>
      <c r="M486">
        <v>21</v>
      </c>
      <c r="N486" t="s">
        <v>294</v>
      </c>
    </row>
    <row r="487" spans="1:14" x14ac:dyDescent="0.35">
      <c r="A487" t="s">
        <v>617</v>
      </c>
      <c r="B487" t="s">
        <v>77</v>
      </c>
      <c r="C487" t="s">
        <v>29</v>
      </c>
      <c r="D487">
        <v>0</v>
      </c>
      <c r="E487">
        <v>19</v>
      </c>
      <c r="F487" t="s">
        <v>293</v>
      </c>
      <c r="G487">
        <v>18</v>
      </c>
      <c r="H487" t="s">
        <v>18</v>
      </c>
      <c r="I487">
        <v>14</v>
      </c>
      <c r="J487">
        <v>23.7</v>
      </c>
      <c r="K487">
        <v>3</v>
      </c>
      <c r="L487">
        <v>3</v>
      </c>
      <c r="M487">
        <v>21</v>
      </c>
      <c r="N487" t="s">
        <v>84</v>
      </c>
    </row>
    <row r="488" spans="1:14" x14ac:dyDescent="0.35">
      <c r="A488" t="s">
        <v>617</v>
      </c>
      <c r="B488" t="s">
        <v>88</v>
      </c>
      <c r="C488" t="s">
        <v>16</v>
      </c>
      <c r="D488">
        <v>2</v>
      </c>
      <c r="E488">
        <v>18</v>
      </c>
      <c r="F488" t="s">
        <v>76</v>
      </c>
      <c r="G488">
        <v>18</v>
      </c>
      <c r="H488" t="s">
        <v>18</v>
      </c>
      <c r="I488">
        <v>4</v>
      </c>
      <c r="J488">
        <v>28.8</v>
      </c>
      <c r="K488">
        <v>3</v>
      </c>
      <c r="L488">
        <v>4</v>
      </c>
      <c r="M488">
        <v>22</v>
      </c>
      <c r="N488" t="s">
        <v>579</v>
      </c>
    </row>
    <row r="489" spans="1:14" x14ac:dyDescent="0.35">
      <c r="A489" t="s">
        <v>617</v>
      </c>
      <c r="B489" t="s">
        <v>420</v>
      </c>
      <c r="C489" t="s">
        <v>16</v>
      </c>
      <c r="D489">
        <v>2</v>
      </c>
      <c r="E489">
        <v>16</v>
      </c>
      <c r="F489" t="s">
        <v>295</v>
      </c>
      <c r="G489">
        <v>18</v>
      </c>
      <c r="H489" t="s">
        <v>18</v>
      </c>
      <c r="I489">
        <v>3</v>
      </c>
      <c r="J489">
        <v>25.7</v>
      </c>
      <c r="K489">
        <v>0</v>
      </c>
      <c r="L489">
        <v>0</v>
      </c>
      <c r="M489">
        <v>18</v>
      </c>
      <c r="N489" t="s">
        <v>95</v>
      </c>
    </row>
    <row r="490" spans="1:14" x14ac:dyDescent="0.35">
      <c r="A490" t="s">
        <v>617</v>
      </c>
      <c r="B490" t="s">
        <v>88</v>
      </c>
      <c r="C490" t="s">
        <v>29</v>
      </c>
      <c r="D490">
        <v>1</v>
      </c>
      <c r="E490">
        <v>17</v>
      </c>
      <c r="F490" t="s">
        <v>103</v>
      </c>
      <c r="G490">
        <v>18</v>
      </c>
      <c r="H490" t="s">
        <v>18</v>
      </c>
      <c r="I490">
        <v>20</v>
      </c>
      <c r="J490">
        <v>21.2</v>
      </c>
      <c r="K490">
        <v>0</v>
      </c>
      <c r="L490">
        <v>0</v>
      </c>
      <c r="M490">
        <v>18</v>
      </c>
      <c r="N490" t="s">
        <v>421</v>
      </c>
    </row>
    <row r="491" spans="1:14" x14ac:dyDescent="0.35">
      <c r="A491" t="s">
        <v>617</v>
      </c>
      <c r="B491" t="s">
        <v>74</v>
      </c>
      <c r="C491" t="s">
        <v>16</v>
      </c>
      <c r="D491">
        <v>0</v>
      </c>
      <c r="E491">
        <v>18</v>
      </c>
      <c r="F491" t="s">
        <v>298</v>
      </c>
      <c r="G491">
        <v>18</v>
      </c>
      <c r="H491" t="s">
        <v>18</v>
      </c>
      <c r="I491">
        <v>14</v>
      </c>
      <c r="J491">
        <v>25.9</v>
      </c>
      <c r="K491">
        <v>1</v>
      </c>
      <c r="L491">
        <v>5</v>
      </c>
      <c r="M491">
        <v>23</v>
      </c>
      <c r="N491" t="s">
        <v>508</v>
      </c>
    </row>
    <row r="492" spans="1:14" x14ac:dyDescent="0.35">
      <c r="A492" t="s">
        <v>617</v>
      </c>
      <c r="B492" t="s">
        <v>299</v>
      </c>
      <c r="C492" t="s">
        <v>16</v>
      </c>
      <c r="D492">
        <v>0</v>
      </c>
      <c r="E492">
        <v>18</v>
      </c>
      <c r="F492" t="s">
        <v>102</v>
      </c>
      <c r="G492">
        <v>18</v>
      </c>
      <c r="H492" t="s">
        <v>18</v>
      </c>
      <c r="I492">
        <v>23</v>
      </c>
      <c r="J492">
        <v>27.9</v>
      </c>
      <c r="K492">
        <v>2</v>
      </c>
      <c r="L492">
        <v>1</v>
      </c>
      <c r="M492">
        <v>19</v>
      </c>
      <c r="N492" t="s">
        <v>516</v>
      </c>
    </row>
    <row r="493" spans="1:14" x14ac:dyDescent="0.35">
      <c r="A493" t="s">
        <v>617</v>
      </c>
      <c r="B493" t="s">
        <v>84</v>
      </c>
      <c r="C493" t="s">
        <v>29</v>
      </c>
      <c r="D493">
        <v>0</v>
      </c>
      <c r="E493">
        <v>18</v>
      </c>
      <c r="F493" t="s">
        <v>620</v>
      </c>
      <c r="G493">
        <v>18</v>
      </c>
      <c r="H493" t="s">
        <v>18</v>
      </c>
      <c r="I493">
        <v>46</v>
      </c>
      <c r="J493">
        <v>24.2</v>
      </c>
      <c r="K493">
        <v>3</v>
      </c>
      <c r="L493">
        <v>1</v>
      </c>
      <c r="M493">
        <v>19</v>
      </c>
      <c r="N493" t="s">
        <v>429</v>
      </c>
    </row>
    <row r="494" spans="1:14" x14ac:dyDescent="0.35">
      <c r="A494" t="s">
        <v>617</v>
      </c>
      <c r="B494" t="s">
        <v>100</v>
      </c>
      <c r="C494" t="s">
        <v>16</v>
      </c>
      <c r="D494">
        <v>0</v>
      </c>
      <c r="E494">
        <v>18</v>
      </c>
      <c r="F494" t="s">
        <v>511</v>
      </c>
      <c r="G494">
        <v>18</v>
      </c>
      <c r="H494" t="s">
        <v>18</v>
      </c>
      <c r="I494">
        <v>21</v>
      </c>
      <c r="J494">
        <v>29.7</v>
      </c>
      <c r="K494">
        <v>0</v>
      </c>
      <c r="L494">
        <v>0</v>
      </c>
      <c r="M494">
        <v>18</v>
      </c>
      <c r="N494" t="s">
        <v>115</v>
      </c>
    </row>
    <row r="495" spans="1:14" x14ac:dyDescent="0.35">
      <c r="A495" t="s">
        <v>617</v>
      </c>
      <c r="B495" t="s">
        <v>303</v>
      </c>
      <c r="C495" t="s">
        <v>16</v>
      </c>
      <c r="D495">
        <v>0</v>
      </c>
      <c r="E495">
        <v>18</v>
      </c>
      <c r="F495" t="s">
        <v>117</v>
      </c>
      <c r="G495">
        <v>18</v>
      </c>
      <c r="H495" t="s">
        <v>18</v>
      </c>
      <c r="I495">
        <v>28</v>
      </c>
      <c r="J495">
        <v>31</v>
      </c>
      <c r="K495">
        <v>1</v>
      </c>
      <c r="L495">
        <v>1</v>
      </c>
      <c r="M495">
        <v>19</v>
      </c>
      <c r="N495" t="s">
        <v>116</v>
      </c>
    </row>
    <row r="496" spans="1:14" x14ac:dyDescent="0.35">
      <c r="A496" t="s">
        <v>617</v>
      </c>
      <c r="B496" t="s">
        <v>519</v>
      </c>
      <c r="C496" t="s">
        <v>16</v>
      </c>
      <c r="D496">
        <v>0</v>
      </c>
      <c r="E496">
        <v>19</v>
      </c>
      <c r="F496" t="s">
        <v>621</v>
      </c>
      <c r="G496">
        <v>18</v>
      </c>
      <c r="H496" t="s">
        <v>18</v>
      </c>
      <c r="I496">
        <v>32</v>
      </c>
      <c r="J496">
        <v>31.2</v>
      </c>
      <c r="K496">
        <v>0</v>
      </c>
      <c r="L496">
        <v>0</v>
      </c>
      <c r="M496">
        <v>18</v>
      </c>
      <c r="N496" t="s">
        <v>129</v>
      </c>
    </row>
    <row r="497" spans="1:14" x14ac:dyDescent="0.35">
      <c r="A497" t="s">
        <v>617</v>
      </c>
      <c r="B497" t="s">
        <v>622</v>
      </c>
      <c r="C497" t="s">
        <v>29</v>
      </c>
      <c r="D497">
        <v>0</v>
      </c>
      <c r="E497">
        <v>19</v>
      </c>
      <c r="F497" t="s">
        <v>433</v>
      </c>
      <c r="G497">
        <v>18</v>
      </c>
      <c r="H497" t="s">
        <v>18</v>
      </c>
      <c r="I497">
        <v>64</v>
      </c>
      <c r="J497">
        <v>21.6</v>
      </c>
      <c r="K497">
        <v>2</v>
      </c>
      <c r="L497">
        <v>2</v>
      </c>
      <c r="M497">
        <v>20</v>
      </c>
      <c r="N497" t="s">
        <v>128</v>
      </c>
    </row>
    <row r="498" spans="1:14" x14ac:dyDescent="0.35">
      <c r="A498" t="s">
        <v>617</v>
      </c>
      <c r="B498" t="s">
        <v>584</v>
      </c>
      <c r="C498" t="s">
        <v>16</v>
      </c>
      <c r="D498">
        <v>1</v>
      </c>
      <c r="E498">
        <v>22</v>
      </c>
      <c r="F498" t="s">
        <v>137</v>
      </c>
      <c r="G498">
        <v>18</v>
      </c>
      <c r="H498" t="s">
        <v>18</v>
      </c>
      <c r="I498">
        <v>24</v>
      </c>
      <c r="J498">
        <v>34</v>
      </c>
      <c r="K498">
        <v>3</v>
      </c>
      <c r="L498">
        <v>3</v>
      </c>
      <c r="M498">
        <v>21</v>
      </c>
      <c r="N498" t="s">
        <v>321</v>
      </c>
    </row>
    <row r="499" spans="1:14" x14ac:dyDescent="0.35">
      <c r="A499" t="s">
        <v>617</v>
      </c>
      <c r="B499" t="s">
        <v>126</v>
      </c>
      <c r="C499" t="s">
        <v>16</v>
      </c>
      <c r="D499">
        <v>5</v>
      </c>
      <c r="E499">
        <v>15</v>
      </c>
      <c r="F499" t="s">
        <v>320</v>
      </c>
      <c r="G499">
        <v>18</v>
      </c>
      <c r="H499" t="s">
        <v>18</v>
      </c>
      <c r="I499">
        <v>4</v>
      </c>
      <c r="J499">
        <v>27.9</v>
      </c>
      <c r="K499">
        <v>4</v>
      </c>
      <c r="L499">
        <v>3</v>
      </c>
      <c r="M499">
        <v>21</v>
      </c>
      <c r="N499" t="s">
        <v>151</v>
      </c>
    </row>
    <row r="500" spans="1:14" x14ac:dyDescent="0.35">
      <c r="A500" t="s">
        <v>617</v>
      </c>
      <c r="B500" t="s">
        <v>129</v>
      </c>
      <c r="C500" t="s">
        <v>16</v>
      </c>
      <c r="D500">
        <v>2</v>
      </c>
      <c r="E500">
        <v>18</v>
      </c>
      <c r="F500" t="s">
        <v>324</v>
      </c>
      <c r="G500">
        <v>18</v>
      </c>
      <c r="H500" t="s">
        <v>18</v>
      </c>
      <c r="I500">
        <v>5</v>
      </c>
      <c r="J500">
        <v>28.7</v>
      </c>
      <c r="K500">
        <v>3</v>
      </c>
      <c r="L500">
        <v>2</v>
      </c>
      <c r="M500">
        <v>20</v>
      </c>
      <c r="N500" t="s">
        <v>438</v>
      </c>
    </row>
    <row r="501" spans="1:14" x14ac:dyDescent="0.35">
      <c r="A501" t="s">
        <v>617</v>
      </c>
      <c r="B501" t="s">
        <v>431</v>
      </c>
      <c r="C501" t="s">
        <v>29</v>
      </c>
      <c r="D501">
        <v>1</v>
      </c>
      <c r="E501">
        <v>17</v>
      </c>
      <c r="F501" t="s">
        <v>138</v>
      </c>
      <c r="G501">
        <v>18</v>
      </c>
      <c r="H501" t="s">
        <v>18</v>
      </c>
      <c r="I501">
        <v>32</v>
      </c>
      <c r="J501">
        <v>26.8</v>
      </c>
      <c r="K501">
        <v>2</v>
      </c>
      <c r="L501">
        <v>3</v>
      </c>
      <c r="M501">
        <v>21</v>
      </c>
      <c r="N501" t="s">
        <v>623</v>
      </c>
    </row>
    <row r="502" spans="1:14" x14ac:dyDescent="0.35">
      <c r="A502" t="s">
        <v>617</v>
      </c>
      <c r="B502" t="s">
        <v>525</v>
      </c>
      <c r="C502" t="s">
        <v>16</v>
      </c>
      <c r="D502">
        <v>2</v>
      </c>
      <c r="E502">
        <v>16</v>
      </c>
      <c r="F502" t="s">
        <v>141</v>
      </c>
      <c r="G502">
        <v>18</v>
      </c>
      <c r="H502" t="s">
        <v>18</v>
      </c>
      <c r="I502">
        <v>4</v>
      </c>
      <c r="J502">
        <v>27.7</v>
      </c>
      <c r="K502">
        <v>1</v>
      </c>
      <c r="L502">
        <v>4</v>
      </c>
      <c r="M502">
        <v>22</v>
      </c>
      <c r="N502" t="s">
        <v>152</v>
      </c>
    </row>
    <row r="503" spans="1:14" x14ac:dyDescent="0.35">
      <c r="A503" t="s">
        <v>617</v>
      </c>
      <c r="B503" t="s">
        <v>521</v>
      </c>
      <c r="C503" t="s">
        <v>16</v>
      </c>
      <c r="D503">
        <v>0</v>
      </c>
      <c r="E503">
        <v>21</v>
      </c>
      <c r="F503" t="s">
        <v>144</v>
      </c>
      <c r="G503">
        <v>18</v>
      </c>
      <c r="H503" t="s">
        <v>18</v>
      </c>
      <c r="I503">
        <v>4</v>
      </c>
      <c r="J503">
        <v>29.3</v>
      </c>
      <c r="K503">
        <v>2</v>
      </c>
      <c r="L503">
        <v>4</v>
      </c>
      <c r="M503">
        <v>22</v>
      </c>
      <c r="N503" t="s">
        <v>325</v>
      </c>
    </row>
    <row r="504" spans="1:14" x14ac:dyDescent="0.35">
      <c r="A504" t="s">
        <v>617</v>
      </c>
      <c r="B504" t="s">
        <v>526</v>
      </c>
      <c r="C504" t="s">
        <v>16</v>
      </c>
      <c r="D504">
        <v>3</v>
      </c>
      <c r="E504">
        <v>15</v>
      </c>
      <c r="F504" t="s">
        <v>155</v>
      </c>
      <c r="G504">
        <v>18</v>
      </c>
      <c r="H504" t="s">
        <v>18</v>
      </c>
      <c r="I504">
        <v>4</v>
      </c>
      <c r="J504">
        <v>31.9</v>
      </c>
      <c r="K504">
        <v>2</v>
      </c>
      <c r="L504">
        <v>3</v>
      </c>
      <c r="M504">
        <v>21</v>
      </c>
      <c r="N504" t="s">
        <v>159</v>
      </c>
    </row>
    <row r="505" spans="1:14" x14ac:dyDescent="0.35">
      <c r="A505" t="s">
        <v>617</v>
      </c>
      <c r="B505" t="s">
        <v>139</v>
      </c>
      <c r="C505" t="s">
        <v>29</v>
      </c>
      <c r="D505">
        <v>0</v>
      </c>
      <c r="E505">
        <v>19</v>
      </c>
      <c r="F505" t="s">
        <v>155</v>
      </c>
      <c r="G505">
        <v>18</v>
      </c>
      <c r="H505" t="s">
        <v>18</v>
      </c>
      <c r="I505">
        <v>11</v>
      </c>
      <c r="J505">
        <v>27.6</v>
      </c>
      <c r="K505">
        <v>2</v>
      </c>
      <c r="L505">
        <v>4</v>
      </c>
      <c r="M505">
        <v>22</v>
      </c>
      <c r="N505" t="s">
        <v>146</v>
      </c>
    </row>
    <row r="506" spans="1:14" x14ac:dyDescent="0.35">
      <c r="A506" t="s">
        <v>617</v>
      </c>
      <c r="B506" t="s">
        <v>524</v>
      </c>
      <c r="C506" t="s">
        <v>16</v>
      </c>
      <c r="D506">
        <v>0</v>
      </c>
      <c r="E506">
        <v>18</v>
      </c>
      <c r="F506" t="s">
        <v>321</v>
      </c>
      <c r="G506">
        <v>18</v>
      </c>
      <c r="H506" t="s">
        <v>18</v>
      </c>
      <c r="I506">
        <v>7</v>
      </c>
      <c r="J506">
        <v>25.1</v>
      </c>
      <c r="K506">
        <v>1</v>
      </c>
      <c r="L506">
        <v>1</v>
      </c>
      <c r="M506">
        <v>19</v>
      </c>
      <c r="N506" t="s">
        <v>156</v>
      </c>
    </row>
    <row r="507" spans="1:14" x14ac:dyDescent="0.35">
      <c r="A507" t="s">
        <v>617</v>
      </c>
      <c r="B507" t="s">
        <v>130</v>
      </c>
      <c r="C507" t="s">
        <v>16</v>
      </c>
      <c r="D507">
        <v>0</v>
      </c>
      <c r="E507">
        <v>19</v>
      </c>
      <c r="F507" t="s">
        <v>326</v>
      </c>
      <c r="G507">
        <v>18</v>
      </c>
      <c r="H507" t="s">
        <v>18</v>
      </c>
      <c r="I507">
        <v>12</v>
      </c>
      <c r="J507">
        <v>28.1</v>
      </c>
      <c r="K507">
        <v>4</v>
      </c>
      <c r="L507">
        <v>5</v>
      </c>
      <c r="M507">
        <v>23</v>
      </c>
      <c r="N507" t="s">
        <v>335</v>
      </c>
    </row>
    <row r="508" spans="1:14" x14ac:dyDescent="0.35">
      <c r="A508" t="s">
        <v>617</v>
      </c>
      <c r="B508" t="s">
        <v>524</v>
      </c>
      <c r="C508" t="s">
        <v>29</v>
      </c>
      <c r="D508">
        <v>1</v>
      </c>
      <c r="E508">
        <v>17</v>
      </c>
      <c r="F508" t="s">
        <v>440</v>
      </c>
      <c r="G508">
        <v>18</v>
      </c>
      <c r="H508" t="s">
        <v>18</v>
      </c>
      <c r="I508">
        <v>21</v>
      </c>
      <c r="J508">
        <v>22.5</v>
      </c>
      <c r="K508">
        <v>2</v>
      </c>
      <c r="L508">
        <v>4</v>
      </c>
      <c r="M508">
        <v>22</v>
      </c>
      <c r="N508" t="s">
        <v>153</v>
      </c>
    </row>
    <row r="509" spans="1:14" x14ac:dyDescent="0.35">
      <c r="A509" t="s">
        <v>617</v>
      </c>
      <c r="B509" t="s">
        <v>440</v>
      </c>
      <c r="C509" t="s">
        <v>16</v>
      </c>
      <c r="D509">
        <v>1</v>
      </c>
      <c r="E509">
        <v>22</v>
      </c>
      <c r="F509" t="s">
        <v>328</v>
      </c>
      <c r="G509">
        <v>18</v>
      </c>
      <c r="H509" t="s">
        <v>18</v>
      </c>
      <c r="I509">
        <v>12</v>
      </c>
      <c r="J509">
        <v>22.5</v>
      </c>
      <c r="K509">
        <v>0</v>
      </c>
      <c r="L509">
        <v>0</v>
      </c>
      <c r="M509">
        <v>18</v>
      </c>
      <c r="N509" t="s">
        <v>175</v>
      </c>
    </row>
    <row r="510" spans="1:14" x14ac:dyDescent="0.35">
      <c r="A510" t="s">
        <v>617</v>
      </c>
      <c r="B510" t="s">
        <v>150</v>
      </c>
      <c r="C510" t="s">
        <v>16</v>
      </c>
      <c r="D510">
        <v>5</v>
      </c>
      <c r="E510">
        <v>14</v>
      </c>
      <c r="F510" t="s">
        <v>441</v>
      </c>
      <c r="G510">
        <v>18</v>
      </c>
      <c r="H510" t="s">
        <v>18</v>
      </c>
      <c r="I510">
        <v>2</v>
      </c>
      <c r="J510">
        <v>28.9</v>
      </c>
      <c r="K510">
        <v>2</v>
      </c>
      <c r="L510">
        <v>3</v>
      </c>
      <c r="M510">
        <v>21</v>
      </c>
      <c r="N510" t="s">
        <v>449</v>
      </c>
    </row>
    <row r="511" spans="1:14" x14ac:dyDescent="0.35">
      <c r="A511" t="s">
        <v>617</v>
      </c>
      <c r="B511" t="s">
        <v>140</v>
      </c>
      <c r="C511" t="s">
        <v>29</v>
      </c>
      <c r="D511">
        <v>0</v>
      </c>
      <c r="E511">
        <v>14</v>
      </c>
      <c r="F511" t="s">
        <v>160</v>
      </c>
      <c r="G511">
        <v>14</v>
      </c>
      <c r="H511" t="s">
        <v>157</v>
      </c>
      <c r="I511">
        <v>15</v>
      </c>
      <c r="J511">
        <v>18.5</v>
      </c>
      <c r="K511">
        <v>2</v>
      </c>
      <c r="L511">
        <v>3</v>
      </c>
      <c r="M511">
        <v>17</v>
      </c>
      <c r="N511" t="s">
        <v>175</v>
      </c>
    </row>
    <row r="512" spans="1:14" x14ac:dyDescent="0.35">
      <c r="A512" t="s">
        <v>617</v>
      </c>
      <c r="B512" t="s">
        <v>160</v>
      </c>
      <c r="C512" t="s">
        <v>16</v>
      </c>
      <c r="D512">
        <v>1</v>
      </c>
      <c r="E512">
        <v>21</v>
      </c>
      <c r="F512" t="s">
        <v>331</v>
      </c>
      <c r="G512">
        <v>18</v>
      </c>
      <c r="H512" t="s">
        <v>18</v>
      </c>
      <c r="I512">
        <v>3</v>
      </c>
      <c r="J512">
        <v>26.1</v>
      </c>
      <c r="K512">
        <v>1</v>
      </c>
      <c r="L512">
        <v>4</v>
      </c>
      <c r="M512">
        <v>22</v>
      </c>
      <c r="N512" t="s">
        <v>330</v>
      </c>
    </row>
    <row r="513" spans="1:14" x14ac:dyDescent="0.35">
      <c r="A513" t="s">
        <v>617</v>
      </c>
      <c r="B513" t="s">
        <v>163</v>
      </c>
      <c r="C513" t="s">
        <v>16</v>
      </c>
      <c r="D513">
        <v>4</v>
      </c>
      <c r="E513">
        <v>16</v>
      </c>
      <c r="F513" t="s">
        <v>332</v>
      </c>
      <c r="G513">
        <v>18</v>
      </c>
      <c r="H513" t="s">
        <v>18</v>
      </c>
      <c r="I513">
        <v>3</v>
      </c>
      <c r="J513">
        <v>31.8</v>
      </c>
      <c r="K513">
        <v>2</v>
      </c>
      <c r="L513">
        <v>2</v>
      </c>
      <c r="M513">
        <v>20</v>
      </c>
      <c r="N513" t="s">
        <v>340</v>
      </c>
    </row>
    <row r="514" spans="1:14" x14ac:dyDescent="0.35">
      <c r="A514" t="s">
        <v>617</v>
      </c>
      <c r="B514" t="s">
        <v>166</v>
      </c>
      <c r="C514" t="s">
        <v>16</v>
      </c>
      <c r="D514">
        <v>2</v>
      </c>
      <c r="E514">
        <v>17</v>
      </c>
      <c r="F514" t="s">
        <v>335</v>
      </c>
      <c r="G514">
        <v>18</v>
      </c>
      <c r="H514" t="s">
        <v>18</v>
      </c>
      <c r="I514">
        <v>3</v>
      </c>
      <c r="J514">
        <v>25.4</v>
      </c>
      <c r="K514">
        <v>1</v>
      </c>
      <c r="L514">
        <v>4</v>
      </c>
      <c r="M514">
        <v>22</v>
      </c>
      <c r="N514" t="s">
        <v>181</v>
      </c>
    </row>
    <row r="515" spans="1:14" x14ac:dyDescent="0.35">
      <c r="A515" t="s">
        <v>617</v>
      </c>
      <c r="B515" t="s">
        <v>448</v>
      </c>
      <c r="C515" t="s">
        <v>16</v>
      </c>
      <c r="D515">
        <v>1</v>
      </c>
      <c r="E515">
        <v>21</v>
      </c>
      <c r="F515" t="s">
        <v>171</v>
      </c>
      <c r="G515">
        <v>18</v>
      </c>
      <c r="H515" t="s">
        <v>18</v>
      </c>
      <c r="I515">
        <v>3</v>
      </c>
      <c r="J515">
        <v>29.1</v>
      </c>
      <c r="K515">
        <v>4</v>
      </c>
      <c r="L515">
        <v>4</v>
      </c>
      <c r="M515">
        <v>22</v>
      </c>
      <c r="N515" t="s">
        <v>189</v>
      </c>
    </row>
    <row r="516" spans="1:14" x14ac:dyDescent="0.35">
      <c r="A516" t="s">
        <v>617</v>
      </c>
      <c r="B516" t="s">
        <v>163</v>
      </c>
      <c r="C516" t="s">
        <v>29</v>
      </c>
      <c r="D516">
        <v>0</v>
      </c>
      <c r="E516">
        <v>18</v>
      </c>
      <c r="F516" t="s">
        <v>528</v>
      </c>
      <c r="G516">
        <v>18</v>
      </c>
      <c r="H516" t="s">
        <v>18</v>
      </c>
      <c r="I516">
        <v>12</v>
      </c>
      <c r="J516">
        <v>26.9</v>
      </c>
      <c r="K516">
        <v>2</v>
      </c>
      <c r="L516">
        <v>6</v>
      </c>
      <c r="M516">
        <v>24</v>
      </c>
      <c r="N516" t="s">
        <v>170</v>
      </c>
    </row>
    <row r="517" spans="1:14" x14ac:dyDescent="0.35">
      <c r="A517" t="s">
        <v>617</v>
      </c>
      <c r="B517" t="s">
        <v>528</v>
      </c>
      <c r="C517" t="s">
        <v>16</v>
      </c>
      <c r="D517">
        <v>4</v>
      </c>
      <c r="E517">
        <v>16</v>
      </c>
      <c r="F517" t="s">
        <v>154</v>
      </c>
      <c r="G517">
        <v>18</v>
      </c>
      <c r="H517" t="s">
        <v>18</v>
      </c>
      <c r="I517">
        <v>5</v>
      </c>
      <c r="J517">
        <v>25.8</v>
      </c>
      <c r="K517">
        <v>0</v>
      </c>
      <c r="L517">
        <v>0</v>
      </c>
      <c r="M517">
        <v>18</v>
      </c>
      <c r="N517" t="s">
        <v>174</v>
      </c>
    </row>
    <row r="518" spans="1:14" x14ac:dyDescent="0.35">
      <c r="A518" t="s">
        <v>617</v>
      </c>
      <c r="B518" t="s">
        <v>176</v>
      </c>
      <c r="C518" t="s">
        <v>16</v>
      </c>
      <c r="D518">
        <v>2</v>
      </c>
      <c r="E518">
        <v>16</v>
      </c>
      <c r="F518" t="s">
        <v>339</v>
      </c>
      <c r="G518">
        <v>18</v>
      </c>
      <c r="H518" t="s">
        <v>18</v>
      </c>
      <c r="I518">
        <v>2</v>
      </c>
      <c r="J518">
        <v>25.8</v>
      </c>
      <c r="K518">
        <v>3</v>
      </c>
      <c r="L518">
        <v>4</v>
      </c>
      <c r="M518">
        <v>22</v>
      </c>
      <c r="N518" t="s">
        <v>338</v>
      </c>
    </row>
    <row r="519" spans="1:14" x14ac:dyDescent="0.35">
      <c r="A519" t="s">
        <v>617</v>
      </c>
      <c r="B519" t="s">
        <v>158</v>
      </c>
      <c r="C519" t="s">
        <v>29</v>
      </c>
      <c r="D519">
        <v>0</v>
      </c>
      <c r="E519">
        <v>11</v>
      </c>
      <c r="F519" t="s">
        <v>183</v>
      </c>
      <c r="G519">
        <v>11</v>
      </c>
      <c r="H519" t="s">
        <v>157</v>
      </c>
      <c r="I519">
        <v>15</v>
      </c>
      <c r="J519">
        <v>25.1</v>
      </c>
      <c r="K519">
        <v>4</v>
      </c>
      <c r="L519">
        <v>3</v>
      </c>
      <c r="M519">
        <v>14</v>
      </c>
      <c r="N519" t="s">
        <v>190</v>
      </c>
    </row>
    <row r="520" spans="1:14" x14ac:dyDescent="0.35">
      <c r="A520" t="s">
        <v>617</v>
      </c>
      <c r="B520" t="s">
        <v>529</v>
      </c>
      <c r="C520" t="s">
        <v>16</v>
      </c>
      <c r="D520">
        <v>0</v>
      </c>
      <c r="E520">
        <v>20</v>
      </c>
      <c r="F520" t="s">
        <v>530</v>
      </c>
      <c r="G520">
        <v>18</v>
      </c>
      <c r="H520" t="s">
        <v>18</v>
      </c>
      <c r="I520">
        <v>10</v>
      </c>
      <c r="J520">
        <v>28.4</v>
      </c>
      <c r="K520">
        <v>3</v>
      </c>
      <c r="L520">
        <v>4</v>
      </c>
      <c r="M520">
        <v>22</v>
      </c>
      <c r="N520" t="s">
        <v>453</v>
      </c>
    </row>
    <row r="521" spans="1:14" x14ac:dyDescent="0.35">
      <c r="A521" t="s">
        <v>617</v>
      </c>
      <c r="B521" t="s">
        <v>181</v>
      </c>
      <c r="C521" t="s">
        <v>16</v>
      </c>
      <c r="D521">
        <v>2</v>
      </c>
      <c r="E521">
        <v>16</v>
      </c>
      <c r="F521" t="s">
        <v>337</v>
      </c>
      <c r="G521">
        <v>18</v>
      </c>
      <c r="H521" t="s">
        <v>18</v>
      </c>
      <c r="I521">
        <v>9</v>
      </c>
      <c r="J521">
        <v>25.6</v>
      </c>
      <c r="K521">
        <v>4</v>
      </c>
      <c r="L521">
        <v>2</v>
      </c>
      <c r="M521">
        <v>20</v>
      </c>
      <c r="N521" t="s">
        <v>455</v>
      </c>
    </row>
    <row r="522" spans="1:14" x14ac:dyDescent="0.35">
      <c r="A522" t="s">
        <v>617</v>
      </c>
      <c r="B522" t="s">
        <v>164</v>
      </c>
      <c r="C522" t="s">
        <v>29</v>
      </c>
      <c r="D522">
        <v>0</v>
      </c>
      <c r="E522">
        <v>10</v>
      </c>
      <c r="F522" t="s">
        <v>338</v>
      </c>
      <c r="G522">
        <v>10</v>
      </c>
      <c r="H522" t="s">
        <v>157</v>
      </c>
      <c r="I522">
        <v>15</v>
      </c>
      <c r="J522">
        <v>20.399999999999999</v>
      </c>
      <c r="K522">
        <v>1</v>
      </c>
      <c r="L522">
        <v>4</v>
      </c>
      <c r="M522">
        <v>14</v>
      </c>
      <c r="N522" t="s">
        <v>185</v>
      </c>
    </row>
    <row r="523" spans="1:14" x14ac:dyDescent="0.35">
      <c r="A523" t="s">
        <v>617</v>
      </c>
      <c r="B523" t="s">
        <v>174</v>
      </c>
      <c r="C523" t="s">
        <v>16</v>
      </c>
      <c r="D523">
        <v>0</v>
      </c>
      <c r="E523">
        <v>15</v>
      </c>
      <c r="F523" t="s">
        <v>345</v>
      </c>
      <c r="G523">
        <v>15</v>
      </c>
      <c r="H523" t="s">
        <v>157</v>
      </c>
      <c r="I523">
        <v>15</v>
      </c>
      <c r="J523">
        <v>27.4</v>
      </c>
      <c r="K523">
        <v>1</v>
      </c>
      <c r="L523">
        <v>1</v>
      </c>
      <c r="M523">
        <v>16</v>
      </c>
      <c r="N523" t="s">
        <v>537</v>
      </c>
    </row>
    <row r="524" spans="1:14" x14ac:dyDescent="0.35">
      <c r="A524" t="s">
        <v>617</v>
      </c>
      <c r="B524" t="s">
        <v>624</v>
      </c>
      <c r="C524" t="s">
        <v>29</v>
      </c>
      <c r="D524">
        <v>0</v>
      </c>
      <c r="E524">
        <v>5</v>
      </c>
      <c r="F524" t="s">
        <v>625</v>
      </c>
      <c r="G524">
        <v>5</v>
      </c>
      <c r="H524" t="s">
        <v>157</v>
      </c>
      <c r="I524">
        <v>15</v>
      </c>
      <c r="J524">
        <v>22.6</v>
      </c>
      <c r="K524">
        <v>1</v>
      </c>
      <c r="L524">
        <v>0</v>
      </c>
      <c r="M524">
        <v>5</v>
      </c>
      <c r="N524" t="s">
        <v>537</v>
      </c>
    </row>
    <row r="525" spans="1:14" x14ac:dyDescent="0.35">
      <c r="A525" t="s">
        <v>617</v>
      </c>
      <c r="B525" t="s">
        <v>453</v>
      </c>
      <c r="C525" t="s">
        <v>16</v>
      </c>
      <c r="D525">
        <v>0</v>
      </c>
      <c r="E525">
        <v>18</v>
      </c>
      <c r="F525" t="s">
        <v>194</v>
      </c>
      <c r="G525">
        <v>18</v>
      </c>
      <c r="H525" t="s">
        <v>18</v>
      </c>
      <c r="I525">
        <v>12</v>
      </c>
      <c r="J525">
        <v>25.4</v>
      </c>
      <c r="K525">
        <v>0</v>
      </c>
      <c r="L525">
        <v>0</v>
      </c>
      <c r="M525">
        <v>18</v>
      </c>
      <c r="N525" t="s">
        <v>626</v>
      </c>
    </row>
    <row r="526" spans="1:14" x14ac:dyDescent="0.35">
      <c r="A526" t="s">
        <v>617</v>
      </c>
      <c r="B526" t="s">
        <v>185</v>
      </c>
      <c r="C526" t="s">
        <v>29</v>
      </c>
      <c r="D526">
        <v>0</v>
      </c>
      <c r="E526">
        <v>4</v>
      </c>
      <c r="F526" t="s">
        <v>452</v>
      </c>
      <c r="G526">
        <v>4</v>
      </c>
      <c r="H526" t="s">
        <v>157</v>
      </c>
      <c r="I526">
        <v>15</v>
      </c>
      <c r="J526">
        <v>22.5</v>
      </c>
      <c r="K526">
        <v>4</v>
      </c>
      <c r="L526">
        <v>2</v>
      </c>
      <c r="M526">
        <v>6</v>
      </c>
      <c r="N526" t="s">
        <v>350</v>
      </c>
    </row>
    <row r="527" spans="1:14" x14ac:dyDescent="0.35">
      <c r="A527" t="s">
        <v>617</v>
      </c>
      <c r="B527" t="s">
        <v>195</v>
      </c>
      <c r="C527" t="s">
        <v>16</v>
      </c>
      <c r="D527">
        <v>0</v>
      </c>
      <c r="E527">
        <v>10</v>
      </c>
      <c r="F527" t="s">
        <v>196</v>
      </c>
      <c r="G527">
        <v>10</v>
      </c>
      <c r="H527" t="s">
        <v>157</v>
      </c>
      <c r="I527">
        <v>15</v>
      </c>
      <c r="J527">
        <v>27.3</v>
      </c>
      <c r="K527">
        <v>4</v>
      </c>
      <c r="L527">
        <v>3</v>
      </c>
      <c r="M527">
        <v>13</v>
      </c>
      <c r="N527" t="s">
        <v>200</v>
      </c>
    </row>
    <row r="528" spans="1:14" x14ac:dyDescent="0.35">
      <c r="A528" t="s">
        <v>617</v>
      </c>
      <c r="B528" t="s">
        <v>346</v>
      </c>
      <c r="C528" t="s">
        <v>16</v>
      </c>
      <c r="D528">
        <v>0</v>
      </c>
      <c r="E528">
        <v>4</v>
      </c>
      <c r="F528" t="s">
        <v>627</v>
      </c>
      <c r="G528">
        <v>4</v>
      </c>
      <c r="H528" t="s">
        <v>157</v>
      </c>
      <c r="I528">
        <v>15</v>
      </c>
      <c r="J528">
        <v>29.9</v>
      </c>
      <c r="K528">
        <v>3</v>
      </c>
      <c r="L528">
        <v>2</v>
      </c>
      <c r="M528">
        <v>6</v>
      </c>
      <c r="N528" t="s">
        <v>203</v>
      </c>
    </row>
    <row r="529" spans="1:14" x14ac:dyDescent="0.35">
      <c r="A529" t="s">
        <v>617</v>
      </c>
      <c r="B529" t="s">
        <v>193</v>
      </c>
      <c r="C529" t="s">
        <v>29</v>
      </c>
      <c r="D529">
        <v>0</v>
      </c>
      <c r="E529">
        <v>5</v>
      </c>
      <c r="F529" t="s">
        <v>464</v>
      </c>
      <c r="G529">
        <v>5</v>
      </c>
      <c r="H529" t="s">
        <v>157</v>
      </c>
      <c r="I529">
        <v>15</v>
      </c>
      <c r="J529">
        <v>22.8</v>
      </c>
      <c r="K529">
        <v>1</v>
      </c>
      <c r="L529">
        <v>3</v>
      </c>
      <c r="M529">
        <v>8</v>
      </c>
      <c r="N529" t="s">
        <v>593</v>
      </c>
    </row>
    <row r="530" spans="1:14" x14ac:dyDescent="0.35">
      <c r="A530" t="s">
        <v>617</v>
      </c>
      <c r="B530" t="s">
        <v>202</v>
      </c>
      <c r="C530" t="s">
        <v>16</v>
      </c>
      <c r="D530">
        <v>0</v>
      </c>
      <c r="E530">
        <v>10</v>
      </c>
      <c r="F530" t="s">
        <v>628</v>
      </c>
      <c r="G530">
        <v>10</v>
      </c>
      <c r="H530" t="s">
        <v>157</v>
      </c>
      <c r="I530">
        <v>15</v>
      </c>
      <c r="J530">
        <v>30.5</v>
      </c>
      <c r="K530">
        <v>4</v>
      </c>
      <c r="L530">
        <v>1</v>
      </c>
      <c r="M530">
        <v>11</v>
      </c>
      <c r="N530" t="s">
        <v>596</v>
      </c>
    </row>
    <row r="531" spans="1:14" x14ac:dyDescent="0.35">
      <c r="A531" t="s">
        <v>617</v>
      </c>
      <c r="B531" t="s">
        <v>205</v>
      </c>
      <c r="C531" t="s">
        <v>16</v>
      </c>
      <c r="D531">
        <v>0</v>
      </c>
      <c r="E531">
        <v>11</v>
      </c>
      <c r="F531" t="s">
        <v>629</v>
      </c>
      <c r="G531">
        <v>11</v>
      </c>
      <c r="H531" t="s">
        <v>157</v>
      </c>
      <c r="I531">
        <v>15</v>
      </c>
      <c r="J531">
        <v>25.2</v>
      </c>
      <c r="K531">
        <v>4</v>
      </c>
      <c r="L531">
        <v>0</v>
      </c>
      <c r="M531">
        <v>11</v>
      </c>
      <c r="N531" t="s">
        <v>630</v>
      </c>
    </row>
    <row r="532" spans="1:14" x14ac:dyDescent="0.35">
      <c r="A532" t="s">
        <v>617</v>
      </c>
      <c r="B532" t="s">
        <v>358</v>
      </c>
      <c r="C532" t="s">
        <v>16</v>
      </c>
      <c r="D532">
        <v>0</v>
      </c>
      <c r="E532">
        <v>10</v>
      </c>
      <c r="F532" t="s">
        <v>631</v>
      </c>
      <c r="G532">
        <v>10</v>
      </c>
      <c r="H532" t="s">
        <v>157</v>
      </c>
      <c r="I532">
        <v>15</v>
      </c>
      <c r="J532">
        <v>25.2</v>
      </c>
      <c r="K532">
        <v>3</v>
      </c>
      <c r="L532">
        <v>0</v>
      </c>
      <c r="M532">
        <v>10</v>
      </c>
      <c r="N532" t="s">
        <v>212</v>
      </c>
    </row>
    <row r="533" spans="1:14" x14ac:dyDescent="0.35">
      <c r="A533" t="s">
        <v>617</v>
      </c>
      <c r="B533" t="s">
        <v>632</v>
      </c>
      <c r="C533" t="s">
        <v>16</v>
      </c>
      <c r="D533">
        <v>0</v>
      </c>
      <c r="E533">
        <v>10</v>
      </c>
      <c r="F533" t="s">
        <v>597</v>
      </c>
      <c r="G533">
        <v>10</v>
      </c>
      <c r="H533" t="s">
        <v>157</v>
      </c>
      <c r="I533">
        <v>15</v>
      </c>
      <c r="J533">
        <v>31.7</v>
      </c>
      <c r="K533">
        <v>2</v>
      </c>
      <c r="L533">
        <v>1</v>
      </c>
      <c r="M533">
        <v>11</v>
      </c>
      <c r="N533" t="s">
        <v>633</v>
      </c>
    </row>
    <row r="534" spans="1:14" x14ac:dyDescent="0.35">
      <c r="A534" t="s">
        <v>617</v>
      </c>
      <c r="B534" t="s">
        <v>214</v>
      </c>
      <c r="C534" t="s">
        <v>16</v>
      </c>
      <c r="D534">
        <v>0</v>
      </c>
      <c r="E534">
        <v>10</v>
      </c>
      <c r="F534" t="s">
        <v>367</v>
      </c>
      <c r="G534">
        <v>10</v>
      </c>
      <c r="H534" t="s">
        <v>157</v>
      </c>
      <c r="I534">
        <v>15</v>
      </c>
      <c r="J534">
        <v>31.5</v>
      </c>
      <c r="K534">
        <v>3</v>
      </c>
      <c r="L534">
        <v>0</v>
      </c>
      <c r="M534">
        <v>10</v>
      </c>
      <c r="N534" t="s">
        <v>218</v>
      </c>
    </row>
    <row r="535" spans="1:14" x14ac:dyDescent="0.35">
      <c r="A535" t="s">
        <v>617</v>
      </c>
      <c r="B535" t="s">
        <v>217</v>
      </c>
      <c r="C535" t="s">
        <v>16</v>
      </c>
      <c r="D535">
        <v>0</v>
      </c>
      <c r="E535">
        <v>17</v>
      </c>
      <c r="F535" t="s">
        <v>634</v>
      </c>
      <c r="G535">
        <v>17</v>
      </c>
      <c r="H535" t="s">
        <v>157</v>
      </c>
      <c r="I535">
        <v>15</v>
      </c>
      <c r="J535">
        <v>31.2</v>
      </c>
      <c r="K535">
        <v>0</v>
      </c>
      <c r="L535">
        <v>0</v>
      </c>
      <c r="M535">
        <v>17</v>
      </c>
      <c r="N535" t="s">
        <v>635</v>
      </c>
    </row>
    <row r="536" spans="1:14" x14ac:dyDescent="0.35">
      <c r="A536" t="s">
        <v>617</v>
      </c>
      <c r="B536" t="s">
        <v>469</v>
      </c>
      <c r="C536" t="s">
        <v>16</v>
      </c>
      <c r="D536">
        <v>0</v>
      </c>
      <c r="E536">
        <v>10</v>
      </c>
      <c r="F536" t="s">
        <v>371</v>
      </c>
      <c r="G536">
        <v>10</v>
      </c>
      <c r="H536" t="s">
        <v>157</v>
      </c>
      <c r="I536">
        <v>15</v>
      </c>
      <c r="J536">
        <v>23.3</v>
      </c>
      <c r="K536">
        <v>3</v>
      </c>
      <c r="L536">
        <v>1</v>
      </c>
      <c r="M536">
        <v>11</v>
      </c>
      <c r="N536" t="s">
        <v>605</v>
      </c>
    </row>
    <row r="537" spans="1:14" x14ac:dyDescent="0.35">
      <c r="A537" t="s">
        <v>617</v>
      </c>
      <c r="B537" t="s">
        <v>376</v>
      </c>
      <c r="C537" t="s">
        <v>16</v>
      </c>
      <c r="D537">
        <v>0</v>
      </c>
      <c r="E537">
        <v>13</v>
      </c>
      <c r="F537" t="s">
        <v>228</v>
      </c>
      <c r="G537">
        <v>13</v>
      </c>
      <c r="H537" t="s">
        <v>157</v>
      </c>
      <c r="I537">
        <v>15</v>
      </c>
      <c r="J537">
        <v>28.5</v>
      </c>
      <c r="K537">
        <v>3</v>
      </c>
      <c r="L537">
        <v>2</v>
      </c>
      <c r="M537">
        <v>15</v>
      </c>
      <c r="N537" t="s">
        <v>636</v>
      </c>
    </row>
    <row r="538" spans="1:14" x14ac:dyDescent="0.35">
      <c r="A538" t="s">
        <v>617</v>
      </c>
      <c r="B538" t="s">
        <v>379</v>
      </c>
      <c r="C538" t="s">
        <v>16</v>
      </c>
      <c r="D538">
        <v>0</v>
      </c>
      <c r="E538">
        <v>16</v>
      </c>
      <c r="F538" t="s">
        <v>231</v>
      </c>
      <c r="G538">
        <v>16</v>
      </c>
      <c r="H538" t="s">
        <v>157</v>
      </c>
      <c r="I538">
        <v>15</v>
      </c>
      <c r="J538">
        <v>24</v>
      </c>
      <c r="K538">
        <v>3</v>
      </c>
      <c r="L538">
        <v>1</v>
      </c>
      <c r="M538">
        <v>17</v>
      </c>
      <c r="N538" t="s">
        <v>608</v>
      </c>
    </row>
    <row r="539" spans="1:14" x14ac:dyDescent="0.35">
      <c r="A539" t="s">
        <v>617</v>
      </c>
      <c r="B539" t="s">
        <v>383</v>
      </c>
      <c r="C539" t="s">
        <v>16</v>
      </c>
      <c r="D539">
        <v>0</v>
      </c>
      <c r="E539">
        <v>15</v>
      </c>
      <c r="F539" t="s">
        <v>234</v>
      </c>
      <c r="G539">
        <v>15</v>
      </c>
      <c r="H539" t="s">
        <v>157</v>
      </c>
      <c r="I539">
        <v>15</v>
      </c>
      <c r="J539">
        <v>21.7</v>
      </c>
      <c r="K539">
        <v>2</v>
      </c>
      <c r="L539">
        <v>3</v>
      </c>
      <c r="M539">
        <v>18</v>
      </c>
      <c r="N539" t="s">
        <v>563</v>
      </c>
    </row>
    <row r="540" spans="1:14" x14ac:dyDescent="0.35">
      <c r="A540" t="s">
        <v>617</v>
      </c>
      <c r="B540" t="s">
        <v>230</v>
      </c>
      <c r="C540" t="s">
        <v>16</v>
      </c>
      <c r="D540">
        <v>0</v>
      </c>
      <c r="E540">
        <v>8</v>
      </c>
      <c r="F540" t="s">
        <v>561</v>
      </c>
      <c r="G540">
        <v>8</v>
      </c>
      <c r="H540" t="s">
        <v>157</v>
      </c>
      <c r="I540">
        <v>15</v>
      </c>
      <c r="J540">
        <v>28.8</v>
      </c>
      <c r="K540">
        <v>0</v>
      </c>
      <c r="L540">
        <v>0</v>
      </c>
      <c r="M540">
        <v>8</v>
      </c>
      <c r="N540" t="s">
        <v>637</v>
      </c>
    </row>
    <row r="541" spans="1:14" x14ac:dyDescent="0.35">
      <c r="A541" t="s">
        <v>617</v>
      </c>
      <c r="B541" t="s">
        <v>609</v>
      </c>
      <c r="C541" t="s">
        <v>16</v>
      </c>
      <c r="D541">
        <v>0</v>
      </c>
      <c r="E541">
        <v>11</v>
      </c>
      <c r="F541" t="s">
        <v>565</v>
      </c>
      <c r="G541">
        <v>11</v>
      </c>
      <c r="H541" t="s">
        <v>157</v>
      </c>
      <c r="I541">
        <v>15</v>
      </c>
      <c r="J541">
        <v>33.700000000000003</v>
      </c>
      <c r="K541">
        <v>2</v>
      </c>
      <c r="L541">
        <v>1</v>
      </c>
      <c r="M541">
        <v>12</v>
      </c>
      <c r="N541" t="s">
        <v>638</v>
      </c>
    </row>
    <row r="542" spans="1:14" x14ac:dyDescent="0.35">
      <c r="A542" t="s">
        <v>617</v>
      </c>
      <c r="B542" t="s">
        <v>611</v>
      </c>
      <c r="C542" t="s">
        <v>16</v>
      </c>
      <c r="D542">
        <v>0</v>
      </c>
      <c r="E542">
        <v>15</v>
      </c>
      <c r="F542" t="s">
        <v>639</v>
      </c>
      <c r="G542">
        <v>15</v>
      </c>
      <c r="H542" t="s">
        <v>157</v>
      </c>
      <c r="I542">
        <v>15</v>
      </c>
      <c r="J542">
        <v>25.4</v>
      </c>
      <c r="K542">
        <v>4</v>
      </c>
      <c r="L542">
        <v>2</v>
      </c>
      <c r="M542">
        <v>17</v>
      </c>
      <c r="N542" t="s">
        <v>247</v>
      </c>
    </row>
    <row r="543" spans="1:14" x14ac:dyDescent="0.35">
      <c r="A543" t="s">
        <v>617</v>
      </c>
      <c r="B543" t="s">
        <v>567</v>
      </c>
      <c r="C543" t="s">
        <v>16</v>
      </c>
      <c r="D543">
        <v>0</v>
      </c>
      <c r="E543">
        <v>14</v>
      </c>
      <c r="F543" t="s">
        <v>242</v>
      </c>
      <c r="G543">
        <v>14</v>
      </c>
      <c r="H543" t="s">
        <v>157</v>
      </c>
      <c r="I543">
        <v>15</v>
      </c>
      <c r="J543">
        <v>27.2</v>
      </c>
      <c r="K543">
        <v>3</v>
      </c>
      <c r="L543">
        <v>1</v>
      </c>
      <c r="M543">
        <v>15</v>
      </c>
      <c r="N543" t="s">
        <v>250</v>
      </c>
    </row>
    <row r="544" spans="1:14" x14ac:dyDescent="0.35">
      <c r="A544" t="s">
        <v>617</v>
      </c>
      <c r="B544" t="s">
        <v>615</v>
      </c>
      <c r="C544" t="s">
        <v>16</v>
      </c>
      <c r="D544">
        <v>0</v>
      </c>
      <c r="E544">
        <v>15</v>
      </c>
      <c r="F544" t="s">
        <v>613</v>
      </c>
      <c r="G544">
        <v>15</v>
      </c>
      <c r="H544" t="s">
        <v>157</v>
      </c>
      <c r="I544">
        <v>15</v>
      </c>
      <c r="J544">
        <v>26.2</v>
      </c>
      <c r="K544">
        <v>1</v>
      </c>
      <c r="L544">
        <v>3</v>
      </c>
      <c r="M544">
        <v>18</v>
      </c>
      <c r="N544" t="s">
        <v>640</v>
      </c>
    </row>
    <row r="545" spans="1:14" x14ac:dyDescent="0.35">
      <c r="A545" t="s">
        <v>617</v>
      </c>
      <c r="B545" t="s">
        <v>641</v>
      </c>
      <c r="C545" t="s">
        <v>16</v>
      </c>
      <c r="D545">
        <v>0</v>
      </c>
      <c r="E545">
        <v>11</v>
      </c>
      <c r="F545" t="s">
        <v>614</v>
      </c>
      <c r="G545">
        <v>11</v>
      </c>
      <c r="H545" t="s">
        <v>157</v>
      </c>
      <c r="I545">
        <v>15</v>
      </c>
      <c r="J545">
        <v>28.5</v>
      </c>
      <c r="K545">
        <v>2</v>
      </c>
      <c r="L545">
        <v>2</v>
      </c>
      <c r="M545">
        <v>13</v>
      </c>
      <c r="N545" t="s">
        <v>642</v>
      </c>
    </row>
    <row r="546" spans="1:14" x14ac:dyDescent="0.35">
      <c r="A546" t="s">
        <v>643</v>
      </c>
      <c r="B546" t="s">
        <v>15</v>
      </c>
      <c r="C546" t="s">
        <v>16</v>
      </c>
      <c r="D546">
        <v>0</v>
      </c>
      <c r="E546">
        <v>22</v>
      </c>
      <c r="F546" t="s">
        <v>254</v>
      </c>
      <c r="G546">
        <v>18</v>
      </c>
      <c r="H546" t="s">
        <v>18</v>
      </c>
      <c r="I546">
        <v>5</v>
      </c>
      <c r="J546">
        <v>28.7</v>
      </c>
      <c r="K546">
        <v>2</v>
      </c>
      <c r="L546">
        <v>4</v>
      </c>
      <c r="M546">
        <v>22</v>
      </c>
      <c r="N546" t="s">
        <v>403</v>
      </c>
    </row>
    <row r="547" spans="1:14" x14ac:dyDescent="0.35">
      <c r="A547" t="s">
        <v>643</v>
      </c>
      <c r="B547" t="s">
        <v>21</v>
      </c>
      <c r="C547" t="s">
        <v>16</v>
      </c>
      <c r="D547">
        <v>4</v>
      </c>
      <c r="E547">
        <v>17</v>
      </c>
      <c r="F547" t="s">
        <v>404</v>
      </c>
      <c r="G547">
        <v>18</v>
      </c>
      <c r="H547" t="s">
        <v>18</v>
      </c>
      <c r="I547">
        <v>3</v>
      </c>
      <c r="J547">
        <v>28.6</v>
      </c>
      <c r="K547">
        <v>3</v>
      </c>
      <c r="L547">
        <v>4</v>
      </c>
      <c r="M547">
        <v>22</v>
      </c>
      <c r="N547" t="s">
        <v>25</v>
      </c>
    </row>
    <row r="548" spans="1:14" x14ac:dyDescent="0.35">
      <c r="A548" t="s">
        <v>643</v>
      </c>
      <c r="B548" t="s">
        <v>24</v>
      </c>
      <c r="C548" t="s">
        <v>16</v>
      </c>
      <c r="D548">
        <v>3</v>
      </c>
      <c r="E548">
        <v>19</v>
      </c>
      <c r="F548" t="s">
        <v>256</v>
      </c>
      <c r="G548">
        <v>18</v>
      </c>
      <c r="H548" t="s">
        <v>18</v>
      </c>
      <c r="I548">
        <v>3</v>
      </c>
      <c r="J548">
        <v>26.3</v>
      </c>
      <c r="K548">
        <v>1</v>
      </c>
      <c r="L548">
        <v>4</v>
      </c>
      <c r="M548">
        <v>22</v>
      </c>
      <c r="N548" t="s">
        <v>264</v>
      </c>
    </row>
    <row r="549" spans="1:14" x14ac:dyDescent="0.35">
      <c r="A549" t="s">
        <v>643</v>
      </c>
      <c r="B549" t="s">
        <v>263</v>
      </c>
      <c r="C549" t="s">
        <v>16</v>
      </c>
      <c r="D549">
        <v>4</v>
      </c>
      <c r="E549">
        <v>16</v>
      </c>
      <c r="F549" t="s">
        <v>27</v>
      </c>
      <c r="G549">
        <v>18</v>
      </c>
      <c r="H549" t="s">
        <v>18</v>
      </c>
      <c r="I549">
        <v>2</v>
      </c>
      <c r="J549">
        <v>27.5</v>
      </c>
      <c r="K549">
        <v>3</v>
      </c>
      <c r="L549">
        <v>4</v>
      </c>
      <c r="M549">
        <v>22</v>
      </c>
      <c r="N549" t="s">
        <v>408</v>
      </c>
    </row>
    <row r="550" spans="1:14" x14ac:dyDescent="0.35">
      <c r="A550" t="s">
        <v>643</v>
      </c>
      <c r="B550" t="s">
        <v>15</v>
      </c>
      <c r="C550" t="s">
        <v>29</v>
      </c>
      <c r="D550">
        <v>0</v>
      </c>
      <c r="E550">
        <v>18</v>
      </c>
      <c r="F550" t="s">
        <v>30</v>
      </c>
      <c r="G550">
        <v>18</v>
      </c>
      <c r="H550" t="s">
        <v>18</v>
      </c>
      <c r="I550">
        <v>17</v>
      </c>
      <c r="J550">
        <v>21.3</v>
      </c>
      <c r="K550">
        <v>2</v>
      </c>
      <c r="L550">
        <v>4</v>
      </c>
      <c r="M550">
        <v>22</v>
      </c>
      <c r="N550" t="s">
        <v>501</v>
      </c>
    </row>
    <row r="551" spans="1:14" x14ac:dyDescent="0.35">
      <c r="A551" t="s">
        <v>643</v>
      </c>
      <c r="B551" t="s">
        <v>30</v>
      </c>
      <c r="C551" t="s">
        <v>16</v>
      </c>
      <c r="D551">
        <v>2</v>
      </c>
      <c r="E551">
        <v>17</v>
      </c>
      <c r="F551" t="s">
        <v>260</v>
      </c>
      <c r="G551">
        <v>18</v>
      </c>
      <c r="H551" t="s">
        <v>18</v>
      </c>
      <c r="I551">
        <v>2</v>
      </c>
      <c r="J551">
        <v>30.4</v>
      </c>
      <c r="K551">
        <v>4</v>
      </c>
      <c r="L551">
        <v>4</v>
      </c>
      <c r="M551">
        <v>22</v>
      </c>
      <c r="N551" t="s">
        <v>37</v>
      </c>
    </row>
    <row r="552" spans="1:14" x14ac:dyDescent="0.35">
      <c r="A552" t="s">
        <v>643</v>
      </c>
      <c r="B552" t="s">
        <v>31</v>
      </c>
      <c r="C552" t="s">
        <v>16</v>
      </c>
      <c r="D552">
        <v>1</v>
      </c>
      <c r="E552">
        <v>19</v>
      </c>
      <c r="F552" t="s">
        <v>406</v>
      </c>
      <c r="G552">
        <v>18</v>
      </c>
      <c r="H552" t="s">
        <v>18</v>
      </c>
      <c r="I552">
        <v>3</v>
      </c>
      <c r="J552">
        <v>28.7</v>
      </c>
      <c r="K552">
        <v>2</v>
      </c>
      <c r="L552">
        <v>4</v>
      </c>
      <c r="M552">
        <v>22</v>
      </c>
      <c r="N552" t="s">
        <v>32</v>
      </c>
    </row>
    <row r="553" spans="1:14" x14ac:dyDescent="0.35">
      <c r="A553" t="s">
        <v>643</v>
      </c>
      <c r="B553" t="s">
        <v>261</v>
      </c>
      <c r="C553" t="s">
        <v>16</v>
      </c>
      <c r="D553">
        <v>2</v>
      </c>
      <c r="E553">
        <v>19</v>
      </c>
      <c r="F553" t="s">
        <v>50</v>
      </c>
      <c r="G553">
        <v>18</v>
      </c>
      <c r="H553" t="s">
        <v>18</v>
      </c>
      <c r="I553">
        <v>4</v>
      </c>
      <c r="J553">
        <v>28.8</v>
      </c>
      <c r="K553">
        <v>2</v>
      </c>
      <c r="L553">
        <v>3</v>
      </c>
      <c r="M553">
        <v>21</v>
      </c>
      <c r="N553" t="s">
        <v>498</v>
      </c>
    </row>
    <row r="554" spans="1:14" x14ac:dyDescent="0.35">
      <c r="A554" t="s">
        <v>643</v>
      </c>
      <c r="B554" t="s">
        <v>499</v>
      </c>
      <c r="C554" t="s">
        <v>29</v>
      </c>
      <c r="D554">
        <v>0</v>
      </c>
      <c r="E554">
        <v>18</v>
      </c>
      <c r="F554" t="s">
        <v>39</v>
      </c>
      <c r="G554">
        <v>18</v>
      </c>
      <c r="H554" t="s">
        <v>18</v>
      </c>
      <c r="I554">
        <v>11</v>
      </c>
      <c r="J554">
        <v>24.3</v>
      </c>
      <c r="K554">
        <v>1</v>
      </c>
      <c r="L554">
        <v>3</v>
      </c>
      <c r="M554">
        <v>21</v>
      </c>
      <c r="N554" t="s">
        <v>35</v>
      </c>
    </row>
    <row r="555" spans="1:14" x14ac:dyDescent="0.35">
      <c r="A555" t="s">
        <v>643</v>
      </c>
      <c r="B555" t="s">
        <v>39</v>
      </c>
      <c r="C555" t="s">
        <v>16</v>
      </c>
      <c r="D555">
        <v>3</v>
      </c>
      <c r="E555">
        <v>16</v>
      </c>
      <c r="F555" t="s">
        <v>255</v>
      </c>
      <c r="G555">
        <v>18</v>
      </c>
      <c r="H555" t="s">
        <v>18</v>
      </c>
      <c r="I555">
        <v>11</v>
      </c>
      <c r="J555">
        <v>25.8</v>
      </c>
      <c r="K555">
        <v>2</v>
      </c>
      <c r="L555">
        <v>3</v>
      </c>
      <c r="M555">
        <v>21</v>
      </c>
      <c r="N555" t="s">
        <v>265</v>
      </c>
    </row>
    <row r="556" spans="1:14" x14ac:dyDescent="0.35">
      <c r="A556" t="s">
        <v>643</v>
      </c>
      <c r="B556" t="s">
        <v>28</v>
      </c>
      <c r="C556" t="s">
        <v>16</v>
      </c>
      <c r="D556">
        <v>1</v>
      </c>
      <c r="E556">
        <v>20</v>
      </c>
      <c r="F556" t="s">
        <v>40</v>
      </c>
      <c r="G556">
        <v>18</v>
      </c>
      <c r="H556" t="s">
        <v>18</v>
      </c>
      <c r="I556">
        <v>14</v>
      </c>
      <c r="J556">
        <v>28.9</v>
      </c>
      <c r="K556">
        <v>3</v>
      </c>
      <c r="L556">
        <v>3</v>
      </c>
      <c r="M556">
        <v>21</v>
      </c>
      <c r="N556" t="s">
        <v>46</v>
      </c>
    </row>
    <row r="557" spans="1:14" x14ac:dyDescent="0.35">
      <c r="A557" t="s">
        <v>643</v>
      </c>
      <c r="B557" t="s">
        <v>41</v>
      </c>
      <c r="C557" t="s">
        <v>29</v>
      </c>
      <c r="D557">
        <v>0</v>
      </c>
      <c r="E557">
        <v>18</v>
      </c>
      <c r="F557" t="s">
        <v>40</v>
      </c>
      <c r="G557">
        <v>18</v>
      </c>
      <c r="H557" t="s">
        <v>18</v>
      </c>
      <c r="I557">
        <v>25</v>
      </c>
      <c r="J557">
        <v>21.8</v>
      </c>
      <c r="K557">
        <v>4</v>
      </c>
      <c r="L557">
        <v>4</v>
      </c>
      <c r="M557">
        <v>22</v>
      </c>
      <c r="N557" t="s">
        <v>59</v>
      </c>
    </row>
    <row r="558" spans="1:14" x14ac:dyDescent="0.35">
      <c r="A558" t="s">
        <v>643</v>
      </c>
      <c r="B558" t="s">
        <v>498</v>
      </c>
      <c r="C558" t="s">
        <v>16</v>
      </c>
      <c r="D558">
        <v>3</v>
      </c>
      <c r="E558">
        <v>18</v>
      </c>
      <c r="F558" t="s">
        <v>269</v>
      </c>
      <c r="G558">
        <v>18</v>
      </c>
      <c r="H558" t="s">
        <v>18</v>
      </c>
      <c r="I558">
        <v>6</v>
      </c>
      <c r="J558">
        <v>28.7</v>
      </c>
      <c r="K558">
        <v>0</v>
      </c>
      <c r="L558">
        <v>0</v>
      </c>
      <c r="M558">
        <v>18</v>
      </c>
      <c r="N558" t="s">
        <v>280</v>
      </c>
    </row>
    <row r="559" spans="1:14" x14ac:dyDescent="0.35">
      <c r="A559" t="s">
        <v>643</v>
      </c>
      <c r="B559" t="s">
        <v>48</v>
      </c>
      <c r="C559" t="s">
        <v>16</v>
      </c>
      <c r="D559">
        <v>3</v>
      </c>
      <c r="E559">
        <v>19</v>
      </c>
      <c r="F559" t="s">
        <v>270</v>
      </c>
      <c r="G559">
        <v>18</v>
      </c>
      <c r="H559" t="s">
        <v>18</v>
      </c>
      <c r="I559">
        <v>4</v>
      </c>
      <c r="J559">
        <v>23.8</v>
      </c>
      <c r="K559">
        <v>0</v>
      </c>
      <c r="L559">
        <v>0</v>
      </c>
      <c r="M559">
        <v>18</v>
      </c>
      <c r="N559" t="s">
        <v>280</v>
      </c>
    </row>
    <row r="560" spans="1:14" x14ac:dyDescent="0.35">
      <c r="A560" t="s">
        <v>643</v>
      </c>
      <c r="B560" t="s">
        <v>272</v>
      </c>
      <c r="C560" t="s">
        <v>16</v>
      </c>
      <c r="D560">
        <v>4</v>
      </c>
      <c r="E560">
        <v>16</v>
      </c>
      <c r="F560" t="s">
        <v>273</v>
      </c>
      <c r="G560">
        <v>18</v>
      </c>
      <c r="H560" t="s">
        <v>18</v>
      </c>
      <c r="I560">
        <v>3</v>
      </c>
      <c r="J560">
        <v>24.7</v>
      </c>
      <c r="K560">
        <v>4</v>
      </c>
      <c r="L560">
        <v>4</v>
      </c>
      <c r="M560">
        <v>22</v>
      </c>
      <c r="N560" t="s">
        <v>58</v>
      </c>
    </row>
    <row r="561" spans="1:14" x14ac:dyDescent="0.35">
      <c r="A561" t="s">
        <v>643</v>
      </c>
      <c r="B561" t="s">
        <v>56</v>
      </c>
      <c r="C561" t="s">
        <v>16</v>
      </c>
      <c r="D561">
        <v>2</v>
      </c>
      <c r="E561">
        <v>16</v>
      </c>
      <c r="F561" t="s">
        <v>274</v>
      </c>
      <c r="G561">
        <v>18</v>
      </c>
      <c r="H561" t="s">
        <v>18</v>
      </c>
      <c r="I561">
        <v>3</v>
      </c>
      <c r="J561">
        <v>30.3</v>
      </c>
      <c r="K561">
        <v>1</v>
      </c>
      <c r="L561">
        <v>4</v>
      </c>
      <c r="M561">
        <v>22</v>
      </c>
      <c r="N561" t="s">
        <v>72</v>
      </c>
    </row>
    <row r="562" spans="1:14" x14ac:dyDescent="0.35">
      <c r="A562" t="s">
        <v>643</v>
      </c>
      <c r="B562" t="s">
        <v>47</v>
      </c>
      <c r="C562" t="s">
        <v>29</v>
      </c>
      <c r="D562">
        <v>0</v>
      </c>
      <c r="E562">
        <v>20</v>
      </c>
      <c r="F562" t="s">
        <v>59</v>
      </c>
      <c r="G562">
        <v>18</v>
      </c>
      <c r="H562" t="s">
        <v>18</v>
      </c>
      <c r="I562">
        <v>18</v>
      </c>
      <c r="J562">
        <v>21.6</v>
      </c>
      <c r="K562">
        <v>2</v>
      </c>
      <c r="L562">
        <v>3</v>
      </c>
      <c r="M562">
        <v>21</v>
      </c>
      <c r="N562" t="s">
        <v>412</v>
      </c>
    </row>
    <row r="563" spans="1:14" x14ac:dyDescent="0.35">
      <c r="A563" t="s">
        <v>643</v>
      </c>
      <c r="B563" t="s">
        <v>59</v>
      </c>
      <c r="C563" t="s">
        <v>16</v>
      </c>
      <c r="D563">
        <v>0</v>
      </c>
      <c r="E563">
        <v>21</v>
      </c>
      <c r="F563" t="s">
        <v>63</v>
      </c>
      <c r="G563">
        <v>18</v>
      </c>
      <c r="H563" t="s">
        <v>18</v>
      </c>
      <c r="I563">
        <v>4</v>
      </c>
      <c r="J563">
        <v>28.2</v>
      </c>
      <c r="K563">
        <v>0</v>
      </c>
      <c r="L563">
        <v>0</v>
      </c>
      <c r="M563">
        <v>18</v>
      </c>
      <c r="N563" t="s">
        <v>60</v>
      </c>
    </row>
    <row r="564" spans="1:14" x14ac:dyDescent="0.35">
      <c r="A564" t="s">
        <v>643</v>
      </c>
      <c r="B564" t="s">
        <v>277</v>
      </c>
      <c r="C564" t="s">
        <v>16</v>
      </c>
      <c r="D564">
        <v>3</v>
      </c>
      <c r="E564">
        <v>20</v>
      </c>
      <c r="F564" t="s">
        <v>65</v>
      </c>
      <c r="G564">
        <v>18</v>
      </c>
      <c r="H564" t="s">
        <v>18</v>
      </c>
      <c r="I564">
        <v>4</v>
      </c>
      <c r="J564">
        <v>28.1</v>
      </c>
      <c r="K564">
        <v>3</v>
      </c>
      <c r="L564">
        <v>2</v>
      </c>
      <c r="M564">
        <v>20</v>
      </c>
      <c r="N564" t="s">
        <v>69</v>
      </c>
    </row>
    <row r="565" spans="1:14" x14ac:dyDescent="0.35">
      <c r="A565" t="s">
        <v>643</v>
      </c>
      <c r="B565" t="s">
        <v>68</v>
      </c>
      <c r="C565" t="s">
        <v>16</v>
      </c>
      <c r="D565">
        <v>5</v>
      </c>
      <c r="E565">
        <v>14</v>
      </c>
      <c r="F565" t="s">
        <v>415</v>
      </c>
      <c r="G565">
        <v>18</v>
      </c>
      <c r="H565" t="s">
        <v>18</v>
      </c>
      <c r="I565">
        <v>2</v>
      </c>
      <c r="J565">
        <v>26.2</v>
      </c>
      <c r="K565">
        <v>1</v>
      </c>
      <c r="L565">
        <v>3</v>
      </c>
      <c r="M565">
        <v>21</v>
      </c>
      <c r="N565" t="s">
        <v>578</v>
      </c>
    </row>
    <row r="566" spans="1:14" x14ac:dyDescent="0.35">
      <c r="A566" t="s">
        <v>643</v>
      </c>
      <c r="B566" t="s">
        <v>279</v>
      </c>
      <c r="C566" t="s">
        <v>16</v>
      </c>
      <c r="D566">
        <v>1</v>
      </c>
      <c r="E566">
        <v>18</v>
      </c>
      <c r="F566" t="s">
        <v>507</v>
      </c>
      <c r="G566">
        <v>18</v>
      </c>
      <c r="H566" t="s">
        <v>18</v>
      </c>
      <c r="I566">
        <v>9</v>
      </c>
      <c r="J566">
        <v>25.6</v>
      </c>
      <c r="K566">
        <v>2</v>
      </c>
      <c r="L566">
        <v>3</v>
      </c>
      <c r="M566">
        <v>21</v>
      </c>
      <c r="N566" t="s">
        <v>417</v>
      </c>
    </row>
    <row r="567" spans="1:14" x14ac:dyDescent="0.35">
      <c r="A567" t="s">
        <v>643</v>
      </c>
      <c r="B567" t="s">
        <v>61</v>
      </c>
      <c r="C567" t="s">
        <v>29</v>
      </c>
      <c r="D567">
        <v>2</v>
      </c>
      <c r="E567">
        <v>16</v>
      </c>
      <c r="F567" t="s">
        <v>72</v>
      </c>
      <c r="G567">
        <v>18</v>
      </c>
      <c r="H567" t="s">
        <v>18</v>
      </c>
      <c r="I567">
        <v>28</v>
      </c>
      <c r="J567">
        <v>22.6</v>
      </c>
      <c r="K567">
        <v>4</v>
      </c>
      <c r="L567">
        <v>4</v>
      </c>
      <c r="M567">
        <v>22</v>
      </c>
      <c r="N567" t="s">
        <v>644</v>
      </c>
    </row>
    <row r="568" spans="1:14" x14ac:dyDescent="0.35">
      <c r="A568" t="s">
        <v>643</v>
      </c>
      <c r="B568" t="s">
        <v>54</v>
      </c>
      <c r="C568" t="s">
        <v>16</v>
      </c>
      <c r="D568">
        <v>1</v>
      </c>
      <c r="E568">
        <v>17</v>
      </c>
      <c r="F568" t="s">
        <v>66</v>
      </c>
      <c r="G568">
        <v>18</v>
      </c>
      <c r="H568" t="s">
        <v>18</v>
      </c>
      <c r="I568">
        <v>10</v>
      </c>
      <c r="J568">
        <v>34.700000000000003</v>
      </c>
      <c r="K568">
        <v>1</v>
      </c>
      <c r="L568">
        <v>3</v>
      </c>
      <c r="M568">
        <v>21</v>
      </c>
      <c r="N568" t="s">
        <v>91</v>
      </c>
    </row>
    <row r="569" spans="1:14" x14ac:dyDescent="0.35">
      <c r="A569" t="s">
        <v>643</v>
      </c>
      <c r="B569" t="s">
        <v>506</v>
      </c>
      <c r="C569" t="s">
        <v>16</v>
      </c>
      <c r="D569">
        <v>0</v>
      </c>
      <c r="E569">
        <v>24</v>
      </c>
      <c r="F569" t="s">
        <v>75</v>
      </c>
      <c r="G569">
        <v>18</v>
      </c>
      <c r="H569" t="s">
        <v>18</v>
      </c>
      <c r="I569">
        <v>9</v>
      </c>
      <c r="J569">
        <v>32.200000000000003</v>
      </c>
      <c r="K569">
        <v>1</v>
      </c>
      <c r="L569">
        <v>3</v>
      </c>
      <c r="M569">
        <v>21</v>
      </c>
      <c r="N569" t="s">
        <v>301</v>
      </c>
    </row>
    <row r="570" spans="1:14" x14ac:dyDescent="0.35">
      <c r="A570" t="s">
        <v>643</v>
      </c>
      <c r="B570" t="s">
        <v>90</v>
      </c>
      <c r="C570" t="s">
        <v>16</v>
      </c>
      <c r="D570">
        <v>6</v>
      </c>
      <c r="E570">
        <v>12</v>
      </c>
      <c r="F570" t="s">
        <v>77</v>
      </c>
      <c r="G570">
        <v>18</v>
      </c>
      <c r="H570" t="s">
        <v>18</v>
      </c>
      <c r="I570">
        <v>3</v>
      </c>
      <c r="J570">
        <v>28.3</v>
      </c>
      <c r="K570">
        <v>1</v>
      </c>
      <c r="L570">
        <v>4</v>
      </c>
      <c r="M570">
        <v>22</v>
      </c>
      <c r="N570" t="s">
        <v>301</v>
      </c>
    </row>
    <row r="571" spans="1:14" x14ac:dyDescent="0.35">
      <c r="A571" t="s">
        <v>643</v>
      </c>
      <c r="B571" t="s">
        <v>66</v>
      </c>
      <c r="C571" t="s">
        <v>29</v>
      </c>
      <c r="D571">
        <v>0</v>
      </c>
      <c r="E571">
        <v>21</v>
      </c>
      <c r="F571" t="s">
        <v>288</v>
      </c>
      <c r="G571">
        <v>18</v>
      </c>
      <c r="H571" t="s">
        <v>18</v>
      </c>
      <c r="I571">
        <v>19</v>
      </c>
      <c r="J571">
        <v>21.8</v>
      </c>
      <c r="K571">
        <v>0</v>
      </c>
      <c r="L571">
        <v>0</v>
      </c>
      <c r="M571">
        <v>18</v>
      </c>
      <c r="N571" t="s">
        <v>74</v>
      </c>
    </row>
    <row r="572" spans="1:14" x14ac:dyDescent="0.35">
      <c r="A572" t="s">
        <v>643</v>
      </c>
      <c r="B572" t="s">
        <v>79</v>
      </c>
      <c r="C572" t="s">
        <v>16</v>
      </c>
      <c r="D572">
        <v>0</v>
      </c>
      <c r="E572">
        <v>18</v>
      </c>
      <c r="F572" t="s">
        <v>82</v>
      </c>
      <c r="G572">
        <v>18</v>
      </c>
      <c r="H572" t="s">
        <v>18</v>
      </c>
      <c r="I572">
        <v>4</v>
      </c>
      <c r="J572">
        <v>23.6</v>
      </c>
      <c r="K572">
        <v>1</v>
      </c>
      <c r="L572">
        <v>3</v>
      </c>
      <c r="M572">
        <v>21</v>
      </c>
      <c r="N572" t="s">
        <v>301</v>
      </c>
    </row>
    <row r="573" spans="1:14" x14ac:dyDescent="0.35">
      <c r="A573" t="s">
        <v>643</v>
      </c>
      <c r="B573" t="s">
        <v>282</v>
      </c>
      <c r="C573" t="s">
        <v>16</v>
      </c>
      <c r="D573">
        <v>0</v>
      </c>
      <c r="E573">
        <v>21</v>
      </c>
      <c r="F573" t="s">
        <v>419</v>
      </c>
      <c r="G573">
        <v>18</v>
      </c>
      <c r="H573" t="s">
        <v>18</v>
      </c>
      <c r="I573">
        <v>5</v>
      </c>
      <c r="J573">
        <v>31.3</v>
      </c>
      <c r="K573">
        <v>3</v>
      </c>
      <c r="L573">
        <v>4</v>
      </c>
      <c r="M573">
        <v>22</v>
      </c>
      <c r="N573" t="s">
        <v>89</v>
      </c>
    </row>
    <row r="574" spans="1:14" x14ac:dyDescent="0.35">
      <c r="A574" t="s">
        <v>643</v>
      </c>
      <c r="B574" t="s">
        <v>73</v>
      </c>
      <c r="C574" t="s">
        <v>16</v>
      </c>
      <c r="D574">
        <v>3</v>
      </c>
      <c r="E574">
        <v>16</v>
      </c>
      <c r="F574" t="s">
        <v>88</v>
      </c>
      <c r="G574">
        <v>18</v>
      </c>
      <c r="H574" t="s">
        <v>18</v>
      </c>
      <c r="I574">
        <v>3</v>
      </c>
      <c r="J574">
        <v>31.9</v>
      </c>
      <c r="K574">
        <v>3</v>
      </c>
      <c r="L574">
        <v>5</v>
      </c>
      <c r="M574">
        <v>23</v>
      </c>
      <c r="N574" t="s">
        <v>645</v>
      </c>
    </row>
    <row r="575" spans="1:14" x14ac:dyDescent="0.35">
      <c r="A575" t="s">
        <v>643</v>
      </c>
      <c r="B575" t="s">
        <v>80</v>
      </c>
      <c r="C575" t="s">
        <v>29</v>
      </c>
      <c r="D575">
        <v>3</v>
      </c>
      <c r="E575">
        <v>15</v>
      </c>
      <c r="F575" t="s">
        <v>285</v>
      </c>
      <c r="G575">
        <v>18</v>
      </c>
      <c r="H575" t="s">
        <v>18</v>
      </c>
      <c r="I575">
        <v>13</v>
      </c>
      <c r="J575">
        <v>20.100000000000001</v>
      </c>
      <c r="K575">
        <v>0</v>
      </c>
      <c r="L575">
        <v>0</v>
      </c>
      <c r="M575">
        <v>18</v>
      </c>
      <c r="N575" t="s">
        <v>84</v>
      </c>
    </row>
    <row r="576" spans="1:14" x14ac:dyDescent="0.35">
      <c r="A576" t="s">
        <v>643</v>
      </c>
      <c r="B576" t="s">
        <v>93</v>
      </c>
      <c r="C576" t="s">
        <v>16</v>
      </c>
      <c r="D576">
        <v>1</v>
      </c>
      <c r="E576">
        <v>20</v>
      </c>
      <c r="F576" t="s">
        <v>420</v>
      </c>
      <c r="G576">
        <v>18</v>
      </c>
      <c r="H576" t="s">
        <v>18</v>
      </c>
      <c r="I576">
        <v>4</v>
      </c>
      <c r="J576">
        <v>30</v>
      </c>
      <c r="K576">
        <v>4</v>
      </c>
      <c r="L576">
        <v>5</v>
      </c>
      <c r="M576">
        <v>23</v>
      </c>
      <c r="N576" t="s">
        <v>424</v>
      </c>
    </row>
    <row r="577" spans="1:14" x14ac:dyDescent="0.35">
      <c r="A577" t="s">
        <v>643</v>
      </c>
      <c r="B577" t="s">
        <v>94</v>
      </c>
      <c r="C577" t="s">
        <v>16</v>
      </c>
      <c r="D577">
        <v>3</v>
      </c>
      <c r="E577">
        <v>16</v>
      </c>
      <c r="F577" t="s">
        <v>296</v>
      </c>
      <c r="G577">
        <v>18</v>
      </c>
      <c r="H577" t="s">
        <v>18</v>
      </c>
      <c r="I577">
        <v>5</v>
      </c>
      <c r="J577">
        <v>29.6</v>
      </c>
      <c r="K577">
        <v>2</v>
      </c>
      <c r="L577">
        <v>4</v>
      </c>
      <c r="M577">
        <v>22</v>
      </c>
      <c r="N577" t="s">
        <v>646</v>
      </c>
    </row>
    <row r="578" spans="1:14" x14ac:dyDescent="0.35">
      <c r="A578" t="s">
        <v>643</v>
      </c>
      <c r="B578" t="s">
        <v>91</v>
      </c>
      <c r="C578" t="s">
        <v>29</v>
      </c>
      <c r="D578">
        <v>0</v>
      </c>
      <c r="E578">
        <v>18</v>
      </c>
      <c r="F578" t="s">
        <v>299</v>
      </c>
      <c r="G578">
        <v>18</v>
      </c>
      <c r="H578" t="s">
        <v>18</v>
      </c>
      <c r="I578">
        <v>21</v>
      </c>
      <c r="J578">
        <v>23.2</v>
      </c>
      <c r="K578">
        <v>1</v>
      </c>
      <c r="L578">
        <v>5</v>
      </c>
      <c r="M578">
        <v>23</v>
      </c>
      <c r="N578" t="s">
        <v>102</v>
      </c>
    </row>
    <row r="579" spans="1:14" x14ac:dyDescent="0.35">
      <c r="A579" t="s">
        <v>643</v>
      </c>
      <c r="B579" t="s">
        <v>78</v>
      </c>
      <c r="C579" t="s">
        <v>16</v>
      </c>
      <c r="D579">
        <v>1</v>
      </c>
      <c r="E579">
        <v>17</v>
      </c>
      <c r="F579" t="s">
        <v>95</v>
      </c>
      <c r="G579">
        <v>18</v>
      </c>
      <c r="H579" t="s">
        <v>18</v>
      </c>
      <c r="I579">
        <v>21</v>
      </c>
      <c r="J579">
        <v>28.2</v>
      </c>
      <c r="K579">
        <v>1</v>
      </c>
      <c r="L579">
        <v>3</v>
      </c>
      <c r="M579">
        <v>21</v>
      </c>
      <c r="N579" t="s">
        <v>105</v>
      </c>
    </row>
    <row r="580" spans="1:14" x14ac:dyDescent="0.35">
      <c r="A580" t="s">
        <v>643</v>
      </c>
      <c r="B580" t="s">
        <v>97</v>
      </c>
      <c r="C580" t="s">
        <v>16</v>
      </c>
      <c r="D580">
        <v>0</v>
      </c>
      <c r="E580">
        <v>18</v>
      </c>
      <c r="F580" t="s">
        <v>647</v>
      </c>
      <c r="G580">
        <v>18</v>
      </c>
      <c r="H580" t="s">
        <v>18</v>
      </c>
      <c r="I580">
        <v>12</v>
      </c>
      <c r="J580">
        <v>22.5</v>
      </c>
      <c r="K580">
        <v>2</v>
      </c>
      <c r="L580">
        <v>1</v>
      </c>
      <c r="M580">
        <v>19</v>
      </c>
      <c r="N580" t="s">
        <v>620</v>
      </c>
    </row>
    <row r="581" spans="1:14" x14ac:dyDescent="0.35">
      <c r="A581" t="s">
        <v>643</v>
      </c>
      <c r="B581" t="s">
        <v>92</v>
      </c>
      <c r="C581" t="s">
        <v>29</v>
      </c>
      <c r="D581">
        <v>0</v>
      </c>
      <c r="E581">
        <v>19</v>
      </c>
      <c r="F581" t="s">
        <v>300</v>
      </c>
      <c r="G581">
        <v>18</v>
      </c>
      <c r="H581" t="s">
        <v>18</v>
      </c>
      <c r="I581">
        <v>41</v>
      </c>
      <c r="J581">
        <v>22.9</v>
      </c>
      <c r="K581">
        <v>4</v>
      </c>
      <c r="L581">
        <v>2</v>
      </c>
      <c r="M581">
        <v>20</v>
      </c>
      <c r="N581" t="s">
        <v>648</v>
      </c>
    </row>
    <row r="582" spans="1:14" x14ac:dyDescent="0.35">
      <c r="A582" t="s">
        <v>643</v>
      </c>
      <c r="B582" t="s">
        <v>100</v>
      </c>
      <c r="C582" t="s">
        <v>16</v>
      </c>
      <c r="D582">
        <v>0</v>
      </c>
      <c r="E582">
        <v>18</v>
      </c>
      <c r="F582" t="s">
        <v>649</v>
      </c>
      <c r="G582">
        <v>18</v>
      </c>
      <c r="H582" t="s">
        <v>18</v>
      </c>
      <c r="I582">
        <v>28</v>
      </c>
      <c r="J582">
        <v>29.4</v>
      </c>
      <c r="K582">
        <v>3</v>
      </c>
      <c r="L582">
        <v>1</v>
      </c>
      <c r="M582">
        <v>19</v>
      </c>
      <c r="N582" t="s">
        <v>310</v>
      </c>
    </row>
    <row r="583" spans="1:14" x14ac:dyDescent="0.35">
      <c r="A583" t="s">
        <v>643</v>
      </c>
      <c r="B583" t="s">
        <v>622</v>
      </c>
      <c r="C583" t="s">
        <v>16</v>
      </c>
      <c r="D583">
        <v>0</v>
      </c>
      <c r="E583">
        <v>18</v>
      </c>
      <c r="F583" t="s">
        <v>650</v>
      </c>
      <c r="G583">
        <v>18</v>
      </c>
      <c r="H583" t="s">
        <v>18</v>
      </c>
      <c r="I583">
        <v>23</v>
      </c>
      <c r="J583">
        <v>28.9</v>
      </c>
      <c r="K583">
        <v>4</v>
      </c>
      <c r="L583">
        <v>3</v>
      </c>
      <c r="M583">
        <v>21</v>
      </c>
      <c r="N583" t="s">
        <v>651</v>
      </c>
    </row>
    <row r="584" spans="1:14" x14ac:dyDescent="0.35">
      <c r="A584" t="s">
        <v>643</v>
      </c>
      <c r="B584" t="s">
        <v>310</v>
      </c>
      <c r="C584" t="s">
        <v>16</v>
      </c>
      <c r="D584">
        <v>0</v>
      </c>
      <c r="E584">
        <v>20</v>
      </c>
      <c r="F584" t="s">
        <v>652</v>
      </c>
      <c r="G584">
        <v>18</v>
      </c>
      <c r="H584" t="s">
        <v>18</v>
      </c>
      <c r="I584">
        <v>26</v>
      </c>
      <c r="J584">
        <v>25.1</v>
      </c>
      <c r="K584">
        <v>0</v>
      </c>
      <c r="L584">
        <v>0</v>
      </c>
      <c r="M584">
        <v>18</v>
      </c>
      <c r="N584" t="s">
        <v>119</v>
      </c>
    </row>
    <row r="585" spans="1:14" x14ac:dyDescent="0.35">
      <c r="A585" t="s">
        <v>643</v>
      </c>
      <c r="B585" t="s">
        <v>620</v>
      </c>
      <c r="C585" t="s">
        <v>29</v>
      </c>
      <c r="D585">
        <v>1</v>
      </c>
      <c r="E585">
        <v>18</v>
      </c>
      <c r="F585" t="s">
        <v>125</v>
      </c>
      <c r="G585">
        <v>18</v>
      </c>
      <c r="H585" t="s">
        <v>18</v>
      </c>
      <c r="I585">
        <v>81</v>
      </c>
      <c r="J585">
        <v>18.7</v>
      </c>
      <c r="K585">
        <v>1</v>
      </c>
      <c r="L585">
        <v>3</v>
      </c>
      <c r="M585">
        <v>21</v>
      </c>
      <c r="N585" t="s">
        <v>129</v>
      </c>
    </row>
    <row r="586" spans="1:14" x14ac:dyDescent="0.35">
      <c r="A586" t="s">
        <v>643</v>
      </c>
      <c r="B586" t="s">
        <v>653</v>
      </c>
      <c r="C586" t="s">
        <v>16</v>
      </c>
      <c r="D586">
        <v>2</v>
      </c>
      <c r="E586">
        <v>17</v>
      </c>
      <c r="F586" t="s">
        <v>119</v>
      </c>
      <c r="G586">
        <v>18</v>
      </c>
      <c r="H586" t="s">
        <v>18</v>
      </c>
      <c r="I586">
        <v>24</v>
      </c>
      <c r="J586">
        <v>23.8</v>
      </c>
      <c r="K586">
        <v>2</v>
      </c>
      <c r="L586">
        <v>1</v>
      </c>
      <c r="M586">
        <v>19</v>
      </c>
      <c r="N586" t="s">
        <v>122</v>
      </c>
    </row>
    <row r="587" spans="1:14" x14ac:dyDescent="0.35">
      <c r="A587" t="s">
        <v>643</v>
      </c>
      <c r="B587" t="s">
        <v>654</v>
      </c>
      <c r="C587" t="s">
        <v>16</v>
      </c>
      <c r="D587">
        <v>1</v>
      </c>
      <c r="E587">
        <v>17</v>
      </c>
      <c r="F587" t="s">
        <v>126</v>
      </c>
      <c r="G587">
        <v>18</v>
      </c>
      <c r="H587" t="s">
        <v>18</v>
      </c>
      <c r="I587">
        <v>4</v>
      </c>
      <c r="J587">
        <v>29.5</v>
      </c>
      <c r="K587">
        <v>0</v>
      </c>
      <c r="L587">
        <v>0</v>
      </c>
      <c r="M587">
        <v>18</v>
      </c>
      <c r="N587" t="s">
        <v>127</v>
      </c>
    </row>
    <row r="588" spans="1:14" x14ac:dyDescent="0.35">
      <c r="A588" t="s">
        <v>643</v>
      </c>
      <c r="B588" t="s">
        <v>128</v>
      </c>
      <c r="C588" t="s">
        <v>16</v>
      </c>
      <c r="D588">
        <v>0</v>
      </c>
      <c r="E588">
        <v>19</v>
      </c>
      <c r="F588" t="s">
        <v>129</v>
      </c>
      <c r="G588">
        <v>18</v>
      </c>
      <c r="H588" t="s">
        <v>18</v>
      </c>
      <c r="I588">
        <v>4</v>
      </c>
      <c r="J588">
        <v>30.3</v>
      </c>
      <c r="K588">
        <v>4</v>
      </c>
      <c r="L588">
        <v>4</v>
      </c>
      <c r="M588">
        <v>22</v>
      </c>
      <c r="N588" t="s">
        <v>437</v>
      </c>
    </row>
    <row r="589" spans="1:14" x14ac:dyDescent="0.35">
      <c r="A589" t="s">
        <v>643</v>
      </c>
      <c r="B589" t="s">
        <v>317</v>
      </c>
      <c r="C589" t="s">
        <v>29</v>
      </c>
      <c r="D589">
        <v>1</v>
      </c>
      <c r="E589">
        <v>19</v>
      </c>
      <c r="F589" t="s">
        <v>134</v>
      </c>
      <c r="G589">
        <v>18</v>
      </c>
      <c r="H589" t="s">
        <v>18</v>
      </c>
      <c r="I589">
        <v>20</v>
      </c>
      <c r="J589">
        <v>14.5</v>
      </c>
      <c r="K589">
        <v>2</v>
      </c>
      <c r="L589">
        <v>3</v>
      </c>
      <c r="M589">
        <v>21</v>
      </c>
      <c r="N589" t="s">
        <v>522</v>
      </c>
    </row>
    <row r="590" spans="1:14" x14ac:dyDescent="0.35">
      <c r="A590" t="s">
        <v>643</v>
      </c>
      <c r="B590" t="s">
        <v>131</v>
      </c>
      <c r="C590" t="s">
        <v>16</v>
      </c>
      <c r="D590">
        <v>1</v>
      </c>
      <c r="E590">
        <v>18</v>
      </c>
      <c r="F590" t="s">
        <v>322</v>
      </c>
      <c r="G590">
        <v>18</v>
      </c>
      <c r="H590" t="s">
        <v>18</v>
      </c>
      <c r="I590">
        <v>3</v>
      </c>
      <c r="J590">
        <v>26.4</v>
      </c>
      <c r="K590">
        <v>2</v>
      </c>
      <c r="L590">
        <v>2</v>
      </c>
      <c r="M590">
        <v>20</v>
      </c>
      <c r="N590" t="s">
        <v>437</v>
      </c>
    </row>
    <row r="591" spans="1:14" x14ac:dyDescent="0.35">
      <c r="A591" t="s">
        <v>643</v>
      </c>
      <c r="B591" t="s">
        <v>324</v>
      </c>
      <c r="C591" t="s">
        <v>16</v>
      </c>
      <c r="D591">
        <v>1</v>
      </c>
      <c r="E591">
        <v>20</v>
      </c>
      <c r="F591" t="s">
        <v>139</v>
      </c>
      <c r="G591">
        <v>18</v>
      </c>
      <c r="H591" t="s">
        <v>18</v>
      </c>
      <c r="I591">
        <v>4</v>
      </c>
      <c r="J591">
        <v>31.1</v>
      </c>
      <c r="K591">
        <v>0</v>
      </c>
      <c r="L591">
        <v>0</v>
      </c>
      <c r="M591">
        <v>18</v>
      </c>
      <c r="N591" t="s">
        <v>655</v>
      </c>
    </row>
    <row r="592" spans="1:14" x14ac:dyDescent="0.35">
      <c r="A592" t="s">
        <v>643</v>
      </c>
      <c r="B592" t="s">
        <v>322</v>
      </c>
      <c r="C592" t="s">
        <v>29</v>
      </c>
      <c r="D592">
        <v>2</v>
      </c>
      <c r="E592">
        <v>18</v>
      </c>
      <c r="F592" t="s">
        <v>439</v>
      </c>
      <c r="G592">
        <v>18</v>
      </c>
      <c r="H592" t="s">
        <v>18</v>
      </c>
      <c r="I592">
        <v>8</v>
      </c>
      <c r="J592">
        <v>21</v>
      </c>
      <c r="K592">
        <v>4</v>
      </c>
      <c r="L592">
        <v>5</v>
      </c>
      <c r="M592">
        <v>23</v>
      </c>
      <c r="N592" t="s">
        <v>438</v>
      </c>
    </row>
    <row r="593" spans="1:14" x14ac:dyDescent="0.35">
      <c r="A593" t="s">
        <v>643</v>
      </c>
      <c r="B593" t="s">
        <v>141</v>
      </c>
      <c r="C593" t="s">
        <v>16</v>
      </c>
      <c r="D593">
        <v>3</v>
      </c>
      <c r="E593">
        <v>18</v>
      </c>
      <c r="F593" t="s">
        <v>122</v>
      </c>
      <c r="G593">
        <v>18</v>
      </c>
      <c r="H593" t="s">
        <v>18</v>
      </c>
      <c r="I593">
        <v>3</v>
      </c>
      <c r="J593">
        <v>29.1</v>
      </c>
      <c r="K593">
        <v>1</v>
      </c>
      <c r="L593">
        <v>4</v>
      </c>
      <c r="M593">
        <v>22</v>
      </c>
      <c r="N593" t="s">
        <v>440</v>
      </c>
    </row>
    <row r="594" spans="1:14" x14ac:dyDescent="0.35">
      <c r="A594" t="s">
        <v>643</v>
      </c>
      <c r="B594" t="s">
        <v>142</v>
      </c>
      <c r="C594" t="s">
        <v>16</v>
      </c>
      <c r="D594">
        <v>3</v>
      </c>
      <c r="E594">
        <v>15</v>
      </c>
      <c r="F594" t="s">
        <v>522</v>
      </c>
      <c r="G594">
        <v>18</v>
      </c>
      <c r="H594" t="s">
        <v>18</v>
      </c>
      <c r="I594">
        <v>3</v>
      </c>
      <c r="J594">
        <v>26.5</v>
      </c>
      <c r="K594">
        <v>1</v>
      </c>
      <c r="L594">
        <v>2</v>
      </c>
      <c r="M594">
        <v>20</v>
      </c>
      <c r="N594" t="s">
        <v>140</v>
      </c>
    </row>
    <row r="595" spans="1:14" x14ac:dyDescent="0.35">
      <c r="A595" t="s">
        <v>643</v>
      </c>
      <c r="B595" t="s">
        <v>145</v>
      </c>
      <c r="C595" t="s">
        <v>16</v>
      </c>
      <c r="D595">
        <v>0</v>
      </c>
      <c r="E595">
        <v>20</v>
      </c>
      <c r="F595" t="s">
        <v>524</v>
      </c>
      <c r="G595">
        <v>18</v>
      </c>
      <c r="H595" t="s">
        <v>18</v>
      </c>
      <c r="I595">
        <v>3</v>
      </c>
      <c r="J595">
        <v>21.2</v>
      </c>
      <c r="K595">
        <v>2</v>
      </c>
      <c r="L595">
        <v>3</v>
      </c>
      <c r="M595">
        <v>21</v>
      </c>
      <c r="N595" t="s">
        <v>440</v>
      </c>
    </row>
    <row r="596" spans="1:14" x14ac:dyDescent="0.35">
      <c r="A596" t="s">
        <v>643</v>
      </c>
      <c r="B596" t="s">
        <v>122</v>
      </c>
      <c r="C596" t="s">
        <v>29</v>
      </c>
      <c r="D596">
        <v>2</v>
      </c>
      <c r="E596">
        <v>16</v>
      </c>
      <c r="F596" t="s">
        <v>524</v>
      </c>
      <c r="G596">
        <v>18</v>
      </c>
      <c r="H596" t="s">
        <v>18</v>
      </c>
      <c r="I596">
        <v>8</v>
      </c>
      <c r="J596">
        <v>19.3</v>
      </c>
      <c r="K596">
        <v>0</v>
      </c>
      <c r="L596">
        <v>0</v>
      </c>
      <c r="M596">
        <v>18</v>
      </c>
      <c r="N596" t="s">
        <v>655</v>
      </c>
    </row>
    <row r="597" spans="1:14" x14ac:dyDescent="0.35">
      <c r="A597" t="s">
        <v>643</v>
      </c>
      <c r="B597" t="s">
        <v>319</v>
      </c>
      <c r="C597" t="s">
        <v>16</v>
      </c>
      <c r="D597">
        <v>2</v>
      </c>
      <c r="E597">
        <v>16</v>
      </c>
      <c r="F597" t="s">
        <v>438</v>
      </c>
      <c r="G597">
        <v>18</v>
      </c>
      <c r="H597" t="s">
        <v>18</v>
      </c>
      <c r="I597">
        <v>11</v>
      </c>
      <c r="J597">
        <v>30.6</v>
      </c>
      <c r="K597">
        <v>4</v>
      </c>
      <c r="L597">
        <v>4</v>
      </c>
      <c r="M597">
        <v>22</v>
      </c>
      <c r="N597" t="s">
        <v>165</v>
      </c>
    </row>
    <row r="598" spans="1:14" x14ac:dyDescent="0.35">
      <c r="A598" t="s">
        <v>643</v>
      </c>
      <c r="B598" t="s">
        <v>656</v>
      </c>
      <c r="C598" t="s">
        <v>16</v>
      </c>
      <c r="D598">
        <v>0</v>
      </c>
      <c r="E598">
        <v>18</v>
      </c>
      <c r="F598" t="s">
        <v>143</v>
      </c>
      <c r="G598">
        <v>18</v>
      </c>
      <c r="H598" t="s">
        <v>18</v>
      </c>
      <c r="I598">
        <v>14</v>
      </c>
      <c r="J598">
        <v>25</v>
      </c>
      <c r="K598">
        <v>4</v>
      </c>
      <c r="L598">
        <v>4</v>
      </c>
      <c r="M598">
        <v>22</v>
      </c>
      <c r="N598" t="s">
        <v>528</v>
      </c>
    </row>
    <row r="599" spans="1:14" x14ac:dyDescent="0.35">
      <c r="A599" t="s">
        <v>643</v>
      </c>
      <c r="B599" t="s">
        <v>319</v>
      </c>
      <c r="C599" t="s">
        <v>29</v>
      </c>
      <c r="D599">
        <v>0</v>
      </c>
      <c r="E599">
        <v>19</v>
      </c>
      <c r="F599" t="s">
        <v>156</v>
      </c>
      <c r="G599">
        <v>18</v>
      </c>
      <c r="H599" t="s">
        <v>18</v>
      </c>
      <c r="I599">
        <v>31</v>
      </c>
      <c r="J599">
        <v>17</v>
      </c>
      <c r="K599">
        <v>4</v>
      </c>
      <c r="L599">
        <v>2</v>
      </c>
      <c r="M599">
        <v>20</v>
      </c>
      <c r="N599" t="s">
        <v>448</v>
      </c>
    </row>
    <row r="600" spans="1:14" x14ac:dyDescent="0.35">
      <c r="A600" t="s">
        <v>643</v>
      </c>
      <c r="B600" t="s">
        <v>657</v>
      </c>
      <c r="C600" t="s">
        <v>16</v>
      </c>
      <c r="D600">
        <v>0</v>
      </c>
      <c r="E600">
        <v>20</v>
      </c>
      <c r="F600" t="s">
        <v>441</v>
      </c>
      <c r="G600">
        <v>18</v>
      </c>
      <c r="H600" t="s">
        <v>18</v>
      </c>
      <c r="I600">
        <v>7</v>
      </c>
      <c r="J600">
        <v>29.9</v>
      </c>
      <c r="K600">
        <v>3</v>
      </c>
      <c r="L600">
        <v>5</v>
      </c>
      <c r="M600">
        <v>23</v>
      </c>
      <c r="N600" t="s">
        <v>445</v>
      </c>
    </row>
    <row r="601" spans="1:14" x14ac:dyDescent="0.35">
      <c r="A601" t="s">
        <v>643</v>
      </c>
      <c r="B601" t="s">
        <v>328</v>
      </c>
      <c r="C601" t="s">
        <v>29</v>
      </c>
      <c r="D601">
        <v>1</v>
      </c>
      <c r="E601">
        <v>17</v>
      </c>
      <c r="F601" t="s">
        <v>162</v>
      </c>
      <c r="G601">
        <v>18</v>
      </c>
      <c r="H601" t="s">
        <v>18</v>
      </c>
      <c r="I601">
        <v>5</v>
      </c>
      <c r="J601">
        <v>26.7</v>
      </c>
      <c r="K601">
        <v>2</v>
      </c>
      <c r="L601">
        <v>4</v>
      </c>
      <c r="M601">
        <v>22</v>
      </c>
      <c r="N601" t="s">
        <v>449</v>
      </c>
    </row>
    <row r="602" spans="1:14" x14ac:dyDescent="0.35">
      <c r="A602" t="s">
        <v>643</v>
      </c>
      <c r="B602" t="s">
        <v>160</v>
      </c>
      <c r="C602" t="s">
        <v>16</v>
      </c>
      <c r="D602">
        <v>2</v>
      </c>
      <c r="E602">
        <v>17</v>
      </c>
      <c r="F602" t="s">
        <v>165</v>
      </c>
      <c r="G602">
        <v>18</v>
      </c>
      <c r="H602" t="s">
        <v>18</v>
      </c>
      <c r="I602">
        <v>5</v>
      </c>
      <c r="J602">
        <v>26</v>
      </c>
      <c r="K602">
        <v>3</v>
      </c>
      <c r="L602">
        <v>1</v>
      </c>
      <c r="M602">
        <v>19</v>
      </c>
      <c r="N602" t="s">
        <v>179</v>
      </c>
    </row>
    <row r="603" spans="1:14" x14ac:dyDescent="0.35">
      <c r="A603" t="s">
        <v>643</v>
      </c>
      <c r="B603" t="s">
        <v>153</v>
      </c>
      <c r="C603" t="s">
        <v>16</v>
      </c>
      <c r="D603">
        <v>1</v>
      </c>
      <c r="E603">
        <v>23</v>
      </c>
      <c r="F603" t="s">
        <v>166</v>
      </c>
      <c r="G603">
        <v>18</v>
      </c>
      <c r="H603" t="s">
        <v>18</v>
      </c>
      <c r="I603">
        <v>2</v>
      </c>
      <c r="J603">
        <v>31.7</v>
      </c>
      <c r="K603">
        <v>2</v>
      </c>
      <c r="L603">
        <v>4</v>
      </c>
      <c r="M603">
        <v>22</v>
      </c>
      <c r="N603" t="s">
        <v>334</v>
      </c>
    </row>
    <row r="604" spans="1:14" x14ac:dyDescent="0.35">
      <c r="A604" t="s">
        <v>643</v>
      </c>
      <c r="B604" t="s">
        <v>168</v>
      </c>
      <c r="C604" t="s">
        <v>16</v>
      </c>
      <c r="D604">
        <v>6</v>
      </c>
      <c r="E604">
        <v>13</v>
      </c>
      <c r="F604" t="s">
        <v>335</v>
      </c>
      <c r="G604">
        <v>18</v>
      </c>
      <c r="H604" t="s">
        <v>18</v>
      </c>
      <c r="I604">
        <v>2</v>
      </c>
      <c r="J604">
        <v>30.9</v>
      </c>
      <c r="K604">
        <v>0</v>
      </c>
      <c r="L604">
        <v>0</v>
      </c>
      <c r="M604">
        <v>18</v>
      </c>
      <c r="N604" t="s">
        <v>184</v>
      </c>
    </row>
    <row r="605" spans="1:14" x14ac:dyDescent="0.35">
      <c r="A605" t="s">
        <v>643</v>
      </c>
      <c r="B605" t="s">
        <v>448</v>
      </c>
      <c r="C605" t="s">
        <v>16</v>
      </c>
      <c r="D605">
        <v>1</v>
      </c>
      <c r="E605">
        <v>21</v>
      </c>
      <c r="F605" t="s">
        <v>528</v>
      </c>
      <c r="G605">
        <v>18</v>
      </c>
      <c r="H605" t="s">
        <v>18</v>
      </c>
      <c r="I605">
        <v>4</v>
      </c>
      <c r="J605">
        <v>27.1</v>
      </c>
      <c r="K605">
        <v>1</v>
      </c>
      <c r="L605">
        <v>4</v>
      </c>
      <c r="M605">
        <v>22</v>
      </c>
      <c r="N605" t="s">
        <v>451</v>
      </c>
    </row>
    <row r="606" spans="1:14" x14ac:dyDescent="0.35">
      <c r="A606" t="s">
        <v>643</v>
      </c>
      <c r="B606" t="s">
        <v>329</v>
      </c>
      <c r="C606" t="s">
        <v>29</v>
      </c>
      <c r="D606">
        <v>0</v>
      </c>
      <c r="E606">
        <v>21</v>
      </c>
      <c r="F606" t="s">
        <v>158</v>
      </c>
      <c r="G606">
        <v>18</v>
      </c>
      <c r="H606" t="s">
        <v>18</v>
      </c>
      <c r="I606">
        <v>15</v>
      </c>
      <c r="J606">
        <v>24</v>
      </c>
      <c r="K606">
        <v>2</v>
      </c>
      <c r="L606">
        <v>3</v>
      </c>
      <c r="M606">
        <v>21</v>
      </c>
      <c r="N606" t="s">
        <v>184</v>
      </c>
    </row>
    <row r="607" spans="1:14" x14ac:dyDescent="0.35">
      <c r="A607" t="s">
        <v>643</v>
      </c>
      <c r="B607" t="s">
        <v>158</v>
      </c>
      <c r="C607" t="s">
        <v>16</v>
      </c>
      <c r="D607">
        <v>4</v>
      </c>
      <c r="E607">
        <v>14</v>
      </c>
      <c r="F607" t="s">
        <v>173</v>
      </c>
      <c r="G607">
        <v>18</v>
      </c>
      <c r="H607" t="s">
        <v>18</v>
      </c>
      <c r="I607">
        <v>3</v>
      </c>
      <c r="J607">
        <v>29.9</v>
      </c>
      <c r="K607">
        <v>3</v>
      </c>
      <c r="L607">
        <v>3</v>
      </c>
      <c r="M607">
        <v>21</v>
      </c>
      <c r="N607" t="s">
        <v>338</v>
      </c>
    </row>
    <row r="608" spans="1:14" x14ac:dyDescent="0.35">
      <c r="A608" t="s">
        <v>643</v>
      </c>
      <c r="B608" t="s">
        <v>154</v>
      </c>
      <c r="C608" t="s">
        <v>16</v>
      </c>
      <c r="D608">
        <v>0</v>
      </c>
      <c r="E608">
        <v>19</v>
      </c>
      <c r="F608" t="s">
        <v>339</v>
      </c>
      <c r="G608">
        <v>18</v>
      </c>
      <c r="H608" t="s">
        <v>18</v>
      </c>
      <c r="I608">
        <v>3</v>
      </c>
      <c r="J608">
        <v>29.8</v>
      </c>
      <c r="K608">
        <v>4</v>
      </c>
      <c r="L608">
        <v>1</v>
      </c>
      <c r="M608">
        <v>19</v>
      </c>
      <c r="N608" t="s">
        <v>534</v>
      </c>
    </row>
    <row r="609" spans="1:14" x14ac:dyDescent="0.35">
      <c r="A609" t="s">
        <v>643</v>
      </c>
      <c r="B609" t="s">
        <v>175</v>
      </c>
      <c r="C609" t="s">
        <v>29</v>
      </c>
      <c r="D609">
        <v>3</v>
      </c>
      <c r="E609">
        <v>9</v>
      </c>
      <c r="F609" t="s">
        <v>446</v>
      </c>
      <c r="G609">
        <v>12</v>
      </c>
      <c r="H609" t="s">
        <v>157</v>
      </c>
      <c r="I609">
        <v>15</v>
      </c>
      <c r="J609">
        <v>18.7</v>
      </c>
      <c r="K609">
        <v>1</v>
      </c>
      <c r="L609">
        <v>4</v>
      </c>
      <c r="M609">
        <v>16</v>
      </c>
      <c r="N609" t="s">
        <v>624</v>
      </c>
    </row>
    <row r="610" spans="1:14" x14ac:dyDescent="0.35">
      <c r="A610" t="s">
        <v>643</v>
      </c>
      <c r="B610" t="s">
        <v>529</v>
      </c>
      <c r="C610" t="s">
        <v>16</v>
      </c>
      <c r="D610">
        <v>1</v>
      </c>
      <c r="E610">
        <v>17</v>
      </c>
      <c r="F610" t="s">
        <v>181</v>
      </c>
      <c r="G610">
        <v>18</v>
      </c>
      <c r="H610" t="s">
        <v>18</v>
      </c>
      <c r="I610">
        <v>11</v>
      </c>
      <c r="J610">
        <v>29.2</v>
      </c>
      <c r="K610">
        <v>2</v>
      </c>
      <c r="L610">
        <v>3</v>
      </c>
      <c r="M610">
        <v>21</v>
      </c>
      <c r="N610" t="s">
        <v>658</v>
      </c>
    </row>
    <row r="611" spans="1:14" x14ac:dyDescent="0.35">
      <c r="A611" t="s">
        <v>643</v>
      </c>
      <c r="B611" t="s">
        <v>186</v>
      </c>
      <c r="C611" t="s">
        <v>16</v>
      </c>
      <c r="D611">
        <v>0</v>
      </c>
      <c r="E611">
        <v>18</v>
      </c>
      <c r="F611" t="s">
        <v>172</v>
      </c>
      <c r="G611">
        <v>18</v>
      </c>
      <c r="H611" t="s">
        <v>18</v>
      </c>
      <c r="I611">
        <v>11</v>
      </c>
      <c r="J611">
        <v>27.2</v>
      </c>
      <c r="K611">
        <v>4</v>
      </c>
      <c r="L611">
        <v>4</v>
      </c>
      <c r="M611">
        <v>22</v>
      </c>
      <c r="N611" t="s">
        <v>194</v>
      </c>
    </row>
    <row r="612" spans="1:14" x14ac:dyDescent="0.35">
      <c r="A612" t="s">
        <v>643</v>
      </c>
      <c r="B612" t="s">
        <v>186</v>
      </c>
      <c r="C612" t="s">
        <v>29</v>
      </c>
      <c r="D612">
        <v>0</v>
      </c>
      <c r="E612">
        <v>4</v>
      </c>
      <c r="F612" t="s">
        <v>187</v>
      </c>
      <c r="G612">
        <v>4</v>
      </c>
      <c r="H612" t="s">
        <v>157</v>
      </c>
      <c r="I612">
        <v>15</v>
      </c>
      <c r="J612">
        <v>20.8</v>
      </c>
      <c r="K612">
        <v>1</v>
      </c>
      <c r="L612">
        <v>4</v>
      </c>
      <c r="M612">
        <v>8</v>
      </c>
      <c r="N612" t="s">
        <v>347</v>
      </c>
    </row>
    <row r="613" spans="1:14" x14ac:dyDescent="0.35">
      <c r="A613" t="s">
        <v>643</v>
      </c>
      <c r="B613" t="s">
        <v>338</v>
      </c>
      <c r="C613" t="s">
        <v>16</v>
      </c>
      <c r="D613">
        <v>0</v>
      </c>
      <c r="E613">
        <v>20</v>
      </c>
      <c r="F613" t="s">
        <v>453</v>
      </c>
      <c r="G613">
        <v>18</v>
      </c>
      <c r="H613" t="s">
        <v>18</v>
      </c>
      <c r="I613">
        <v>14</v>
      </c>
      <c r="J613">
        <v>27.3</v>
      </c>
      <c r="K613">
        <v>2</v>
      </c>
      <c r="L613">
        <v>2</v>
      </c>
      <c r="M613">
        <v>20</v>
      </c>
      <c r="N613" t="s">
        <v>533</v>
      </c>
    </row>
    <row r="614" spans="1:14" x14ac:dyDescent="0.35">
      <c r="A614" t="s">
        <v>643</v>
      </c>
      <c r="B614" t="s">
        <v>457</v>
      </c>
      <c r="C614" t="s">
        <v>16</v>
      </c>
      <c r="D614">
        <v>2</v>
      </c>
      <c r="E614">
        <v>16</v>
      </c>
      <c r="F614" t="s">
        <v>194</v>
      </c>
      <c r="G614">
        <v>18</v>
      </c>
      <c r="H614" t="s">
        <v>18</v>
      </c>
      <c r="I614">
        <v>11</v>
      </c>
      <c r="J614">
        <v>26.9</v>
      </c>
      <c r="K614">
        <v>1</v>
      </c>
      <c r="L614">
        <v>0</v>
      </c>
      <c r="M614">
        <v>18</v>
      </c>
      <c r="N614" t="s">
        <v>199</v>
      </c>
    </row>
    <row r="615" spans="1:14" x14ac:dyDescent="0.35">
      <c r="A615" t="s">
        <v>643</v>
      </c>
      <c r="B615" t="s">
        <v>457</v>
      </c>
      <c r="C615" t="s">
        <v>29</v>
      </c>
      <c r="D615">
        <v>0</v>
      </c>
      <c r="E615">
        <v>3</v>
      </c>
      <c r="F615" t="s">
        <v>188</v>
      </c>
      <c r="G615">
        <v>3</v>
      </c>
      <c r="H615" t="s">
        <v>157</v>
      </c>
      <c r="I615">
        <v>15</v>
      </c>
      <c r="J615">
        <v>25.6</v>
      </c>
      <c r="K615">
        <v>2</v>
      </c>
      <c r="L615">
        <v>1</v>
      </c>
      <c r="M615">
        <v>4</v>
      </c>
      <c r="N615" t="s">
        <v>540</v>
      </c>
    </row>
    <row r="616" spans="1:14" x14ac:dyDescent="0.35">
      <c r="A616" t="s">
        <v>643</v>
      </c>
      <c r="B616" t="s">
        <v>349</v>
      </c>
      <c r="C616" t="s">
        <v>16</v>
      </c>
      <c r="D616">
        <v>0</v>
      </c>
      <c r="E616">
        <v>14</v>
      </c>
      <c r="F616" t="s">
        <v>346</v>
      </c>
      <c r="G616">
        <v>14</v>
      </c>
      <c r="H616" t="s">
        <v>157</v>
      </c>
      <c r="I616">
        <v>15</v>
      </c>
      <c r="J616">
        <v>32.5</v>
      </c>
      <c r="K616">
        <v>4</v>
      </c>
      <c r="L616">
        <v>3</v>
      </c>
      <c r="M616">
        <v>17</v>
      </c>
      <c r="N616" t="s">
        <v>205</v>
      </c>
    </row>
    <row r="617" spans="1:14" x14ac:dyDescent="0.35">
      <c r="A617" t="s">
        <v>643</v>
      </c>
      <c r="B617" t="s">
        <v>351</v>
      </c>
      <c r="C617" t="s">
        <v>29</v>
      </c>
      <c r="D617">
        <v>0</v>
      </c>
      <c r="E617">
        <v>4</v>
      </c>
      <c r="F617" t="s">
        <v>193</v>
      </c>
      <c r="G617">
        <v>4</v>
      </c>
      <c r="H617" t="s">
        <v>157</v>
      </c>
      <c r="I617">
        <v>15</v>
      </c>
      <c r="J617">
        <v>20.5</v>
      </c>
      <c r="K617">
        <v>4</v>
      </c>
      <c r="L617">
        <v>0</v>
      </c>
      <c r="M617">
        <v>4</v>
      </c>
      <c r="N617" t="s">
        <v>460</v>
      </c>
    </row>
    <row r="618" spans="1:14" x14ac:dyDescent="0.35">
      <c r="A618" t="s">
        <v>643</v>
      </c>
      <c r="B618" t="s">
        <v>201</v>
      </c>
      <c r="C618" t="s">
        <v>16</v>
      </c>
      <c r="D618">
        <v>0</v>
      </c>
      <c r="E618">
        <v>18</v>
      </c>
      <c r="F618" t="s">
        <v>458</v>
      </c>
      <c r="G618">
        <v>18</v>
      </c>
      <c r="H618" t="s">
        <v>18</v>
      </c>
      <c r="I618">
        <v>12</v>
      </c>
      <c r="J618">
        <v>26.2</v>
      </c>
      <c r="K618">
        <v>0</v>
      </c>
      <c r="L618">
        <v>0</v>
      </c>
      <c r="M618">
        <v>18</v>
      </c>
      <c r="N618" t="s">
        <v>539</v>
      </c>
    </row>
    <row r="619" spans="1:14" x14ac:dyDescent="0.35">
      <c r="A619" t="s">
        <v>643</v>
      </c>
      <c r="B619" t="s">
        <v>659</v>
      </c>
      <c r="C619" t="s">
        <v>29</v>
      </c>
      <c r="D619">
        <v>0</v>
      </c>
      <c r="E619">
        <v>7</v>
      </c>
      <c r="F619" t="s">
        <v>660</v>
      </c>
      <c r="G619">
        <v>7</v>
      </c>
      <c r="H619" t="s">
        <v>157</v>
      </c>
      <c r="I619">
        <v>15</v>
      </c>
      <c r="J619">
        <v>23.8</v>
      </c>
      <c r="K619">
        <v>1</v>
      </c>
      <c r="L619">
        <v>2</v>
      </c>
      <c r="M619">
        <v>9</v>
      </c>
      <c r="N619" t="s">
        <v>203</v>
      </c>
    </row>
    <row r="620" spans="1:14" x14ac:dyDescent="0.35">
      <c r="A620" t="s">
        <v>643</v>
      </c>
      <c r="B620" t="s">
        <v>350</v>
      </c>
      <c r="C620" t="s">
        <v>16</v>
      </c>
      <c r="D620">
        <v>0</v>
      </c>
      <c r="E620">
        <v>15</v>
      </c>
      <c r="F620" t="s">
        <v>197</v>
      </c>
      <c r="G620">
        <v>15</v>
      </c>
      <c r="H620" t="s">
        <v>157</v>
      </c>
      <c r="I620">
        <v>15</v>
      </c>
      <c r="J620">
        <v>33</v>
      </c>
      <c r="K620">
        <v>4</v>
      </c>
      <c r="L620">
        <v>0</v>
      </c>
      <c r="M620">
        <v>15</v>
      </c>
      <c r="N620" t="s">
        <v>545</v>
      </c>
    </row>
    <row r="621" spans="1:14" x14ac:dyDescent="0.35">
      <c r="A621" t="s">
        <v>643</v>
      </c>
      <c r="B621" t="s">
        <v>661</v>
      </c>
      <c r="C621" t="s">
        <v>16</v>
      </c>
      <c r="D621">
        <v>0</v>
      </c>
      <c r="E621">
        <v>7</v>
      </c>
      <c r="F621" t="s">
        <v>542</v>
      </c>
      <c r="G621">
        <v>7</v>
      </c>
      <c r="H621" t="s">
        <v>157</v>
      </c>
      <c r="I621">
        <v>15</v>
      </c>
      <c r="J621">
        <v>29.2</v>
      </c>
      <c r="K621">
        <v>3</v>
      </c>
      <c r="L621">
        <v>1</v>
      </c>
      <c r="M621">
        <v>8</v>
      </c>
      <c r="N621" t="s">
        <v>468</v>
      </c>
    </row>
    <row r="622" spans="1:14" x14ac:dyDescent="0.35">
      <c r="A622" t="s">
        <v>643</v>
      </c>
      <c r="B622" t="s">
        <v>465</v>
      </c>
      <c r="C622" t="s">
        <v>16</v>
      </c>
      <c r="D622">
        <v>0</v>
      </c>
      <c r="E622">
        <v>16</v>
      </c>
      <c r="F622" t="s">
        <v>596</v>
      </c>
      <c r="G622">
        <v>16</v>
      </c>
      <c r="H622" t="s">
        <v>157</v>
      </c>
      <c r="I622">
        <v>15</v>
      </c>
      <c r="J622">
        <v>29.9</v>
      </c>
      <c r="K622">
        <v>3</v>
      </c>
      <c r="L622">
        <v>1</v>
      </c>
      <c r="M622">
        <v>17</v>
      </c>
      <c r="N622" t="s">
        <v>470</v>
      </c>
    </row>
    <row r="623" spans="1:14" x14ac:dyDescent="0.35">
      <c r="A623" t="s">
        <v>643</v>
      </c>
      <c r="B623" t="s">
        <v>545</v>
      </c>
      <c r="C623" t="s">
        <v>16</v>
      </c>
      <c r="D623">
        <v>0</v>
      </c>
      <c r="E623">
        <v>19</v>
      </c>
      <c r="F623" t="s">
        <v>662</v>
      </c>
      <c r="G623">
        <v>18</v>
      </c>
      <c r="H623" t="s">
        <v>18</v>
      </c>
      <c r="I623">
        <v>13</v>
      </c>
      <c r="J623">
        <v>26.3</v>
      </c>
      <c r="K623">
        <v>4</v>
      </c>
      <c r="L623">
        <v>2</v>
      </c>
      <c r="M623">
        <v>20</v>
      </c>
      <c r="N623" t="s">
        <v>370</v>
      </c>
    </row>
    <row r="624" spans="1:14" x14ac:dyDescent="0.35">
      <c r="A624" t="s">
        <v>643</v>
      </c>
      <c r="B624" t="s">
        <v>663</v>
      </c>
      <c r="C624" t="s">
        <v>16</v>
      </c>
      <c r="D624">
        <v>1</v>
      </c>
      <c r="E624">
        <v>15</v>
      </c>
      <c r="F624" t="s">
        <v>664</v>
      </c>
      <c r="G624">
        <v>16</v>
      </c>
      <c r="H624" t="s">
        <v>157</v>
      </c>
      <c r="I624">
        <v>15</v>
      </c>
      <c r="J624">
        <v>30.7</v>
      </c>
      <c r="K624">
        <v>1</v>
      </c>
      <c r="L624">
        <v>0</v>
      </c>
      <c r="M624">
        <v>16</v>
      </c>
      <c r="N624" t="s">
        <v>473</v>
      </c>
    </row>
    <row r="625" spans="1:14" x14ac:dyDescent="0.35">
      <c r="A625" t="s">
        <v>643</v>
      </c>
      <c r="B625" t="s">
        <v>665</v>
      </c>
      <c r="C625" t="s">
        <v>16</v>
      </c>
      <c r="D625">
        <v>0</v>
      </c>
      <c r="E625">
        <v>12</v>
      </c>
      <c r="F625" t="s">
        <v>368</v>
      </c>
      <c r="G625">
        <v>12</v>
      </c>
      <c r="H625" t="s">
        <v>157</v>
      </c>
      <c r="I625">
        <v>15</v>
      </c>
      <c r="J625">
        <v>20.100000000000001</v>
      </c>
      <c r="K625">
        <v>4</v>
      </c>
      <c r="L625">
        <v>3</v>
      </c>
      <c r="M625">
        <v>15</v>
      </c>
      <c r="N625" t="s">
        <v>599</v>
      </c>
    </row>
    <row r="626" spans="1:14" x14ac:dyDescent="0.35">
      <c r="A626" t="s">
        <v>643</v>
      </c>
      <c r="B626" t="s">
        <v>666</v>
      </c>
      <c r="C626" t="s">
        <v>16</v>
      </c>
      <c r="D626">
        <v>0</v>
      </c>
      <c r="E626">
        <v>8</v>
      </c>
      <c r="F626" t="s">
        <v>667</v>
      </c>
      <c r="G626">
        <v>8</v>
      </c>
      <c r="H626" t="s">
        <v>157</v>
      </c>
      <c r="I626">
        <v>15</v>
      </c>
      <c r="J626">
        <v>31</v>
      </c>
      <c r="K626">
        <v>3</v>
      </c>
      <c r="L626">
        <v>0</v>
      </c>
      <c r="M626">
        <v>8</v>
      </c>
      <c r="N626" t="s">
        <v>557</v>
      </c>
    </row>
    <row r="627" spans="1:14" x14ac:dyDescent="0.35">
      <c r="A627" t="s">
        <v>643</v>
      </c>
      <c r="B627" t="s">
        <v>599</v>
      </c>
      <c r="C627" t="s">
        <v>16</v>
      </c>
      <c r="D627">
        <v>0</v>
      </c>
      <c r="E627">
        <v>15</v>
      </c>
      <c r="F627" t="s">
        <v>668</v>
      </c>
      <c r="G627">
        <v>15</v>
      </c>
      <c r="H627" t="s">
        <v>157</v>
      </c>
      <c r="I627">
        <v>15</v>
      </c>
      <c r="J627">
        <v>27.8</v>
      </c>
      <c r="K627">
        <v>4</v>
      </c>
      <c r="L627">
        <v>1</v>
      </c>
      <c r="M627">
        <v>16</v>
      </c>
      <c r="N627" t="s">
        <v>555</v>
      </c>
    </row>
    <row r="628" spans="1:14" x14ac:dyDescent="0.35">
      <c r="A628" t="s">
        <v>643</v>
      </c>
      <c r="B628" t="s">
        <v>374</v>
      </c>
      <c r="C628" t="s">
        <v>16</v>
      </c>
      <c r="D628">
        <v>0</v>
      </c>
      <c r="E628">
        <v>12</v>
      </c>
      <c r="F628" t="s">
        <v>377</v>
      </c>
      <c r="G628">
        <v>12</v>
      </c>
      <c r="H628" t="s">
        <v>157</v>
      </c>
      <c r="I628">
        <v>15</v>
      </c>
      <c r="J628">
        <v>29.7</v>
      </c>
      <c r="K628">
        <v>4</v>
      </c>
      <c r="L628">
        <v>0</v>
      </c>
      <c r="M628">
        <v>12</v>
      </c>
      <c r="N628" t="s">
        <v>481</v>
      </c>
    </row>
    <row r="629" spans="1:14" x14ac:dyDescent="0.35">
      <c r="A629" t="s">
        <v>643</v>
      </c>
      <c r="B629" t="s">
        <v>669</v>
      </c>
      <c r="C629" t="s">
        <v>16</v>
      </c>
      <c r="D629">
        <v>0</v>
      </c>
      <c r="E629">
        <v>6</v>
      </c>
      <c r="F629" t="s">
        <v>670</v>
      </c>
      <c r="G629">
        <v>6</v>
      </c>
      <c r="H629" t="s">
        <v>157</v>
      </c>
      <c r="I629">
        <v>15</v>
      </c>
      <c r="J629">
        <v>28.1</v>
      </c>
      <c r="K629">
        <v>2</v>
      </c>
      <c r="L629">
        <v>1</v>
      </c>
      <c r="M629">
        <v>7</v>
      </c>
      <c r="N629" t="s">
        <v>563</v>
      </c>
    </row>
    <row r="630" spans="1:14" x14ac:dyDescent="0.35">
      <c r="A630" t="s">
        <v>643</v>
      </c>
      <c r="B630" t="s">
        <v>636</v>
      </c>
      <c r="C630" t="s">
        <v>16</v>
      </c>
      <c r="D630">
        <v>0</v>
      </c>
      <c r="E630">
        <v>17</v>
      </c>
      <c r="F630" t="s">
        <v>671</v>
      </c>
      <c r="G630">
        <v>17</v>
      </c>
      <c r="H630" t="s">
        <v>157</v>
      </c>
      <c r="I630">
        <v>15</v>
      </c>
      <c r="J630">
        <v>29.5</v>
      </c>
      <c r="K630">
        <v>1</v>
      </c>
      <c r="L630">
        <v>3</v>
      </c>
      <c r="M630">
        <v>20</v>
      </c>
      <c r="N630" t="s">
        <v>486</v>
      </c>
    </row>
    <row r="631" spans="1:14" x14ac:dyDescent="0.35">
      <c r="A631" t="s">
        <v>643</v>
      </c>
      <c r="B631" t="s">
        <v>672</v>
      </c>
      <c r="C631" t="s">
        <v>16</v>
      </c>
      <c r="D631">
        <v>0</v>
      </c>
      <c r="E631">
        <v>13</v>
      </c>
      <c r="F631" t="s">
        <v>233</v>
      </c>
      <c r="G631">
        <v>13</v>
      </c>
      <c r="H631" t="s">
        <v>157</v>
      </c>
      <c r="I631">
        <v>15</v>
      </c>
      <c r="J631">
        <v>31.3</v>
      </c>
      <c r="K631">
        <v>2</v>
      </c>
      <c r="L631">
        <v>0</v>
      </c>
      <c r="M631">
        <v>13</v>
      </c>
      <c r="N631" t="s">
        <v>390</v>
      </c>
    </row>
    <row r="632" spans="1:14" x14ac:dyDescent="0.35">
      <c r="A632" t="s">
        <v>643</v>
      </c>
      <c r="B632" t="s">
        <v>673</v>
      </c>
      <c r="C632" t="s">
        <v>16</v>
      </c>
      <c r="D632">
        <v>0</v>
      </c>
      <c r="E632">
        <v>14</v>
      </c>
      <c r="F632" t="s">
        <v>236</v>
      </c>
      <c r="G632">
        <v>14</v>
      </c>
      <c r="H632" t="s">
        <v>157</v>
      </c>
      <c r="I632">
        <v>15</v>
      </c>
      <c r="J632">
        <v>29.2</v>
      </c>
      <c r="K632">
        <v>0</v>
      </c>
      <c r="L632">
        <v>0</v>
      </c>
      <c r="M632">
        <v>14</v>
      </c>
      <c r="N632" t="s">
        <v>674</v>
      </c>
    </row>
    <row r="633" spans="1:14" x14ac:dyDescent="0.35">
      <c r="A633" t="s">
        <v>643</v>
      </c>
      <c r="B633" t="s">
        <v>562</v>
      </c>
      <c r="C633" t="s">
        <v>16</v>
      </c>
      <c r="D633">
        <v>0</v>
      </c>
      <c r="E633">
        <v>13</v>
      </c>
      <c r="F633" t="s">
        <v>675</v>
      </c>
      <c r="G633">
        <v>13</v>
      </c>
      <c r="H633" t="s">
        <v>157</v>
      </c>
      <c r="I633">
        <v>15</v>
      </c>
      <c r="J633">
        <v>27.4</v>
      </c>
      <c r="K633">
        <v>2</v>
      </c>
      <c r="L633">
        <v>0</v>
      </c>
      <c r="M633">
        <v>13</v>
      </c>
      <c r="N633" t="s">
        <v>399</v>
      </c>
    </row>
    <row r="634" spans="1:14" x14ac:dyDescent="0.35">
      <c r="A634" t="s">
        <v>643</v>
      </c>
      <c r="B634" t="s">
        <v>239</v>
      </c>
      <c r="C634" t="s">
        <v>16</v>
      </c>
      <c r="D634">
        <v>0</v>
      </c>
      <c r="E634">
        <v>17</v>
      </c>
      <c r="F634" t="s">
        <v>491</v>
      </c>
      <c r="G634">
        <v>17</v>
      </c>
      <c r="H634" t="s">
        <v>157</v>
      </c>
      <c r="I634">
        <v>15</v>
      </c>
      <c r="J634">
        <v>28</v>
      </c>
      <c r="K634">
        <v>3</v>
      </c>
      <c r="L634">
        <v>2</v>
      </c>
      <c r="M634">
        <v>19</v>
      </c>
      <c r="N634" t="s">
        <v>676</v>
      </c>
    </row>
    <row r="635" spans="1:14" x14ac:dyDescent="0.35">
      <c r="A635" t="s">
        <v>643</v>
      </c>
      <c r="B635" t="s">
        <v>677</v>
      </c>
      <c r="C635" t="s">
        <v>16</v>
      </c>
      <c r="D635">
        <v>0</v>
      </c>
      <c r="E635">
        <v>18</v>
      </c>
      <c r="F635" t="s">
        <v>245</v>
      </c>
      <c r="G635">
        <v>18</v>
      </c>
      <c r="H635" t="s">
        <v>18</v>
      </c>
      <c r="I635">
        <v>14</v>
      </c>
      <c r="J635">
        <v>30.2</v>
      </c>
      <c r="K635">
        <v>3</v>
      </c>
      <c r="L635">
        <v>3</v>
      </c>
      <c r="M635">
        <v>21</v>
      </c>
      <c r="N635" t="s">
        <v>678</v>
      </c>
    </row>
    <row r="636" spans="1:14" x14ac:dyDescent="0.35">
      <c r="A636" t="s">
        <v>643</v>
      </c>
      <c r="B636" t="s">
        <v>641</v>
      </c>
      <c r="C636" t="s">
        <v>16</v>
      </c>
      <c r="D636">
        <v>0</v>
      </c>
      <c r="E636">
        <v>11</v>
      </c>
      <c r="F636" t="s">
        <v>614</v>
      </c>
      <c r="G636">
        <v>11</v>
      </c>
      <c r="H636" t="s">
        <v>157</v>
      </c>
      <c r="I636">
        <v>15</v>
      </c>
      <c r="J636">
        <v>32.200000000000003</v>
      </c>
      <c r="K636">
        <v>4</v>
      </c>
      <c r="L636">
        <v>0</v>
      </c>
      <c r="M636">
        <v>11</v>
      </c>
      <c r="N636" t="s">
        <v>495</v>
      </c>
    </row>
    <row r="637" spans="1:14" x14ac:dyDescent="0.35">
      <c r="A637" t="s">
        <v>679</v>
      </c>
      <c r="B637" t="s">
        <v>15</v>
      </c>
      <c r="C637" t="s">
        <v>16</v>
      </c>
      <c r="D637">
        <v>0</v>
      </c>
      <c r="E637">
        <v>20</v>
      </c>
      <c r="F637" t="s">
        <v>680</v>
      </c>
      <c r="G637">
        <v>18</v>
      </c>
      <c r="H637" t="s">
        <v>18</v>
      </c>
      <c r="I637">
        <v>2</v>
      </c>
      <c r="J637">
        <v>26.1</v>
      </c>
      <c r="K637">
        <v>1</v>
      </c>
      <c r="L637">
        <v>5</v>
      </c>
      <c r="M637">
        <v>23</v>
      </c>
      <c r="N637" t="s">
        <v>50</v>
      </c>
    </row>
    <row r="638" spans="1:14" x14ac:dyDescent="0.35">
      <c r="A638" t="s">
        <v>679</v>
      </c>
      <c r="B638" t="s">
        <v>17</v>
      </c>
      <c r="C638" t="s">
        <v>16</v>
      </c>
      <c r="D638">
        <v>2</v>
      </c>
      <c r="E638">
        <v>17</v>
      </c>
      <c r="F638" t="s">
        <v>23</v>
      </c>
      <c r="G638">
        <v>18</v>
      </c>
      <c r="H638" t="s">
        <v>18</v>
      </c>
      <c r="I638">
        <v>4</v>
      </c>
      <c r="J638">
        <v>25.3</v>
      </c>
      <c r="K638">
        <v>2</v>
      </c>
      <c r="L638">
        <v>3</v>
      </c>
      <c r="M638">
        <v>21</v>
      </c>
      <c r="N638" t="s">
        <v>19</v>
      </c>
    </row>
    <row r="639" spans="1:14" x14ac:dyDescent="0.35">
      <c r="A639" t="s">
        <v>679</v>
      </c>
      <c r="B639" t="s">
        <v>575</v>
      </c>
      <c r="C639" t="s">
        <v>16</v>
      </c>
      <c r="D639">
        <v>1</v>
      </c>
      <c r="E639">
        <v>18</v>
      </c>
      <c r="F639" t="s">
        <v>26</v>
      </c>
      <c r="G639">
        <v>18</v>
      </c>
      <c r="H639" t="s">
        <v>18</v>
      </c>
      <c r="I639">
        <v>3</v>
      </c>
      <c r="J639">
        <v>32.700000000000003</v>
      </c>
      <c r="K639">
        <v>4</v>
      </c>
      <c r="L639">
        <v>4</v>
      </c>
      <c r="M639">
        <v>22</v>
      </c>
      <c r="N639" t="s">
        <v>408</v>
      </c>
    </row>
    <row r="640" spans="1:14" x14ac:dyDescent="0.35">
      <c r="A640" t="s">
        <v>679</v>
      </c>
      <c r="B640" t="s">
        <v>407</v>
      </c>
      <c r="C640" t="s">
        <v>16</v>
      </c>
      <c r="D640">
        <v>1</v>
      </c>
      <c r="E640">
        <v>24</v>
      </c>
      <c r="F640" t="s">
        <v>27</v>
      </c>
      <c r="G640">
        <v>18</v>
      </c>
      <c r="H640" t="s">
        <v>18</v>
      </c>
      <c r="I640">
        <v>4</v>
      </c>
      <c r="J640">
        <v>31.5</v>
      </c>
      <c r="K640">
        <v>4</v>
      </c>
      <c r="L640">
        <v>4</v>
      </c>
      <c r="M640">
        <v>22</v>
      </c>
      <c r="N640" t="s">
        <v>42</v>
      </c>
    </row>
    <row r="641" spans="1:14" x14ac:dyDescent="0.35">
      <c r="A641" t="s">
        <v>679</v>
      </c>
      <c r="B641" t="s">
        <v>15</v>
      </c>
      <c r="C641" t="s">
        <v>29</v>
      </c>
      <c r="D641">
        <v>0</v>
      </c>
      <c r="E641">
        <v>18</v>
      </c>
      <c r="F641" t="s">
        <v>499</v>
      </c>
      <c r="G641">
        <v>18</v>
      </c>
      <c r="H641" t="s">
        <v>18</v>
      </c>
      <c r="I641">
        <v>18</v>
      </c>
      <c r="J641">
        <v>23.5</v>
      </c>
      <c r="K641">
        <v>1</v>
      </c>
      <c r="L641">
        <v>3</v>
      </c>
      <c r="M641">
        <v>21</v>
      </c>
      <c r="N641" t="s">
        <v>28</v>
      </c>
    </row>
    <row r="642" spans="1:14" x14ac:dyDescent="0.35">
      <c r="A642" t="s">
        <v>679</v>
      </c>
      <c r="B642" t="s">
        <v>30</v>
      </c>
      <c r="C642" t="s">
        <v>16</v>
      </c>
      <c r="D642">
        <v>7</v>
      </c>
      <c r="E642">
        <v>11</v>
      </c>
      <c r="F642" t="s">
        <v>260</v>
      </c>
      <c r="G642">
        <v>18</v>
      </c>
      <c r="H642" t="s">
        <v>18</v>
      </c>
      <c r="I642">
        <v>2</v>
      </c>
      <c r="J642">
        <v>25.8</v>
      </c>
      <c r="K642">
        <v>3</v>
      </c>
      <c r="L642">
        <v>3</v>
      </c>
      <c r="M642">
        <v>21</v>
      </c>
      <c r="N642" t="s">
        <v>681</v>
      </c>
    </row>
    <row r="643" spans="1:14" x14ac:dyDescent="0.35">
      <c r="A643" t="s">
        <v>679</v>
      </c>
      <c r="B643" t="s">
        <v>31</v>
      </c>
      <c r="C643" t="s">
        <v>16</v>
      </c>
      <c r="D643">
        <v>0</v>
      </c>
      <c r="E643">
        <v>20</v>
      </c>
      <c r="F643" t="s">
        <v>261</v>
      </c>
      <c r="G643">
        <v>18</v>
      </c>
      <c r="H643" t="s">
        <v>18</v>
      </c>
      <c r="I643">
        <v>4</v>
      </c>
      <c r="J643">
        <v>27.5</v>
      </c>
      <c r="K643">
        <v>0</v>
      </c>
      <c r="L643">
        <v>0</v>
      </c>
      <c r="M643">
        <v>18</v>
      </c>
      <c r="N643" t="s">
        <v>32</v>
      </c>
    </row>
    <row r="644" spans="1:14" x14ac:dyDescent="0.35">
      <c r="A644" t="s">
        <v>679</v>
      </c>
      <c r="B644" t="s">
        <v>34</v>
      </c>
      <c r="C644" t="s">
        <v>16</v>
      </c>
      <c r="D644">
        <v>2</v>
      </c>
      <c r="E644">
        <v>20</v>
      </c>
      <c r="F644" t="s">
        <v>36</v>
      </c>
      <c r="G644">
        <v>18</v>
      </c>
      <c r="H644" t="s">
        <v>18</v>
      </c>
      <c r="I644">
        <v>2</v>
      </c>
      <c r="J644">
        <v>27.6</v>
      </c>
      <c r="K644">
        <v>0</v>
      </c>
      <c r="L644">
        <v>0</v>
      </c>
      <c r="M644">
        <v>18</v>
      </c>
      <c r="N644" t="s">
        <v>500</v>
      </c>
    </row>
    <row r="645" spans="1:14" x14ac:dyDescent="0.35">
      <c r="A645" t="s">
        <v>679</v>
      </c>
      <c r="B645" t="s">
        <v>50</v>
      </c>
      <c r="C645" t="s">
        <v>16</v>
      </c>
      <c r="D645">
        <v>4</v>
      </c>
      <c r="E645">
        <v>15</v>
      </c>
      <c r="F645" t="s">
        <v>25</v>
      </c>
      <c r="G645">
        <v>18</v>
      </c>
      <c r="H645" t="s">
        <v>18</v>
      </c>
      <c r="I645">
        <v>9</v>
      </c>
      <c r="J645">
        <v>25.9</v>
      </c>
      <c r="K645">
        <v>1</v>
      </c>
      <c r="L645">
        <v>3</v>
      </c>
      <c r="M645">
        <v>21</v>
      </c>
      <c r="N645" t="s">
        <v>269</v>
      </c>
    </row>
    <row r="646" spans="1:14" x14ac:dyDescent="0.35">
      <c r="A646" t="s">
        <v>679</v>
      </c>
      <c r="B646" t="s">
        <v>31</v>
      </c>
      <c r="C646" t="s">
        <v>29</v>
      </c>
      <c r="D646">
        <v>0</v>
      </c>
      <c r="E646">
        <v>18</v>
      </c>
      <c r="F646" t="s">
        <v>681</v>
      </c>
      <c r="G646">
        <v>18</v>
      </c>
      <c r="H646" t="s">
        <v>18</v>
      </c>
      <c r="I646">
        <v>24</v>
      </c>
      <c r="J646">
        <v>22.8</v>
      </c>
      <c r="K646">
        <v>2</v>
      </c>
      <c r="L646">
        <v>4</v>
      </c>
      <c r="M646">
        <v>22</v>
      </c>
      <c r="N646" t="s">
        <v>411</v>
      </c>
    </row>
    <row r="647" spans="1:14" x14ac:dyDescent="0.35">
      <c r="A647" t="s">
        <v>679</v>
      </c>
      <c r="B647" t="s">
        <v>501</v>
      </c>
      <c r="C647" t="s">
        <v>16</v>
      </c>
      <c r="D647">
        <v>1</v>
      </c>
      <c r="E647">
        <v>18</v>
      </c>
      <c r="F647" t="s">
        <v>42</v>
      </c>
      <c r="G647">
        <v>18</v>
      </c>
      <c r="H647" t="s">
        <v>18</v>
      </c>
      <c r="I647">
        <v>9</v>
      </c>
      <c r="J647">
        <v>24.9</v>
      </c>
      <c r="K647">
        <v>2</v>
      </c>
      <c r="L647">
        <v>2</v>
      </c>
      <c r="M647">
        <v>20</v>
      </c>
      <c r="N647" t="s">
        <v>273</v>
      </c>
    </row>
    <row r="648" spans="1:14" x14ac:dyDescent="0.35">
      <c r="A648" t="s">
        <v>679</v>
      </c>
      <c r="B648" t="s">
        <v>44</v>
      </c>
      <c r="C648" t="s">
        <v>16</v>
      </c>
      <c r="D648">
        <v>1</v>
      </c>
      <c r="E648">
        <v>17</v>
      </c>
      <c r="F648" t="s">
        <v>409</v>
      </c>
      <c r="G648">
        <v>18</v>
      </c>
      <c r="H648" t="s">
        <v>18</v>
      </c>
      <c r="I648">
        <v>11</v>
      </c>
      <c r="J648">
        <v>26.6</v>
      </c>
      <c r="K648">
        <v>0</v>
      </c>
      <c r="L648">
        <v>0</v>
      </c>
      <c r="M648">
        <v>18</v>
      </c>
      <c r="N648" t="s">
        <v>65</v>
      </c>
    </row>
    <row r="649" spans="1:14" x14ac:dyDescent="0.35">
      <c r="A649" t="s">
        <v>679</v>
      </c>
      <c r="B649" t="s">
        <v>576</v>
      </c>
      <c r="C649" t="s">
        <v>16</v>
      </c>
      <c r="D649">
        <v>0</v>
      </c>
      <c r="E649">
        <v>24</v>
      </c>
      <c r="F649" t="s">
        <v>265</v>
      </c>
      <c r="G649">
        <v>18</v>
      </c>
      <c r="H649" t="s">
        <v>18</v>
      </c>
      <c r="I649">
        <v>5</v>
      </c>
      <c r="J649">
        <v>25.6</v>
      </c>
      <c r="K649">
        <v>1</v>
      </c>
      <c r="L649">
        <v>6</v>
      </c>
      <c r="M649">
        <v>24</v>
      </c>
      <c r="N649" t="s">
        <v>280</v>
      </c>
    </row>
    <row r="650" spans="1:14" x14ac:dyDescent="0.35">
      <c r="A650" t="s">
        <v>679</v>
      </c>
      <c r="B650" t="s">
        <v>37</v>
      </c>
      <c r="C650" t="s">
        <v>29</v>
      </c>
      <c r="D650">
        <v>0</v>
      </c>
      <c r="E650">
        <v>18</v>
      </c>
      <c r="F650" t="s">
        <v>265</v>
      </c>
      <c r="G650">
        <v>18</v>
      </c>
      <c r="H650" t="s">
        <v>18</v>
      </c>
      <c r="I650">
        <v>16</v>
      </c>
      <c r="J650">
        <v>20.399999999999999</v>
      </c>
      <c r="K650">
        <v>2</v>
      </c>
      <c r="L650">
        <v>4</v>
      </c>
      <c r="M650">
        <v>22</v>
      </c>
      <c r="N650" t="s">
        <v>65</v>
      </c>
    </row>
    <row r="651" spans="1:14" x14ac:dyDescent="0.35">
      <c r="A651" t="s">
        <v>679</v>
      </c>
      <c r="B651" t="s">
        <v>411</v>
      </c>
      <c r="C651" t="s">
        <v>16</v>
      </c>
      <c r="D651">
        <v>6</v>
      </c>
      <c r="E651">
        <v>15</v>
      </c>
      <c r="F651" t="s">
        <v>53</v>
      </c>
      <c r="G651">
        <v>18</v>
      </c>
      <c r="H651" t="s">
        <v>18</v>
      </c>
      <c r="I651">
        <v>3</v>
      </c>
      <c r="J651">
        <v>27</v>
      </c>
      <c r="K651">
        <v>4</v>
      </c>
      <c r="L651">
        <v>4</v>
      </c>
      <c r="M651">
        <v>22</v>
      </c>
      <c r="N651" t="s">
        <v>271</v>
      </c>
    </row>
    <row r="652" spans="1:14" x14ac:dyDescent="0.35">
      <c r="A652" t="s">
        <v>679</v>
      </c>
      <c r="B652" t="s">
        <v>55</v>
      </c>
      <c r="C652" t="s">
        <v>16</v>
      </c>
      <c r="D652">
        <v>3</v>
      </c>
      <c r="E652">
        <v>17</v>
      </c>
      <c r="F652" t="s">
        <v>43</v>
      </c>
      <c r="G652">
        <v>18</v>
      </c>
      <c r="H652" t="s">
        <v>18</v>
      </c>
      <c r="I652">
        <v>3</v>
      </c>
      <c r="J652">
        <v>31.6</v>
      </c>
      <c r="K652">
        <v>4</v>
      </c>
      <c r="L652">
        <v>3</v>
      </c>
      <c r="M652">
        <v>21</v>
      </c>
      <c r="N652" t="s">
        <v>283</v>
      </c>
    </row>
    <row r="653" spans="1:14" x14ac:dyDescent="0.35">
      <c r="A653" t="s">
        <v>679</v>
      </c>
      <c r="B653" t="s">
        <v>414</v>
      </c>
      <c r="C653" t="s">
        <v>16</v>
      </c>
      <c r="D653">
        <v>2</v>
      </c>
      <c r="E653">
        <v>18</v>
      </c>
      <c r="F653" t="s">
        <v>504</v>
      </c>
      <c r="G653">
        <v>18</v>
      </c>
      <c r="H653" t="s">
        <v>18</v>
      </c>
      <c r="I653">
        <v>4</v>
      </c>
      <c r="J653">
        <v>33.4</v>
      </c>
      <c r="K653">
        <v>3</v>
      </c>
      <c r="L653">
        <v>5</v>
      </c>
      <c r="M653">
        <v>23</v>
      </c>
      <c r="N653" t="s">
        <v>64</v>
      </c>
    </row>
    <row r="654" spans="1:14" x14ac:dyDescent="0.35">
      <c r="A654" t="s">
        <v>679</v>
      </c>
      <c r="B654" t="s">
        <v>62</v>
      </c>
      <c r="C654" t="s">
        <v>16</v>
      </c>
      <c r="D654">
        <v>2</v>
      </c>
      <c r="E654">
        <v>22</v>
      </c>
      <c r="F654" t="s">
        <v>51</v>
      </c>
      <c r="G654">
        <v>18</v>
      </c>
      <c r="H654" t="s">
        <v>18</v>
      </c>
      <c r="I654">
        <v>3</v>
      </c>
      <c r="J654">
        <v>25.6</v>
      </c>
      <c r="K654">
        <v>2</v>
      </c>
      <c r="L654">
        <v>2</v>
      </c>
      <c r="M654">
        <v>20</v>
      </c>
      <c r="N654" t="s">
        <v>413</v>
      </c>
    </row>
    <row r="655" spans="1:14" x14ac:dyDescent="0.35">
      <c r="A655" t="s">
        <v>679</v>
      </c>
      <c r="B655" t="s">
        <v>46</v>
      </c>
      <c r="C655" t="s">
        <v>16</v>
      </c>
      <c r="D655">
        <v>6</v>
      </c>
      <c r="E655">
        <v>12</v>
      </c>
      <c r="F655" t="s">
        <v>67</v>
      </c>
      <c r="G655">
        <v>18</v>
      </c>
      <c r="H655" t="s">
        <v>18</v>
      </c>
      <c r="I655">
        <v>1</v>
      </c>
      <c r="J655">
        <v>29.9</v>
      </c>
      <c r="K655">
        <v>3</v>
      </c>
      <c r="L655">
        <v>4</v>
      </c>
      <c r="M655">
        <v>22</v>
      </c>
      <c r="N655" t="s">
        <v>69</v>
      </c>
    </row>
    <row r="656" spans="1:14" x14ac:dyDescent="0.35">
      <c r="A656" t="s">
        <v>679</v>
      </c>
      <c r="B656" t="s">
        <v>270</v>
      </c>
      <c r="C656" t="s">
        <v>29</v>
      </c>
      <c r="D656">
        <v>0</v>
      </c>
      <c r="E656">
        <v>18</v>
      </c>
      <c r="F656" t="s">
        <v>67</v>
      </c>
      <c r="G656">
        <v>18</v>
      </c>
      <c r="H656" t="s">
        <v>18</v>
      </c>
      <c r="I656">
        <v>17</v>
      </c>
      <c r="J656">
        <v>19.899999999999999</v>
      </c>
      <c r="K656">
        <v>1</v>
      </c>
      <c r="L656">
        <v>3</v>
      </c>
      <c r="M656">
        <v>21</v>
      </c>
      <c r="N656" t="s">
        <v>281</v>
      </c>
    </row>
    <row r="657" spans="1:14" x14ac:dyDescent="0.35">
      <c r="A657" t="s">
        <v>679</v>
      </c>
      <c r="B657" t="s">
        <v>65</v>
      </c>
      <c r="C657" t="s">
        <v>16</v>
      </c>
      <c r="D657">
        <v>0</v>
      </c>
      <c r="E657">
        <v>20</v>
      </c>
      <c r="F657" t="s">
        <v>279</v>
      </c>
      <c r="G657">
        <v>18</v>
      </c>
      <c r="H657" t="s">
        <v>18</v>
      </c>
      <c r="I657">
        <v>4</v>
      </c>
      <c r="J657">
        <v>29.6</v>
      </c>
      <c r="K657">
        <v>3</v>
      </c>
      <c r="L657">
        <v>5</v>
      </c>
      <c r="M657">
        <v>23</v>
      </c>
      <c r="N657" t="s">
        <v>619</v>
      </c>
    </row>
    <row r="658" spans="1:14" x14ac:dyDescent="0.35">
      <c r="A658" t="s">
        <v>679</v>
      </c>
      <c r="B658" t="s">
        <v>280</v>
      </c>
      <c r="C658" t="s">
        <v>16</v>
      </c>
      <c r="D658">
        <v>2</v>
      </c>
      <c r="E658">
        <v>16</v>
      </c>
      <c r="F658" t="s">
        <v>507</v>
      </c>
      <c r="G658">
        <v>18</v>
      </c>
      <c r="H658" t="s">
        <v>18</v>
      </c>
      <c r="I658">
        <v>8</v>
      </c>
      <c r="J658">
        <v>27.7</v>
      </c>
      <c r="K658">
        <v>1</v>
      </c>
      <c r="L658">
        <v>3</v>
      </c>
      <c r="M658">
        <v>21</v>
      </c>
      <c r="N658" t="s">
        <v>77</v>
      </c>
    </row>
    <row r="659" spans="1:14" x14ac:dyDescent="0.35">
      <c r="A659" t="s">
        <v>679</v>
      </c>
      <c r="B659" t="s">
        <v>65</v>
      </c>
      <c r="C659" t="s">
        <v>29</v>
      </c>
      <c r="D659">
        <v>0</v>
      </c>
      <c r="E659">
        <v>18</v>
      </c>
      <c r="F659" t="s">
        <v>281</v>
      </c>
      <c r="G659">
        <v>18</v>
      </c>
      <c r="H659" t="s">
        <v>18</v>
      </c>
      <c r="I659">
        <v>18</v>
      </c>
      <c r="J659">
        <v>24.8</v>
      </c>
      <c r="K659">
        <v>1</v>
      </c>
      <c r="L659">
        <v>5</v>
      </c>
      <c r="M659">
        <v>23</v>
      </c>
      <c r="N659" t="s">
        <v>644</v>
      </c>
    </row>
    <row r="660" spans="1:14" x14ac:dyDescent="0.35">
      <c r="A660" t="s">
        <v>679</v>
      </c>
      <c r="B660" t="s">
        <v>54</v>
      </c>
      <c r="C660" t="s">
        <v>16</v>
      </c>
      <c r="D660">
        <v>0</v>
      </c>
      <c r="E660">
        <v>18</v>
      </c>
      <c r="F660" t="s">
        <v>413</v>
      </c>
      <c r="G660">
        <v>18</v>
      </c>
      <c r="H660" t="s">
        <v>18</v>
      </c>
      <c r="I660">
        <v>8</v>
      </c>
      <c r="J660">
        <v>31.4</v>
      </c>
      <c r="K660">
        <v>0</v>
      </c>
      <c r="L660">
        <v>0</v>
      </c>
      <c r="M660">
        <v>18</v>
      </c>
      <c r="N660" t="s">
        <v>87</v>
      </c>
    </row>
    <row r="661" spans="1:14" x14ac:dyDescent="0.35">
      <c r="A661" t="s">
        <v>679</v>
      </c>
      <c r="B661" t="s">
        <v>60</v>
      </c>
      <c r="C661" t="s">
        <v>16</v>
      </c>
      <c r="D661">
        <v>0</v>
      </c>
      <c r="E661">
        <v>21</v>
      </c>
      <c r="F661" t="s">
        <v>71</v>
      </c>
      <c r="G661">
        <v>18</v>
      </c>
      <c r="H661" t="s">
        <v>18</v>
      </c>
      <c r="I661">
        <v>12</v>
      </c>
      <c r="J661">
        <v>28.9</v>
      </c>
      <c r="K661">
        <v>2</v>
      </c>
      <c r="L661">
        <v>2</v>
      </c>
      <c r="M661">
        <v>20</v>
      </c>
      <c r="N661" t="s">
        <v>295</v>
      </c>
    </row>
    <row r="662" spans="1:14" x14ac:dyDescent="0.35">
      <c r="A662" t="s">
        <v>679</v>
      </c>
      <c r="B662" t="s">
        <v>75</v>
      </c>
      <c r="C662" t="s">
        <v>16</v>
      </c>
      <c r="D662">
        <v>3</v>
      </c>
      <c r="E662">
        <v>16</v>
      </c>
      <c r="F662" t="s">
        <v>287</v>
      </c>
      <c r="G662">
        <v>18</v>
      </c>
      <c r="H662" t="s">
        <v>18</v>
      </c>
      <c r="I662">
        <v>3</v>
      </c>
      <c r="J662">
        <v>25.8</v>
      </c>
      <c r="K662">
        <v>3</v>
      </c>
      <c r="L662">
        <v>3</v>
      </c>
      <c r="M662">
        <v>21</v>
      </c>
      <c r="N662" t="s">
        <v>74</v>
      </c>
    </row>
    <row r="663" spans="1:14" x14ac:dyDescent="0.35">
      <c r="A663" t="s">
        <v>679</v>
      </c>
      <c r="B663" t="s">
        <v>283</v>
      </c>
      <c r="C663" t="s">
        <v>29</v>
      </c>
      <c r="D663">
        <v>0</v>
      </c>
      <c r="E663">
        <v>18</v>
      </c>
      <c r="F663" t="s">
        <v>287</v>
      </c>
      <c r="G663">
        <v>18</v>
      </c>
      <c r="H663" t="s">
        <v>18</v>
      </c>
      <c r="I663">
        <v>20</v>
      </c>
      <c r="J663">
        <v>22.9</v>
      </c>
      <c r="K663">
        <v>1</v>
      </c>
      <c r="L663">
        <v>3</v>
      </c>
      <c r="M663">
        <v>21</v>
      </c>
      <c r="N663" t="s">
        <v>94</v>
      </c>
    </row>
    <row r="664" spans="1:14" x14ac:dyDescent="0.35">
      <c r="A664" t="s">
        <v>679</v>
      </c>
      <c r="B664" t="s">
        <v>77</v>
      </c>
      <c r="C664" t="s">
        <v>16</v>
      </c>
      <c r="D664">
        <v>1</v>
      </c>
      <c r="E664">
        <v>19</v>
      </c>
      <c r="F664" t="s">
        <v>288</v>
      </c>
      <c r="G664">
        <v>18</v>
      </c>
      <c r="H664" t="s">
        <v>18</v>
      </c>
      <c r="I664">
        <v>3</v>
      </c>
      <c r="J664">
        <v>22.4</v>
      </c>
      <c r="K664">
        <v>2</v>
      </c>
      <c r="L664">
        <v>3</v>
      </c>
      <c r="M664">
        <v>21</v>
      </c>
      <c r="N664" t="s">
        <v>98</v>
      </c>
    </row>
    <row r="665" spans="1:14" x14ac:dyDescent="0.35">
      <c r="A665" t="s">
        <v>679</v>
      </c>
      <c r="B665" t="s">
        <v>80</v>
      </c>
      <c r="C665" t="s">
        <v>16</v>
      </c>
      <c r="D665">
        <v>2</v>
      </c>
      <c r="E665">
        <v>18</v>
      </c>
      <c r="F665" t="s">
        <v>83</v>
      </c>
      <c r="G665">
        <v>18</v>
      </c>
      <c r="H665" t="s">
        <v>18</v>
      </c>
      <c r="I665">
        <v>4</v>
      </c>
      <c r="J665">
        <v>27.9</v>
      </c>
      <c r="K665">
        <v>4</v>
      </c>
      <c r="L665">
        <v>2</v>
      </c>
      <c r="M665">
        <v>20</v>
      </c>
      <c r="N665" t="s">
        <v>103</v>
      </c>
    </row>
    <row r="666" spans="1:14" x14ac:dyDescent="0.35">
      <c r="A666" t="s">
        <v>679</v>
      </c>
      <c r="B666" t="s">
        <v>85</v>
      </c>
      <c r="C666" t="s">
        <v>16</v>
      </c>
      <c r="D666">
        <v>2</v>
      </c>
      <c r="E666">
        <v>20</v>
      </c>
      <c r="F666" t="s">
        <v>87</v>
      </c>
      <c r="G666">
        <v>18</v>
      </c>
      <c r="H666" t="s">
        <v>18</v>
      </c>
      <c r="I666">
        <v>4</v>
      </c>
      <c r="J666">
        <v>28</v>
      </c>
      <c r="K666">
        <v>4</v>
      </c>
      <c r="L666">
        <v>3</v>
      </c>
      <c r="M666">
        <v>21</v>
      </c>
      <c r="N666" t="s">
        <v>92</v>
      </c>
    </row>
    <row r="667" spans="1:14" x14ac:dyDescent="0.35">
      <c r="A667" t="s">
        <v>679</v>
      </c>
      <c r="B667" t="s">
        <v>293</v>
      </c>
      <c r="C667" t="s">
        <v>16</v>
      </c>
      <c r="D667">
        <v>4</v>
      </c>
      <c r="E667">
        <v>14</v>
      </c>
      <c r="F667" t="s">
        <v>285</v>
      </c>
      <c r="G667">
        <v>18</v>
      </c>
      <c r="H667" t="s">
        <v>18</v>
      </c>
      <c r="I667">
        <v>3</v>
      </c>
      <c r="J667">
        <v>32.6</v>
      </c>
      <c r="K667">
        <v>1</v>
      </c>
      <c r="L667">
        <v>4</v>
      </c>
      <c r="M667">
        <v>22</v>
      </c>
      <c r="N667" t="s">
        <v>97</v>
      </c>
    </row>
    <row r="668" spans="1:14" x14ac:dyDescent="0.35">
      <c r="A668" t="s">
        <v>679</v>
      </c>
      <c r="B668" t="s">
        <v>91</v>
      </c>
      <c r="C668" t="s">
        <v>16</v>
      </c>
      <c r="D668">
        <v>0</v>
      </c>
      <c r="E668">
        <v>18</v>
      </c>
      <c r="F668" t="s">
        <v>96</v>
      </c>
      <c r="G668">
        <v>18</v>
      </c>
      <c r="H668" t="s">
        <v>18</v>
      </c>
      <c r="I668">
        <v>4</v>
      </c>
      <c r="J668">
        <v>35</v>
      </c>
      <c r="K668">
        <v>4</v>
      </c>
      <c r="L668">
        <v>4</v>
      </c>
      <c r="M668">
        <v>22</v>
      </c>
      <c r="N668" t="s">
        <v>422</v>
      </c>
    </row>
    <row r="669" spans="1:14" x14ac:dyDescent="0.35">
      <c r="A669" t="s">
        <v>679</v>
      </c>
      <c r="B669" t="s">
        <v>644</v>
      </c>
      <c r="C669" t="s">
        <v>29</v>
      </c>
      <c r="D669">
        <v>0</v>
      </c>
      <c r="E669">
        <v>19</v>
      </c>
      <c r="F669" t="s">
        <v>295</v>
      </c>
      <c r="G669">
        <v>18</v>
      </c>
      <c r="H669" t="s">
        <v>18</v>
      </c>
      <c r="I669">
        <v>21</v>
      </c>
      <c r="J669">
        <v>22.9</v>
      </c>
      <c r="K669">
        <v>0</v>
      </c>
      <c r="L669">
        <v>0</v>
      </c>
      <c r="M669">
        <v>18</v>
      </c>
      <c r="N669" t="s">
        <v>86</v>
      </c>
    </row>
    <row r="670" spans="1:14" x14ac:dyDescent="0.35">
      <c r="A670" t="s">
        <v>679</v>
      </c>
      <c r="B670" t="s">
        <v>295</v>
      </c>
      <c r="C670" t="s">
        <v>16</v>
      </c>
      <c r="D670">
        <v>0</v>
      </c>
      <c r="E670">
        <v>18</v>
      </c>
      <c r="F670" t="s">
        <v>289</v>
      </c>
      <c r="G670">
        <v>18</v>
      </c>
      <c r="H670" t="s">
        <v>18</v>
      </c>
      <c r="I670">
        <v>9</v>
      </c>
      <c r="J670">
        <v>28.1</v>
      </c>
      <c r="K670">
        <v>4</v>
      </c>
      <c r="L670">
        <v>5</v>
      </c>
      <c r="M670">
        <v>23</v>
      </c>
      <c r="N670" t="s">
        <v>423</v>
      </c>
    </row>
    <row r="671" spans="1:14" x14ac:dyDescent="0.35">
      <c r="A671" t="s">
        <v>679</v>
      </c>
      <c r="B671" t="s">
        <v>418</v>
      </c>
      <c r="C671" t="s">
        <v>16</v>
      </c>
      <c r="D671">
        <v>0</v>
      </c>
      <c r="E671">
        <v>19</v>
      </c>
      <c r="F671" t="s">
        <v>106</v>
      </c>
      <c r="G671">
        <v>18</v>
      </c>
      <c r="H671" t="s">
        <v>18</v>
      </c>
      <c r="I671">
        <v>19</v>
      </c>
      <c r="J671">
        <v>26.6</v>
      </c>
      <c r="K671">
        <v>0</v>
      </c>
      <c r="L671">
        <v>0</v>
      </c>
      <c r="M671">
        <v>18</v>
      </c>
      <c r="N671" t="s">
        <v>306</v>
      </c>
    </row>
    <row r="672" spans="1:14" x14ac:dyDescent="0.35">
      <c r="A672" t="s">
        <v>679</v>
      </c>
      <c r="B672" t="s">
        <v>74</v>
      </c>
      <c r="C672" t="s">
        <v>29</v>
      </c>
      <c r="D672">
        <v>1</v>
      </c>
      <c r="E672">
        <v>17</v>
      </c>
      <c r="F672" t="s">
        <v>646</v>
      </c>
      <c r="G672">
        <v>18</v>
      </c>
      <c r="H672" t="s">
        <v>18</v>
      </c>
      <c r="I672">
        <v>31</v>
      </c>
      <c r="J672">
        <v>25.8</v>
      </c>
      <c r="K672">
        <v>4</v>
      </c>
      <c r="L672">
        <v>3</v>
      </c>
      <c r="M672">
        <v>21</v>
      </c>
      <c r="N672" t="s">
        <v>682</v>
      </c>
    </row>
    <row r="673" spans="1:14" x14ac:dyDescent="0.35">
      <c r="A673" t="s">
        <v>679</v>
      </c>
      <c r="B673" t="s">
        <v>297</v>
      </c>
      <c r="C673" t="s">
        <v>16</v>
      </c>
      <c r="D673">
        <v>1</v>
      </c>
      <c r="E673">
        <v>17</v>
      </c>
      <c r="F673" t="s">
        <v>107</v>
      </c>
      <c r="G673">
        <v>18</v>
      </c>
      <c r="H673" t="s">
        <v>18</v>
      </c>
      <c r="I673">
        <v>20</v>
      </c>
      <c r="J673">
        <v>27</v>
      </c>
      <c r="K673">
        <v>4</v>
      </c>
      <c r="L673">
        <v>3</v>
      </c>
      <c r="M673">
        <v>21</v>
      </c>
      <c r="N673" t="s">
        <v>309</v>
      </c>
    </row>
    <row r="674" spans="1:14" x14ac:dyDescent="0.35">
      <c r="A674" t="s">
        <v>679</v>
      </c>
      <c r="B674" t="s">
        <v>111</v>
      </c>
      <c r="C674" t="s">
        <v>16</v>
      </c>
      <c r="D674">
        <v>0</v>
      </c>
      <c r="E674">
        <v>18</v>
      </c>
      <c r="F674" t="s">
        <v>112</v>
      </c>
      <c r="G674">
        <v>18</v>
      </c>
      <c r="H674" t="s">
        <v>18</v>
      </c>
      <c r="I674">
        <v>21</v>
      </c>
      <c r="J674">
        <v>28.7</v>
      </c>
      <c r="K674">
        <v>2</v>
      </c>
      <c r="L674">
        <v>0</v>
      </c>
      <c r="M674">
        <v>18</v>
      </c>
      <c r="N674" t="s">
        <v>113</v>
      </c>
    </row>
    <row r="675" spans="1:14" x14ac:dyDescent="0.35">
      <c r="A675" t="s">
        <v>679</v>
      </c>
      <c r="B675" t="s">
        <v>683</v>
      </c>
      <c r="C675" t="s">
        <v>16</v>
      </c>
      <c r="D675">
        <v>0</v>
      </c>
      <c r="E675">
        <v>19</v>
      </c>
      <c r="F675" t="s">
        <v>115</v>
      </c>
      <c r="G675">
        <v>18</v>
      </c>
      <c r="H675" t="s">
        <v>18</v>
      </c>
      <c r="I675">
        <v>17</v>
      </c>
      <c r="J675">
        <v>24.7</v>
      </c>
      <c r="K675">
        <v>3</v>
      </c>
      <c r="L675">
        <v>0</v>
      </c>
      <c r="M675">
        <v>18</v>
      </c>
      <c r="N675" t="s">
        <v>523</v>
      </c>
    </row>
    <row r="676" spans="1:14" x14ac:dyDescent="0.35">
      <c r="A676" t="s">
        <v>679</v>
      </c>
      <c r="B676" t="s">
        <v>117</v>
      </c>
      <c r="C676" t="s">
        <v>16</v>
      </c>
      <c r="D676">
        <v>1</v>
      </c>
      <c r="E676">
        <v>17</v>
      </c>
      <c r="F676" t="s">
        <v>520</v>
      </c>
      <c r="G676">
        <v>18</v>
      </c>
      <c r="H676" t="s">
        <v>18</v>
      </c>
      <c r="I676">
        <v>24</v>
      </c>
      <c r="J676">
        <v>30</v>
      </c>
      <c r="K676">
        <v>2</v>
      </c>
      <c r="L676">
        <v>1</v>
      </c>
      <c r="M676">
        <v>19</v>
      </c>
      <c r="N676" t="s">
        <v>314</v>
      </c>
    </row>
    <row r="677" spans="1:14" x14ac:dyDescent="0.35">
      <c r="A677" t="s">
        <v>679</v>
      </c>
      <c r="B677" t="s">
        <v>302</v>
      </c>
      <c r="C677" t="s">
        <v>29</v>
      </c>
      <c r="D677">
        <v>0</v>
      </c>
      <c r="E677">
        <v>18</v>
      </c>
      <c r="F677" t="s">
        <v>684</v>
      </c>
      <c r="G677">
        <v>18</v>
      </c>
      <c r="H677" t="s">
        <v>18</v>
      </c>
      <c r="I677">
        <v>91</v>
      </c>
      <c r="J677">
        <v>22.3</v>
      </c>
      <c r="K677">
        <v>1</v>
      </c>
      <c r="L677">
        <v>3</v>
      </c>
      <c r="M677">
        <v>21</v>
      </c>
      <c r="N677" t="s">
        <v>119</v>
      </c>
    </row>
    <row r="678" spans="1:14" x14ac:dyDescent="0.35">
      <c r="A678" t="s">
        <v>679</v>
      </c>
      <c r="B678" t="s">
        <v>428</v>
      </c>
      <c r="C678" t="s">
        <v>16</v>
      </c>
      <c r="D678">
        <v>0</v>
      </c>
      <c r="E678">
        <v>18</v>
      </c>
      <c r="F678" t="s">
        <v>586</v>
      </c>
      <c r="G678">
        <v>18</v>
      </c>
      <c r="H678" t="s">
        <v>18</v>
      </c>
      <c r="I678">
        <v>19</v>
      </c>
      <c r="J678">
        <v>25.4</v>
      </c>
      <c r="K678">
        <v>0</v>
      </c>
      <c r="L678">
        <v>0</v>
      </c>
      <c r="M678">
        <v>18</v>
      </c>
      <c r="N678" t="s">
        <v>132</v>
      </c>
    </row>
    <row r="679" spans="1:14" x14ac:dyDescent="0.35">
      <c r="A679" t="s">
        <v>679</v>
      </c>
      <c r="B679" t="s">
        <v>323</v>
      </c>
      <c r="C679" t="s">
        <v>16</v>
      </c>
      <c r="D679">
        <v>0</v>
      </c>
      <c r="E679">
        <v>19</v>
      </c>
      <c r="F679" t="s">
        <v>137</v>
      </c>
      <c r="G679">
        <v>18</v>
      </c>
      <c r="H679" t="s">
        <v>18</v>
      </c>
      <c r="I679">
        <v>15</v>
      </c>
      <c r="J679">
        <v>26.5</v>
      </c>
      <c r="K679">
        <v>2</v>
      </c>
      <c r="L679">
        <v>4</v>
      </c>
      <c r="M679">
        <v>22</v>
      </c>
      <c r="N679" t="s">
        <v>155</v>
      </c>
    </row>
    <row r="680" spans="1:14" x14ac:dyDescent="0.35">
      <c r="A680" t="s">
        <v>679</v>
      </c>
      <c r="B680" t="s">
        <v>126</v>
      </c>
      <c r="C680" t="s">
        <v>16</v>
      </c>
      <c r="D680">
        <v>1</v>
      </c>
      <c r="E680">
        <v>20</v>
      </c>
      <c r="F680" t="s">
        <v>129</v>
      </c>
      <c r="G680">
        <v>18</v>
      </c>
      <c r="H680" t="s">
        <v>18</v>
      </c>
      <c r="I680">
        <v>5</v>
      </c>
      <c r="J680">
        <v>32.700000000000003</v>
      </c>
      <c r="K680">
        <v>2</v>
      </c>
      <c r="L680">
        <v>4</v>
      </c>
      <c r="M680">
        <v>22</v>
      </c>
      <c r="N680" t="s">
        <v>589</v>
      </c>
    </row>
    <row r="681" spans="1:14" x14ac:dyDescent="0.35">
      <c r="A681" t="s">
        <v>679</v>
      </c>
      <c r="B681" t="s">
        <v>685</v>
      </c>
      <c r="C681" t="s">
        <v>29</v>
      </c>
      <c r="D681">
        <v>0</v>
      </c>
      <c r="E681">
        <v>18</v>
      </c>
      <c r="F681" t="s">
        <v>132</v>
      </c>
      <c r="G681">
        <v>18</v>
      </c>
      <c r="H681" t="s">
        <v>18</v>
      </c>
      <c r="I681">
        <v>28</v>
      </c>
      <c r="J681">
        <v>17.7</v>
      </c>
      <c r="K681">
        <v>1</v>
      </c>
      <c r="L681">
        <v>4</v>
      </c>
      <c r="M681">
        <v>22</v>
      </c>
      <c r="N681" t="s">
        <v>147</v>
      </c>
    </row>
    <row r="682" spans="1:14" x14ac:dyDescent="0.35">
      <c r="A682" t="s">
        <v>679</v>
      </c>
      <c r="B682" t="s">
        <v>131</v>
      </c>
      <c r="C682" t="s">
        <v>16</v>
      </c>
      <c r="D682">
        <v>3</v>
      </c>
      <c r="E682">
        <v>20</v>
      </c>
      <c r="F682" t="s">
        <v>324</v>
      </c>
      <c r="G682">
        <v>18</v>
      </c>
      <c r="H682" t="s">
        <v>18</v>
      </c>
      <c r="I682">
        <v>4</v>
      </c>
      <c r="J682">
        <v>28.6</v>
      </c>
      <c r="K682">
        <v>2</v>
      </c>
      <c r="L682">
        <v>4</v>
      </c>
      <c r="M682">
        <v>22</v>
      </c>
      <c r="N682" t="s">
        <v>438</v>
      </c>
    </row>
    <row r="683" spans="1:14" x14ac:dyDescent="0.35">
      <c r="A683" t="s">
        <v>679</v>
      </c>
      <c r="B683" t="s">
        <v>525</v>
      </c>
      <c r="C683" t="s">
        <v>16</v>
      </c>
      <c r="D683">
        <v>5</v>
      </c>
      <c r="E683">
        <v>13</v>
      </c>
      <c r="F683" t="s">
        <v>138</v>
      </c>
      <c r="G683">
        <v>18</v>
      </c>
      <c r="H683" t="s">
        <v>18</v>
      </c>
      <c r="I683">
        <v>2</v>
      </c>
      <c r="J683">
        <v>33.200000000000003</v>
      </c>
      <c r="K683">
        <v>3</v>
      </c>
      <c r="L683">
        <v>3</v>
      </c>
      <c r="M683">
        <v>21</v>
      </c>
      <c r="N683" t="s">
        <v>326</v>
      </c>
    </row>
    <row r="684" spans="1:14" x14ac:dyDescent="0.35">
      <c r="A684" t="s">
        <v>679</v>
      </c>
      <c r="B684" t="s">
        <v>139</v>
      </c>
      <c r="C684" t="s">
        <v>16</v>
      </c>
      <c r="D684">
        <v>0</v>
      </c>
      <c r="E684">
        <v>19</v>
      </c>
      <c r="F684" t="s">
        <v>439</v>
      </c>
      <c r="G684">
        <v>18</v>
      </c>
      <c r="H684" t="s">
        <v>18</v>
      </c>
      <c r="I684">
        <v>3</v>
      </c>
      <c r="J684">
        <v>27.7</v>
      </c>
      <c r="K684">
        <v>3</v>
      </c>
      <c r="L684">
        <v>2</v>
      </c>
      <c r="M684">
        <v>20</v>
      </c>
      <c r="N684" t="s">
        <v>442</v>
      </c>
    </row>
    <row r="685" spans="1:14" x14ac:dyDescent="0.35">
      <c r="A685" t="s">
        <v>679</v>
      </c>
      <c r="B685" t="s">
        <v>122</v>
      </c>
      <c r="C685" t="s">
        <v>16</v>
      </c>
      <c r="D685">
        <v>1</v>
      </c>
      <c r="E685">
        <v>22</v>
      </c>
      <c r="F685" t="s">
        <v>522</v>
      </c>
      <c r="G685">
        <v>18</v>
      </c>
      <c r="H685" t="s">
        <v>18</v>
      </c>
      <c r="I685">
        <v>4</v>
      </c>
      <c r="J685">
        <v>31.3</v>
      </c>
      <c r="K685">
        <v>4</v>
      </c>
      <c r="L685">
        <v>5</v>
      </c>
      <c r="M685">
        <v>23</v>
      </c>
      <c r="N685" t="s">
        <v>686</v>
      </c>
    </row>
    <row r="686" spans="1:14" x14ac:dyDescent="0.35">
      <c r="A686" t="s">
        <v>679</v>
      </c>
      <c r="B686" t="s">
        <v>525</v>
      </c>
      <c r="C686" t="s">
        <v>29</v>
      </c>
      <c r="D686">
        <v>0</v>
      </c>
      <c r="E686">
        <v>18</v>
      </c>
      <c r="F686" t="s">
        <v>147</v>
      </c>
      <c r="G686">
        <v>18</v>
      </c>
      <c r="H686" t="s">
        <v>18</v>
      </c>
      <c r="I686">
        <v>13</v>
      </c>
      <c r="J686">
        <v>19.3</v>
      </c>
      <c r="K686">
        <v>2</v>
      </c>
      <c r="L686">
        <v>2</v>
      </c>
      <c r="M686">
        <v>20</v>
      </c>
      <c r="N686" t="s">
        <v>148</v>
      </c>
    </row>
    <row r="687" spans="1:14" x14ac:dyDescent="0.35">
      <c r="A687" t="s">
        <v>679</v>
      </c>
      <c r="B687" t="s">
        <v>145</v>
      </c>
      <c r="C687" t="s">
        <v>16</v>
      </c>
      <c r="D687">
        <v>5</v>
      </c>
      <c r="E687">
        <v>19</v>
      </c>
      <c r="F687" t="s">
        <v>524</v>
      </c>
      <c r="G687">
        <v>18</v>
      </c>
      <c r="H687" t="s">
        <v>18</v>
      </c>
      <c r="I687">
        <v>3</v>
      </c>
      <c r="J687">
        <v>27.6</v>
      </c>
      <c r="K687">
        <v>0</v>
      </c>
      <c r="L687">
        <v>0</v>
      </c>
      <c r="M687">
        <v>18</v>
      </c>
      <c r="N687" t="s">
        <v>686</v>
      </c>
    </row>
    <row r="688" spans="1:14" x14ac:dyDescent="0.35">
      <c r="A688" t="s">
        <v>679</v>
      </c>
      <c r="B688" t="s">
        <v>319</v>
      </c>
      <c r="C688" t="s">
        <v>16</v>
      </c>
      <c r="D688">
        <v>6</v>
      </c>
      <c r="E688">
        <v>12</v>
      </c>
      <c r="F688" t="s">
        <v>151</v>
      </c>
      <c r="G688">
        <v>18</v>
      </c>
      <c r="H688" t="s">
        <v>18</v>
      </c>
      <c r="I688">
        <v>4</v>
      </c>
      <c r="J688">
        <v>30.2</v>
      </c>
      <c r="K688">
        <v>1</v>
      </c>
      <c r="L688">
        <v>3</v>
      </c>
      <c r="M688">
        <v>21</v>
      </c>
      <c r="N688" t="s">
        <v>444</v>
      </c>
    </row>
    <row r="689" spans="1:14" x14ac:dyDescent="0.35">
      <c r="A689" t="s">
        <v>679</v>
      </c>
      <c r="B689" t="s">
        <v>588</v>
      </c>
      <c r="C689" t="s">
        <v>16</v>
      </c>
      <c r="D689">
        <v>0</v>
      </c>
      <c r="E689">
        <v>19</v>
      </c>
      <c r="F689" t="s">
        <v>442</v>
      </c>
      <c r="G689">
        <v>18</v>
      </c>
      <c r="H689" t="s">
        <v>18</v>
      </c>
      <c r="I689">
        <v>12</v>
      </c>
      <c r="J689">
        <v>28.6</v>
      </c>
      <c r="K689">
        <v>1</v>
      </c>
      <c r="L689">
        <v>2</v>
      </c>
      <c r="M689">
        <v>20</v>
      </c>
      <c r="N689" t="s">
        <v>168</v>
      </c>
    </row>
    <row r="690" spans="1:14" x14ac:dyDescent="0.35">
      <c r="A690" t="s">
        <v>679</v>
      </c>
      <c r="B690" t="s">
        <v>524</v>
      </c>
      <c r="C690" t="s">
        <v>29</v>
      </c>
      <c r="D690">
        <v>0</v>
      </c>
      <c r="E690">
        <v>18</v>
      </c>
      <c r="F690" t="s">
        <v>140</v>
      </c>
      <c r="G690">
        <v>18</v>
      </c>
      <c r="H690" t="s">
        <v>18</v>
      </c>
      <c r="I690">
        <v>22</v>
      </c>
      <c r="J690">
        <v>21.3</v>
      </c>
      <c r="K690">
        <v>4</v>
      </c>
      <c r="L690">
        <v>3</v>
      </c>
      <c r="M690">
        <v>21</v>
      </c>
      <c r="N690" t="s">
        <v>153</v>
      </c>
    </row>
    <row r="691" spans="1:14" x14ac:dyDescent="0.35">
      <c r="A691" t="s">
        <v>679</v>
      </c>
      <c r="B691" t="s">
        <v>655</v>
      </c>
      <c r="C691" t="s">
        <v>16</v>
      </c>
      <c r="D691">
        <v>1</v>
      </c>
      <c r="E691">
        <v>18</v>
      </c>
      <c r="F691" t="s">
        <v>686</v>
      </c>
      <c r="G691">
        <v>18</v>
      </c>
      <c r="H691" t="s">
        <v>18</v>
      </c>
      <c r="I691">
        <v>8</v>
      </c>
      <c r="J691">
        <v>29.5</v>
      </c>
      <c r="K691">
        <v>4</v>
      </c>
      <c r="L691">
        <v>3</v>
      </c>
      <c r="M691">
        <v>21</v>
      </c>
      <c r="N691" t="s">
        <v>336</v>
      </c>
    </row>
    <row r="692" spans="1:14" x14ac:dyDescent="0.35">
      <c r="A692" t="s">
        <v>679</v>
      </c>
      <c r="B692" t="s">
        <v>143</v>
      </c>
      <c r="C692" t="s">
        <v>16</v>
      </c>
      <c r="D692">
        <v>1</v>
      </c>
      <c r="E692">
        <v>20</v>
      </c>
      <c r="F692" t="s">
        <v>150</v>
      </c>
      <c r="G692">
        <v>18</v>
      </c>
      <c r="H692" t="s">
        <v>18</v>
      </c>
      <c r="I692">
        <v>6</v>
      </c>
      <c r="J692">
        <v>27.1</v>
      </c>
      <c r="K692">
        <v>4</v>
      </c>
      <c r="L692">
        <v>2</v>
      </c>
      <c r="M692">
        <v>20</v>
      </c>
      <c r="N692" t="s">
        <v>339</v>
      </c>
    </row>
    <row r="693" spans="1:14" x14ac:dyDescent="0.35">
      <c r="A693" t="s">
        <v>679</v>
      </c>
      <c r="B693" t="s">
        <v>444</v>
      </c>
      <c r="C693" t="s">
        <v>16</v>
      </c>
      <c r="D693">
        <v>3</v>
      </c>
      <c r="E693">
        <v>18</v>
      </c>
      <c r="F693" t="s">
        <v>160</v>
      </c>
      <c r="G693">
        <v>18</v>
      </c>
      <c r="H693" t="s">
        <v>18</v>
      </c>
      <c r="I693">
        <v>2</v>
      </c>
      <c r="J693">
        <v>27.9</v>
      </c>
      <c r="K693">
        <v>2</v>
      </c>
      <c r="L693">
        <v>4</v>
      </c>
      <c r="M693">
        <v>22</v>
      </c>
      <c r="N693" t="s">
        <v>449</v>
      </c>
    </row>
    <row r="694" spans="1:14" x14ac:dyDescent="0.35">
      <c r="A694" t="s">
        <v>679</v>
      </c>
      <c r="B694" t="s">
        <v>162</v>
      </c>
      <c r="C694" t="s">
        <v>16</v>
      </c>
      <c r="D694">
        <v>3</v>
      </c>
      <c r="E694">
        <v>16</v>
      </c>
      <c r="F694" t="s">
        <v>331</v>
      </c>
      <c r="G694">
        <v>18</v>
      </c>
      <c r="H694" t="s">
        <v>18</v>
      </c>
      <c r="I694">
        <v>2</v>
      </c>
      <c r="J694">
        <v>35</v>
      </c>
      <c r="K694">
        <v>2</v>
      </c>
      <c r="L694">
        <v>4</v>
      </c>
      <c r="M694">
        <v>22</v>
      </c>
      <c r="N694" t="s">
        <v>340</v>
      </c>
    </row>
    <row r="695" spans="1:14" x14ac:dyDescent="0.35">
      <c r="A695" t="s">
        <v>679</v>
      </c>
      <c r="B695" t="s">
        <v>159</v>
      </c>
      <c r="C695" t="s">
        <v>29</v>
      </c>
      <c r="D695">
        <v>0</v>
      </c>
      <c r="E695">
        <v>18</v>
      </c>
      <c r="F695" t="s">
        <v>332</v>
      </c>
      <c r="G695">
        <v>18</v>
      </c>
      <c r="H695" t="s">
        <v>18</v>
      </c>
      <c r="I695">
        <v>14</v>
      </c>
      <c r="J695">
        <v>20.6</v>
      </c>
      <c r="K695">
        <v>3</v>
      </c>
      <c r="L695">
        <v>3</v>
      </c>
      <c r="M695">
        <v>21</v>
      </c>
      <c r="N695" t="s">
        <v>449</v>
      </c>
    </row>
    <row r="696" spans="1:14" x14ac:dyDescent="0.35">
      <c r="A696" t="s">
        <v>679</v>
      </c>
      <c r="B696" t="s">
        <v>163</v>
      </c>
      <c r="C696" t="s">
        <v>16</v>
      </c>
      <c r="D696">
        <v>1</v>
      </c>
      <c r="E696">
        <v>20</v>
      </c>
      <c r="F696" t="s">
        <v>168</v>
      </c>
      <c r="G696">
        <v>18</v>
      </c>
      <c r="H696" t="s">
        <v>18</v>
      </c>
      <c r="I696">
        <v>5</v>
      </c>
      <c r="J696">
        <v>27.6</v>
      </c>
      <c r="K696">
        <v>1</v>
      </c>
      <c r="L696">
        <v>1</v>
      </c>
      <c r="M696">
        <v>19</v>
      </c>
      <c r="N696" t="s">
        <v>181</v>
      </c>
    </row>
    <row r="697" spans="1:14" x14ac:dyDescent="0.35">
      <c r="A697" t="s">
        <v>679</v>
      </c>
      <c r="B697" t="s">
        <v>333</v>
      </c>
      <c r="C697" t="s">
        <v>16</v>
      </c>
      <c r="D697">
        <v>3</v>
      </c>
      <c r="E697">
        <v>19</v>
      </c>
      <c r="F697" t="s">
        <v>169</v>
      </c>
      <c r="G697">
        <v>18</v>
      </c>
      <c r="H697" t="s">
        <v>18</v>
      </c>
      <c r="I697">
        <v>4</v>
      </c>
      <c r="J697">
        <v>26.1</v>
      </c>
      <c r="K697">
        <v>4</v>
      </c>
      <c r="L697">
        <v>2</v>
      </c>
      <c r="M697">
        <v>20</v>
      </c>
      <c r="N697" t="s">
        <v>343</v>
      </c>
    </row>
    <row r="698" spans="1:14" x14ac:dyDescent="0.35">
      <c r="A698" t="s">
        <v>679</v>
      </c>
      <c r="B698" t="s">
        <v>171</v>
      </c>
      <c r="C698" t="s">
        <v>16</v>
      </c>
      <c r="D698">
        <v>4</v>
      </c>
      <c r="E698">
        <v>16</v>
      </c>
      <c r="F698" t="s">
        <v>175</v>
      </c>
      <c r="G698">
        <v>18</v>
      </c>
      <c r="H698" t="s">
        <v>18</v>
      </c>
      <c r="I698">
        <v>3</v>
      </c>
      <c r="J698">
        <v>31.7</v>
      </c>
      <c r="K698">
        <v>1</v>
      </c>
      <c r="L698">
        <v>3</v>
      </c>
      <c r="M698">
        <v>21</v>
      </c>
      <c r="N698" t="s">
        <v>338</v>
      </c>
    </row>
    <row r="699" spans="1:14" x14ac:dyDescent="0.35">
      <c r="A699" t="s">
        <v>679</v>
      </c>
      <c r="B699" t="s">
        <v>336</v>
      </c>
      <c r="C699" t="s">
        <v>16</v>
      </c>
      <c r="D699">
        <v>2</v>
      </c>
      <c r="E699">
        <v>17</v>
      </c>
      <c r="F699" t="s">
        <v>178</v>
      </c>
      <c r="G699">
        <v>18</v>
      </c>
      <c r="H699" t="s">
        <v>18</v>
      </c>
      <c r="I699">
        <v>4</v>
      </c>
      <c r="J699">
        <v>26.9</v>
      </c>
      <c r="K699">
        <v>4</v>
      </c>
      <c r="L699">
        <v>3</v>
      </c>
      <c r="M699">
        <v>21</v>
      </c>
      <c r="N699" t="s">
        <v>338</v>
      </c>
    </row>
    <row r="700" spans="1:14" x14ac:dyDescent="0.35">
      <c r="A700" t="s">
        <v>679</v>
      </c>
      <c r="B700" t="s">
        <v>166</v>
      </c>
      <c r="C700" t="s">
        <v>29</v>
      </c>
      <c r="D700">
        <v>0</v>
      </c>
      <c r="E700">
        <v>19</v>
      </c>
      <c r="F700" t="s">
        <v>178</v>
      </c>
      <c r="G700">
        <v>18</v>
      </c>
      <c r="H700" t="s">
        <v>18</v>
      </c>
      <c r="I700">
        <v>15</v>
      </c>
      <c r="J700">
        <v>21.5</v>
      </c>
      <c r="K700">
        <v>0</v>
      </c>
      <c r="L700">
        <v>0</v>
      </c>
      <c r="M700">
        <v>18</v>
      </c>
      <c r="N700" t="s">
        <v>189</v>
      </c>
    </row>
    <row r="701" spans="1:14" x14ac:dyDescent="0.35">
      <c r="A701" t="s">
        <v>679</v>
      </c>
      <c r="B701" t="s">
        <v>339</v>
      </c>
      <c r="C701" t="s">
        <v>16</v>
      </c>
      <c r="D701">
        <v>1</v>
      </c>
      <c r="E701">
        <v>18</v>
      </c>
      <c r="F701" t="s">
        <v>164</v>
      </c>
      <c r="G701">
        <v>18</v>
      </c>
      <c r="H701" t="s">
        <v>18</v>
      </c>
      <c r="I701">
        <v>10</v>
      </c>
      <c r="J701">
        <v>27.8</v>
      </c>
      <c r="K701">
        <v>4</v>
      </c>
      <c r="L701">
        <v>6</v>
      </c>
      <c r="M701">
        <v>24</v>
      </c>
      <c r="N701" t="s">
        <v>345</v>
      </c>
    </row>
    <row r="702" spans="1:14" x14ac:dyDescent="0.35">
      <c r="A702" t="s">
        <v>679</v>
      </c>
      <c r="B702" t="s">
        <v>339</v>
      </c>
      <c r="C702" t="s">
        <v>29</v>
      </c>
      <c r="D702">
        <v>1</v>
      </c>
      <c r="E702">
        <v>6</v>
      </c>
      <c r="F702" t="s">
        <v>334</v>
      </c>
      <c r="G702">
        <v>7</v>
      </c>
      <c r="H702" t="s">
        <v>157</v>
      </c>
      <c r="I702">
        <v>15</v>
      </c>
      <c r="J702">
        <v>24.8</v>
      </c>
      <c r="K702">
        <v>1</v>
      </c>
      <c r="L702">
        <v>2</v>
      </c>
      <c r="M702">
        <v>9</v>
      </c>
      <c r="N702" t="s">
        <v>453</v>
      </c>
    </row>
    <row r="703" spans="1:14" x14ac:dyDescent="0.35">
      <c r="A703" t="s">
        <v>679</v>
      </c>
      <c r="B703" t="s">
        <v>530</v>
      </c>
      <c r="C703" t="s">
        <v>16</v>
      </c>
      <c r="D703">
        <v>1</v>
      </c>
      <c r="E703">
        <v>18</v>
      </c>
      <c r="F703" t="s">
        <v>189</v>
      </c>
      <c r="G703">
        <v>18</v>
      </c>
      <c r="H703" t="s">
        <v>18</v>
      </c>
      <c r="I703">
        <v>9</v>
      </c>
      <c r="J703">
        <v>32.6</v>
      </c>
      <c r="K703">
        <v>3</v>
      </c>
      <c r="L703">
        <v>4</v>
      </c>
      <c r="M703">
        <v>22</v>
      </c>
      <c r="N703" t="s">
        <v>195</v>
      </c>
    </row>
    <row r="704" spans="1:14" x14ac:dyDescent="0.35">
      <c r="A704" t="s">
        <v>679</v>
      </c>
      <c r="B704" t="s">
        <v>451</v>
      </c>
      <c r="C704" t="s">
        <v>29</v>
      </c>
      <c r="D704">
        <v>0</v>
      </c>
      <c r="E704">
        <v>5</v>
      </c>
      <c r="F704" t="s">
        <v>182</v>
      </c>
      <c r="G704">
        <v>5</v>
      </c>
      <c r="H704" t="s">
        <v>157</v>
      </c>
      <c r="I704">
        <v>15</v>
      </c>
      <c r="J704">
        <v>23.7</v>
      </c>
      <c r="K704">
        <v>0</v>
      </c>
      <c r="L704">
        <v>0</v>
      </c>
      <c r="M704">
        <v>5</v>
      </c>
      <c r="N704" t="s">
        <v>351</v>
      </c>
    </row>
    <row r="705" spans="1:14" x14ac:dyDescent="0.35">
      <c r="A705" t="s">
        <v>679</v>
      </c>
      <c r="B705" t="s">
        <v>337</v>
      </c>
      <c r="C705" t="s">
        <v>16</v>
      </c>
      <c r="D705">
        <v>1</v>
      </c>
      <c r="E705">
        <v>16</v>
      </c>
      <c r="F705" t="s">
        <v>180</v>
      </c>
      <c r="G705">
        <v>17</v>
      </c>
      <c r="H705" t="s">
        <v>157</v>
      </c>
      <c r="I705">
        <v>15</v>
      </c>
      <c r="J705">
        <v>28.4</v>
      </c>
      <c r="K705">
        <v>1</v>
      </c>
      <c r="L705">
        <v>1</v>
      </c>
      <c r="M705">
        <v>18</v>
      </c>
      <c r="N705" t="s">
        <v>537</v>
      </c>
    </row>
    <row r="706" spans="1:14" x14ac:dyDescent="0.35">
      <c r="A706" t="s">
        <v>679</v>
      </c>
      <c r="B706" t="s">
        <v>687</v>
      </c>
      <c r="C706" t="s">
        <v>29</v>
      </c>
      <c r="D706">
        <v>0</v>
      </c>
      <c r="E706">
        <v>4</v>
      </c>
      <c r="F706" t="s">
        <v>342</v>
      </c>
      <c r="G706">
        <v>4</v>
      </c>
      <c r="H706" t="s">
        <v>157</v>
      </c>
      <c r="I706">
        <v>15</v>
      </c>
      <c r="J706">
        <v>23.8</v>
      </c>
      <c r="K706">
        <v>3</v>
      </c>
      <c r="L706">
        <v>1</v>
      </c>
      <c r="M706">
        <v>5</v>
      </c>
      <c r="N706" t="s">
        <v>356</v>
      </c>
    </row>
    <row r="707" spans="1:14" x14ac:dyDescent="0.35">
      <c r="A707" t="s">
        <v>679</v>
      </c>
      <c r="B707" t="s">
        <v>345</v>
      </c>
      <c r="C707" t="s">
        <v>16</v>
      </c>
      <c r="D707">
        <v>0</v>
      </c>
      <c r="E707">
        <v>11</v>
      </c>
      <c r="F707" t="s">
        <v>195</v>
      </c>
      <c r="G707">
        <v>11</v>
      </c>
      <c r="H707" t="s">
        <v>157</v>
      </c>
      <c r="I707">
        <v>15</v>
      </c>
      <c r="J707">
        <v>25.5</v>
      </c>
      <c r="K707">
        <v>3</v>
      </c>
      <c r="L707">
        <v>1</v>
      </c>
      <c r="M707">
        <v>12</v>
      </c>
      <c r="N707" t="s">
        <v>199</v>
      </c>
    </row>
    <row r="708" spans="1:14" x14ac:dyDescent="0.35">
      <c r="A708" t="s">
        <v>679</v>
      </c>
      <c r="B708" t="s">
        <v>194</v>
      </c>
      <c r="C708" t="s">
        <v>29</v>
      </c>
      <c r="D708">
        <v>0</v>
      </c>
      <c r="E708">
        <v>5</v>
      </c>
      <c r="F708" t="s">
        <v>533</v>
      </c>
      <c r="G708">
        <v>5</v>
      </c>
      <c r="H708" t="s">
        <v>157</v>
      </c>
      <c r="I708">
        <v>15</v>
      </c>
      <c r="J708">
        <v>18.600000000000001</v>
      </c>
      <c r="K708">
        <v>0</v>
      </c>
      <c r="L708">
        <v>0</v>
      </c>
      <c r="M708">
        <v>5</v>
      </c>
      <c r="N708" t="s">
        <v>202</v>
      </c>
    </row>
    <row r="709" spans="1:14" x14ac:dyDescent="0.35">
      <c r="A709" t="s">
        <v>679</v>
      </c>
      <c r="B709" t="s">
        <v>349</v>
      </c>
      <c r="C709" t="s">
        <v>16</v>
      </c>
      <c r="D709">
        <v>0</v>
      </c>
      <c r="E709">
        <v>13</v>
      </c>
      <c r="F709" t="s">
        <v>346</v>
      </c>
      <c r="G709">
        <v>13</v>
      </c>
      <c r="H709" t="s">
        <v>157</v>
      </c>
      <c r="I709">
        <v>15</v>
      </c>
      <c r="J709">
        <v>26.5</v>
      </c>
      <c r="K709">
        <v>4</v>
      </c>
      <c r="L709">
        <v>0</v>
      </c>
      <c r="M709">
        <v>13</v>
      </c>
      <c r="N709" t="s">
        <v>200</v>
      </c>
    </row>
    <row r="710" spans="1:14" x14ac:dyDescent="0.35">
      <c r="A710" t="s">
        <v>679</v>
      </c>
      <c r="B710" t="s">
        <v>346</v>
      </c>
      <c r="C710" t="s">
        <v>29</v>
      </c>
      <c r="D710">
        <v>0</v>
      </c>
      <c r="E710">
        <v>9</v>
      </c>
      <c r="F710" t="s">
        <v>627</v>
      </c>
      <c r="G710">
        <v>9</v>
      </c>
      <c r="H710" t="s">
        <v>157</v>
      </c>
      <c r="I710">
        <v>15</v>
      </c>
      <c r="J710">
        <v>19.8</v>
      </c>
      <c r="K710">
        <v>1</v>
      </c>
      <c r="L710">
        <v>0</v>
      </c>
      <c r="M710">
        <v>9</v>
      </c>
      <c r="N710" t="s">
        <v>352</v>
      </c>
    </row>
    <row r="711" spans="1:14" x14ac:dyDescent="0.35">
      <c r="A711" t="s">
        <v>679</v>
      </c>
      <c r="B711" t="s">
        <v>659</v>
      </c>
      <c r="C711" t="s">
        <v>16</v>
      </c>
      <c r="D711">
        <v>0</v>
      </c>
      <c r="E711">
        <v>16</v>
      </c>
      <c r="F711" t="s">
        <v>660</v>
      </c>
      <c r="G711">
        <v>16</v>
      </c>
      <c r="H711" t="s">
        <v>157</v>
      </c>
      <c r="I711">
        <v>15</v>
      </c>
      <c r="J711">
        <v>30.7</v>
      </c>
      <c r="K711">
        <v>1</v>
      </c>
      <c r="L711">
        <v>0</v>
      </c>
      <c r="M711">
        <v>16</v>
      </c>
      <c r="N711" t="s">
        <v>688</v>
      </c>
    </row>
    <row r="712" spans="1:14" x14ac:dyDescent="0.35">
      <c r="A712" t="s">
        <v>679</v>
      </c>
      <c r="B712" t="s">
        <v>359</v>
      </c>
      <c r="C712" t="s">
        <v>16</v>
      </c>
      <c r="D712">
        <v>0</v>
      </c>
      <c r="E712">
        <v>11</v>
      </c>
      <c r="F712" t="s">
        <v>360</v>
      </c>
      <c r="G712">
        <v>11</v>
      </c>
      <c r="H712" t="s">
        <v>157</v>
      </c>
      <c r="I712">
        <v>15</v>
      </c>
      <c r="J712">
        <v>29.5</v>
      </c>
      <c r="K712">
        <v>2</v>
      </c>
      <c r="L712">
        <v>2</v>
      </c>
      <c r="M712">
        <v>13</v>
      </c>
      <c r="N712" t="s">
        <v>632</v>
      </c>
    </row>
    <row r="713" spans="1:14" x14ac:dyDescent="0.35">
      <c r="A713" t="s">
        <v>679</v>
      </c>
      <c r="B713" t="s">
        <v>362</v>
      </c>
      <c r="C713" t="s">
        <v>16</v>
      </c>
      <c r="D713">
        <v>0</v>
      </c>
      <c r="E713">
        <v>13</v>
      </c>
      <c r="F713" t="s">
        <v>363</v>
      </c>
      <c r="G713">
        <v>13</v>
      </c>
      <c r="H713" t="s">
        <v>157</v>
      </c>
      <c r="I713">
        <v>15</v>
      </c>
      <c r="J713">
        <v>29.2</v>
      </c>
      <c r="K713">
        <v>3</v>
      </c>
      <c r="L713">
        <v>1</v>
      </c>
      <c r="M713">
        <v>14</v>
      </c>
      <c r="N713" t="s">
        <v>214</v>
      </c>
    </row>
    <row r="714" spans="1:14" x14ac:dyDescent="0.35">
      <c r="A714" t="s">
        <v>679</v>
      </c>
      <c r="B714" t="s">
        <v>689</v>
      </c>
      <c r="C714" t="s">
        <v>16</v>
      </c>
      <c r="D714">
        <v>0</v>
      </c>
      <c r="E714">
        <v>18</v>
      </c>
      <c r="F714" t="s">
        <v>361</v>
      </c>
      <c r="G714">
        <v>18</v>
      </c>
      <c r="H714" t="s">
        <v>18</v>
      </c>
      <c r="I714">
        <v>15</v>
      </c>
      <c r="J714">
        <v>33.6</v>
      </c>
      <c r="K714">
        <v>4</v>
      </c>
      <c r="L714">
        <v>1</v>
      </c>
      <c r="M714">
        <v>19</v>
      </c>
      <c r="N714" t="s">
        <v>690</v>
      </c>
    </row>
    <row r="715" spans="1:14" x14ac:dyDescent="0.35">
      <c r="A715" t="s">
        <v>679</v>
      </c>
      <c r="B715" t="s">
        <v>630</v>
      </c>
      <c r="C715" t="s">
        <v>16</v>
      </c>
      <c r="D715">
        <v>0</v>
      </c>
      <c r="E715">
        <v>12</v>
      </c>
      <c r="F715" t="s">
        <v>691</v>
      </c>
      <c r="G715">
        <v>12</v>
      </c>
      <c r="H715" t="s">
        <v>157</v>
      </c>
      <c r="I715">
        <v>15</v>
      </c>
      <c r="J715">
        <v>25.6</v>
      </c>
      <c r="K715">
        <v>3</v>
      </c>
      <c r="L715">
        <v>3</v>
      </c>
      <c r="M715">
        <v>15</v>
      </c>
      <c r="N715" t="s">
        <v>633</v>
      </c>
    </row>
    <row r="716" spans="1:14" x14ac:dyDescent="0.35">
      <c r="A716" t="s">
        <v>679</v>
      </c>
      <c r="B716" t="s">
        <v>544</v>
      </c>
      <c r="C716" t="s">
        <v>16</v>
      </c>
      <c r="D716">
        <v>0</v>
      </c>
      <c r="E716">
        <v>12</v>
      </c>
      <c r="F716" t="s">
        <v>467</v>
      </c>
      <c r="G716">
        <v>12</v>
      </c>
      <c r="H716" t="s">
        <v>157</v>
      </c>
      <c r="I716">
        <v>15</v>
      </c>
      <c r="J716">
        <v>32.200000000000003</v>
      </c>
      <c r="K716">
        <v>0</v>
      </c>
      <c r="L716">
        <v>0</v>
      </c>
      <c r="M716">
        <v>12</v>
      </c>
      <c r="N716" t="s">
        <v>692</v>
      </c>
    </row>
    <row r="717" spans="1:14" x14ac:dyDescent="0.35">
      <c r="A717" t="s">
        <v>679</v>
      </c>
      <c r="B717" t="s">
        <v>472</v>
      </c>
      <c r="C717" t="s">
        <v>16</v>
      </c>
      <c r="D717">
        <v>0</v>
      </c>
      <c r="E717">
        <v>14</v>
      </c>
      <c r="F717" t="s">
        <v>473</v>
      </c>
      <c r="G717">
        <v>14</v>
      </c>
      <c r="H717" t="s">
        <v>157</v>
      </c>
      <c r="I717">
        <v>15</v>
      </c>
      <c r="J717">
        <v>29.2</v>
      </c>
      <c r="K717">
        <v>0</v>
      </c>
      <c r="L717">
        <v>0</v>
      </c>
      <c r="M717">
        <v>14</v>
      </c>
      <c r="N717" t="s">
        <v>381</v>
      </c>
    </row>
    <row r="718" spans="1:14" x14ac:dyDescent="0.35">
      <c r="A718" t="s">
        <v>679</v>
      </c>
      <c r="B718" t="s">
        <v>474</v>
      </c>
      <c r="C718" t="s">
        <v>16</v>
      </c>
      <c r="D718">
        <v>0</v>
      </c>
      <c r="E718">
        <v>11</v>
      </c>
      <c r="F718" t="s">
        <v>475</v>
      </c>
      <c r="G718">
        <v>11</v>
      </c>
      <c r="H718" t="s">
        <v>157</v>
      </c>
      <c r="I718">
        <v>15</v>
      </c>
      <c r="J718">
        <v>28.1</v>
      </c>
      <c r="K718">
        <v>0</v>
      </c>
      <c r="L718">
        <v>0</v>
      </c>
      <c r="M718">
        <v>11</v>
      </c>
      <c r="N718" t="s">
        <v>606</v>
      </c>
    </row>
    <row r="719" spans="1:14" x14ac:dyDescent="0.35">
      <c r="A719" t="s">
        <v>679</v>
      </c>
      <c r="B719" t="s">
        <v>477</v>
      </c>
      <c r="C719" t="s">
        <v>16</v>
      </c>
      <c r="D719">
        <v>0</v>
      </c>
      <c r="E719">
        <v>14</v>
      </c>
      <c r="F719" t="s">
        <v>478</v>
      </c>
      <c r="G719">
        <v>14</v>
      </c>
      <c r="H719" t="s">
        <v>157</v>
      </c>
      <c r="I719">
        <v>15</v>
      </c>
      <c r="J719">
        <v>26.8</v>
      </c>
      <c r="K719">
        <v>1</v>
      </c>
      <c r="L719">
        <v>2</v>
      </c>
      <c r="M719">
        <v>16</v>
      </c>
      <c r="N719" t="s">
        <v>234</v>
      </c>
    </row>
    <row r="720" spans="1:14" x14ac:dyDescent="0.35">
      <c r="A720" t="s">
        <v>679</v>
      </c>
      <c r="B720" t="s">
        <v>479</v>
      </c>
      <c r="C720" t="s">
        <v>16</v>
      </c>
      <c r="D720">
        <v>0</v>
      </c>
      <c r="E720">
        <v>13</v>
      </c>
      <c r="F720" t="s">
        <v>480</v>
      </c>
      <c r="G720">
        <v>13</v>
      </c>
      <c r="H720" t="s">
        <v>157</v>
      </c>
      <c r="I720">
        <v>15</v>
      </c>
      <c r="J720">
        <v>27</v>
      </c>
      <c r="K720">
        <v>1</v>
      </c>
      <c r="L720">
        <v>3</v>
      </c>
      <c r="M720">
        <v>16</v>
      </c>
      <c r="N720" t="s">
        <v>388</v>
      </c>
    </row>
    <row r="721" spans="1:14" x14ac:dyDescent="0.35">
      <c r="A721" t="s">
        <v>679</v>
      </c>
      <c r="B721" t="s">
        <v>476</v>
      </c>
      <c r="C721" t="s">
        <v>16</v>
      </c>
      <c r="D721">
        <v>0</v>
      </c>
      <c r="E721">
        <v>16</v>
      </c>
      <c r="F721" t="s">
        <v>608</v>
      </c>
      <c r="G721">
        <v>16</v>
      </c>
      <c r="H721" t="s">
        <v>157</v>
      </c>
      <c r="I721">
        <v>15</v>
      </c>
      <c r="J721">
        <v>29</v>
      </c>
      <c r="K721">
        <v>1</v>
      </c>
      <c r="L721">
        <v>3</v>
      </c>
      <c r="M721">
        <v>19</v>
      </c>
      <c r="N721" t="s">
        <v>560</v>
      </c>
    </row>
    <row r="722" spans="1:14" x14ac:dyDescent="0.35">
      <c r="A722" t="s">
        <v>679</v>
      </c>
      <c r="B722" t="s">
        <v>693</v>
      </c>
      <c r="C722" t="s">
        <v>16</v>
      </c>
      <c r="D722">
        <v>0</v>
      </c>
      <c r="E722">
        <v>11</v>
      </c>
      <c r="F722" t="s">
        <v>485</v>
      </c>
      <c r="G722">
        <v>11</v>
      </c>
      <c r="H722" t="s">
        <v>157</v>
      </c>
      <c r="I722">
        <v>15</v>
      </c>
      <c r="J722">
        <v>30</v>
      </c>
      <c r="K722">
        <v>3</v>
      </c>
      <c r="L722">
        <v>0</v>
      </c>
      <c r="M722">
        <v>11</v>
      </c>
      <c r="N722" t="s">
        <v>567</v>
      </c>
    </row>
    <row r="723" spans="1:14" x14ac:dyDescent="0.35">
      <c r="A723" t="s">
        <v>679</v>
      </c>
      <c r="B723" t="s">
        <v>384</v>
      </c>
      <c r="C723" t="s">
        <v>16</v>
      </c>
      <c r="D723">
        <v>0</v>
      </c>
      <c r="E723">
        <v>14</v>
      </c>
      <c r="F723" t="s">
        <v>488</v>
      </c>
      <c r="G723">
        <v>14</v>
      </c>
      <c r="H723" t="s">
        <v>157</v>
      </c>
      <c r="I723">
        <v>15</v>
      </c>
      <c r="J723">
        <v>28.6</v>
      </c>
      <c r="K723">
        <v>0</v>
      </c>
      <c r="L723">
        <v>0</v>
      </c>
      <c r="M723">
        <v>14</v>
      </c>
      <c r="N723" t="s">
        <v>487</v>
      </c>
    </row>
    <row r="724" spans="1:14" x14ac:dyDescent="0.35">
      <c r="A724" t="s">
        <v>679</v>
      </c>
      <c r="B724" t="s">
        <v>387</v>
      </c>
      <c r="C724" t="s">
        <v>16</v>
      </c>
      <c r="D724">
        <v>0</v>
      </c>
      <c r="E724">
        <v>14</v>
      </c>
      <c r="F724" t="s">
        <v>612</v>
      </c>
      <c r="G724">
        <v>14</v>
      </c>
      <c r="H724" t="s">
        <v>157</v>
      </c>
      <c r="I724">
        <v>15</v>
      </c>
      <c r="J724">
        <v>31.2</v>
      </c>
      <c r="K724">
        <v>1</v>
      </c>
      <c r="L724">
        <v>3</v>
      </c>
      <c r="M724">
        <v>17</v>
      </c>
      <c r="N724" t="s">
        <v>694</v>
      </c>
    </row>
    <row r="725" spans="1:14" x14ac:dyDescent="0.35">
      <c r="A725" t="s">
        <v>679</v>
      </c>
      <c r="B725" t="s">
        <v>695</v>
      </c>
      <c r="C725" t="s">
        <v>16</v>
      </c>
      <c r="D725">
        <v>0</v>
      </c>
      <c r="E725">
        <v>11</v>
      </c>
      <c r="F725" t="s">
        <v>569</v>
      </c>
      <c r="G725">
        <v>11</v>
      </c>
      <c r="H725" t="s">
        <v>157</v>
      </c>
      <c r="I725">
        <v>15</v>
      </c>
      <c r="J725">
        <v>27.3</v>
      </c>
      <c r="K725">
        <v>0</v>
      </c>
      <c r="L725">
        <v>0</v>
      </c>
      <c r="M725">
        <v>11</v>
      </c>
      <c r="N725" t="s">
        <v>696</v>
      </c>
    </row>
    <row r="726" spans="1:14" x14ac:dyDescent="0.35">
      <c r="A726" t="s">
        <v>679</v>
      </c>
      <c r="B726" t="s">
        <v>247</v>
      </c>
      <c r="C726" t="s">
        <v>16</v>
      </c>
      <c r="D726">
        <v>0</v>
      </c>
      <c r="E726">
        <v>13</v>
      </c>
      <c r="F726" t="s">
        <v>697</v>
      </c>
      <c r="G726">
        <v>13</v>
      </c>
      <c r="H726" t="s">
        <v>157</v>
      </c>
      <c r="I726">
        <v>15</v>
      </c>
      <c r="J726">
        <v>27.5</v>
      </c>
      <c r="K726">
        <v>0</v>
      </c>
      <c r="L726">
        <v>0</v>
      </c>
      <c r="M726">
        <v>13</v>
      </c>
      <c r="N726" t="s">
        <v>698</v>
      </c>
    </row>
    <row r="727" spans="1:14" x14ac:dyDescent="0.35">
      <c r="A727" t="s">
        <v>679</v>
      </c>
      <c r="B727" t="s">
        <v>571</v>
      </c>
      <c r="C727" t="s">
        <v>16</v>
      </c>
      <c r="D727">
        <v>0</v>
      </c>
      <c r="E727">
        <v>14</v>
      </c>
      <c r="F727" t="s">
        <v>572</v>
      </c>
      <c r="G727">
        <v>14</v>
      </c>
      <c r="H727" t="s">
        <v>157</v>
      </c>
      <c r="I727">
        <v>15</v>
      </c>
      <c r="J727">
        <v>26.8</v>
      </c>
      <c r="K727">
        <v>3</v>
      </c>
      <c r="L727">
        <v>3</v>
      </c>
      <c r="M727">
        <v>17</v>
      </c>
      <c r="N727" t="s">
        <v>699</v>
      </c>
    </row>
    <row r="728" spans="1:14" x14ac:dyDescent="0.35">
      <c r="A728" t="s">
        <v>700</v>
      </c>
      <c r="B728" t="s">
        <v>15</v>
      </c>
      <c r="C728" t="s">
        <v>16</v>
      </c>
      <c r="D728">
        <v>0</v>
      </c>
      <c r="E728">
        <v>18</v>
      </c>
      <c r="F728" t="s">
        <v>20</v>
      </c>
      <c r="G728">
        <v>18</v>
      </c>
      <c r="H728" t="s">
        <v>18</v>
      </c>
      <c r="I728">
        <v>4</v>
      </c>
      <c r="J728">
        <v>28.3</v>
      </c>
      <c r="K728">
        <v>0</v>
      </c>
      <c r="L728">
        <v>0</v>
      </c>
      <c r="M728">
        <v>18</v>
      </c>
      <c r="N728" t="s">
        <v>19</v>
      </c>
    </row>
    <row r="729" spans="1:14" x14ac:dyDescent="0.35">
      <c r="A729" t="s">
        <v>700</v>
      </c>
      <c r="B729" t="s">
        <v>254</v>
      </c>
      <c r="C729" t="s">
        <v>16</v>
      </c>
      <c r="D729">
        <v>0</v>
      </c>
      <c r="E729">
        <v>19</v>
      </c>
      <c r="F729" t="s">
        <v>23</v>
      </c>
      <c r="G729">
        <v>18</v>
      </c>
      <c r="H729" t="s">
        <v>18</v>
      </c>
      <c r="I729">
        <v>2</v>
      </c>
      <c r="J729">
        <v>25</v>
      </c>
      <c r="K729">
        <v>3</v>
      </c>
      <c r="L729">
        <v>2</v>
      </c>
      <c r="M729">
        <v>20</v>
      </c>
      <c r="N729" t="s">
        <v>19</v>
      </c>
    </row>
    <row r="730" spans="1:14" x14ac:dyDescent="0.35">
      <c r="A730" t="s">
        <v>700</v>
      </c>
      <c r="B730" t="s">
        <v>575</v>
      </c>
      <c r="C730" t="s">
        <v>16</v>
      </c>
      <c r="D730">
        <v>1</v>
      </c>
      <c r="E730">
        <v>19</v>
      </c>
      <c r="F730" t="s">
        <v>26</v>
      </c>
      <c r="G730">
        <v>18</v>
      </c>
      <c r="H730" t="s">
        <v>18</v>
      </c>
      <c r="I730">
        <v>3</v>
      </c>
      <c r="J730">
        <v>30.5</v>
      </c>
      <c r="K730">
        <v>3</v>
      </c>
      <c r="L730">
        <v>3</v>
      </c>
      <c r="M730">
        <v>21</v>
      </c>
      <c r="N730" t="s">
        <v>28</v>
      </c>
    </row>
    <row r="731" spans="1:14" x14ac:dyDescent="0.35">
      <c r="A731" t="s">
        <v>700</v>
      </c>
      <c r="B731" t="s">
        <v>17</v>
      </c>
      <c r="C731" t="s">
        <v>29</v>
      </c>
      <c r="D731">
        <v>0</v>
      </c>
      <c r="E731">
        <v>18</v>
      </c>
      <c r="F731" t="s">
        <v>263</v>
      </c>
      <c r="G731">
        <v>18</v>
      </c>
      <c r="H731" t="s">
        <v>18</v>
      </c>
      <c r="I731">
        <v>11</v>
      </c>
      <c r="J731">
        <v>21.9</v>
      </c>
      <c r="K731">
        <v>1</v>
      </c>
      <c r="L731">
        <v>3</v>
      </c>
      <c r="M731">
        <v>21</v>
      </c>
      <c r="N731" t="s">
        <v>257</v>
      </c>
    </row>
    <row r="732" spans="1:14" x14ac:dyDescent="0.35">
      <c r="A732" t="s">
        <v>700</v>
      </c>
      <c r="B732" t="s">
        <v>407</v>
      </c>
      <c r="C732" t="s">
        <v>16</v>
      </c>
      <c r="D732">
        <v>2</v>
      </c>
      <c r="E732">
        <v>18</v>
      </c>
      <c r="F732" t="s">
        <v>258</v>
      </c>
      <c r="G732">
        <v>18</v>
      </c>
      <c r="H732" t="s">
        <v>18</v>
      </c>
      <c r="I732">
        <v>3</v>
      </c>
      <c r="J732">
        <v>24.2</v>
      </c>
      <c r="K732">
        <v>4</v>
      </c>
      <c r="L732">
        <v>2</v>
      </c>
      <c r="M732">
        <v>20</v>
      </c>
      <c r="N732" t="s">
        <v>264</v>
      </c>
    </row>
    <row r="733" spans="1:14" x14ac:dyDescent="0.35">
      <c r="A733" t="s">
        <v>700</v>
      </c>
      <c r="B733" t="s">
        <v>27</v>
      </c>
      <c r="C733" t="s">
        <v>16</v>
      </c>
      <c r="D733">
        <v>2</v>
      </c>
      <c r="E733">
        <v>18</v>
      </c>
      <c r="F733" t="s">
        <v>499</v>
      </c>
      <c r="G733">
        <v>18</v>
      </c>
      <c r="H733" t="s">
        <v>18</v>
      </c>
      <c r="I733">
        <v>2</v>
      </c>
      <c r="J733">
        <v>27</v>
      </c>
      <c r="K733">
        <v>4</v>
      </c>
      <c r="L733">
        <v>3</v>
      </c>
      <c r="M733">
        <v>21</v>
      </c>
      <c r="N733" t="s">
        <v>259</v>
      </c>
    </row>
    <row r="734" spans="1:14" x14ac:dyDescent="0.35">
      <c r="A734" t="s">
        <v>700</v>
      </c>
      <c r="B734" t="s">
        <v>260</v>
      </c>
      <c r="C734" t="s">
        <v>16</v>
      </c>
      <c r="D734">
        <v>2</v>
      </c>
      <c r="E734">
        <v>16</v>
      </c>
      <c r="F734" t="s">
        <v>701</v>
      </c>
      <c r="G734">
        <v>18</v>
      </c>
      <c r="H734" t="s">
        <v>18</v>
      </c>
      <c r="I734">
        <v>3</v>
      </c>
      <c r="J734">
        <v>27.2</v>
      </c>
      <c r="K734">
        <v>4</v>
      </c>
      <c r="L734">
        <v>3</v>
      </c>
      <c r="M734">
        <v>21</v>
      </c>
      <c r="N734" t="s">
        <v>37</v>
      </c>
    </row>
    <row r="735" spans="1:14" x14ac:dyDescent="0.35">
      <c r="A735" t="s">
        <v>700</v>
      </c>
      <c r="B735" t="s">
        <v>406</v>
      </c>
      <c r="C735" t="s">
        <v>16</v>
      </c>
      <c r="D735">
        <v>0</v>
      </c>
      <c r="E735">
        <v>21</v>
      </c>
      <c r="F735" t="s">
        <v>36</v>
      </c>
      <c r="G735">
        <v>18</v>
      </c>
      <c r="H735" t="s">
        <v>18</v>
      </c>
      <c r="I735">
        <v>4</v>
      </c>
      <c r="J735">
        <v>29.9</v>
      </c>
      <c r="K735">
        <v>3</v>
      </c>
      <c r="L735">
        <v>2</v>
      </c>
      <c r="M735">
        <v>20</v>
      </c>
      <c r="N735" t="s">
        <v>498</v>
      </c>
    </row>
    <row r="736" spans="1:14" x14ac:dyDescent="0.35">
      <c r="A736" t="s">
        <v>700</v>
      </c>
      <c r="B736" t="s">
        <v>258</v>
      </c>
      <c r="C736" t="s">
        <v>29</v>
      </c>
      <c r="D736">
        <v>0</v>
      </c>
      <c r="E736">
        <v>18</v>
      </c>
      <c r="F736" t="s">
        <v>36</v>
      </c>
      <c r="G736">
        <v>18</v>
      </c>
      <c r="H736" t="s">
        <v>18</v>
      </c>
      <c r="I736">
        <v>12</v>
      </c>
      <c r="J736">
        <v>22.8</v>
      </c>
      <c r="K736">
        <v>2</v>
      </c>
      <c r="L736">
        <v>4</v>
      </c>
      <c r="M736">
        <v>22</v>
      </c>
      <c r="N736" t="s">
        <v>37</v>
      </c>
    </row>
    <row r="737" spans="1:14" x14ac:dyDescent="0.35">
      <c r="A737" t="s">
        <v>700</v>
      </c>
      <c r="B737" t="s">
        <v>50</v>
      </c>
      <c r="C737" t="s">
        <v>16</v>
      </c>
      <c r="D737">
        <v>3</v>
      </c>
      <c r="E737">
        <v>17</v>
      </c>
      <c r="F737" t="s">
        <v>264</v>
      </c>
      <c r="G737">
        <v>18</v>
      </c>
      <c r="H737" t="s">
        <v>18</v>
      </c>
      <c r="I737">
        <v>11</v>
      </c>
      <c r="J737">
        <v>29.1</v>
      </c>
      <c r="K737">
        <v>3</v>
      </c>
      <c r="L737">
        <v>4</v>
      </c>
      <c r="M737">
        <v>22</v>
      </c>
      <c r="N737" t="s">
        <v>272</v>
      </c>
    </row>
    <row r="738" spans="1:14" x14ac:dyDescent="0.35">
      <c r="A738" t="s">
        <v>700</v>
      </c>
      <c r="B738" t="s">
        <v>255</v>
      </c>
      <c r="C738" t="s">
        <v>16</v>
      </c>
      <c r="D738">
        <v>2</v>
      </c>
      <c r="E738">
        <v>16</v>
      </c>
      <c r="F738" t="s">
        <v>44</v>
      </c>
      <c r="G738">
        <v>18</v>
      </c>
      <c r="H738" t="s">
        <v>18</v>
      </c>
      <c r="I738">
        <v>8</v>
      </c>
      <c r="J738">
        <v>27.6</v>
      </c>
      <c r="K738">
        <v>4</v>
      </c>
      <c r="L738">
        <v>4</v>
      </c>
      <c r="M738">
        <v>22</v>
      </c>
      <c r="N738" t="s">
        <v>274</v>
      </c>
    </row>
    <row r="739" spans="1:14" x14ac:dyDescent="0.35">
      <c r="A739" t="s">
        <v>700</v>
      </c>
      <c r="B739" t="s">
        <v>262</v>
      </c>
      <c r="C739" t="s">
        <v>16</v>
      </c>
      <c r="D739">
        <v>0</v>
      </c>
      <c r="E739">
        <v>19</v>
      </c>
      <c r="F739" t="s">
        <v>47</v>
      </c>
      <c r="G739">
        <v>18</v>
      </c>
      <c r="H739" t="s">
        <v>18</v>
      </c>
      <c r="I739">
        <v>8</v>
      </c>
      <c r="J739">
        <v>26.9</v>
      </c>
      <c r="K739">
        <v>0</v>
      </c>
      <c r="L739">
        <v>0</v>
      </c>
      <c r="M739">
        <v>18</v>
      </c>
      <c r="N739" t="s">
        <v>67</v>
      </c>
    </row>
    <row r="740" spans="1:14" x14ac:dyDescent="0.35">
      <c r="A740" t="s">
        <v>700</v>
      </c>
      <c r="B740" t="s">
        <v>409</v>
      </c>
      <c r="C740" t="s">
        <v>16</v>
      </c>
      <c r="D740">
        <v>1</v>
      </c>
      <c r="E740">
        <v>17</v>
      </c>
      <c r="F740" t="s">
        <v>269</v>
      </c>
      <c r="G740">
        <v>18</v>
      </c>
      <c r="H740" t="s">
        <v>18</v>
      </c>
      <c r="I740">
        <v>3</v>
      </c>
      <c r="J740">
        <v>26.3</v>
      </c>
      <c r="K740">
        <v>1</v>
      </c>
      <c r="L740">
        <v>2</v>
      </c>
      <c r="M740">
        <v>20</v>
      </c>
      <c r="N740" t="s">
        <v>415</v>
      </c>
    </row>
    <row r="741" spans="1:14" x14ac:dyDescent="0.35">
      <c r="A741" t="s">
        <v>700</v>
      </c>
      <c r="B741" t="s">
        <v>50</v>
      </c>
      <c r="C741" t="s">
        <v>29</v>
      </c>
      <c r="D741">
        <v>0</v>
      </c>
      <c r="E741">
        <v>18</v>
      </c>
      <c r="F741" t="s">
        <v>265</v>
      </c>
      <c r="G741">
        <v>18</v>
      </c>
      <c r="H741" t="s">
        <v>18</v>
      </c>
      <c r="I741">
        <v>37</v>
      </c>
      <c r="J741">
        <v>19.8</v>
      </c>
      <c r="K741">
        <v>0</v>
      </c>
      <c r="L741">
        <v>0</v>
      </c>
      <c r="M741">
        <v>18</v>
      </c>
      <c r="N741" t="s">
        <v>67</v>
      </c>
    </row>
    <row r="742" spans="1:14" x14ac:dyDescent="0.35">
      <c r="A742" t="s">
        <v>700</v>
      </c>
      <c r="B742" t="s">
        <v>48</v>
      </c>
      <c r="C742" t="s">
        <v>16</v>
      </c>
      <c r="D742">
        <v>0</v>
      </c>
      <c r="E742">
        <v>20</v>
      </c>
      <c r="F742" t="s">
        <v>272</v>
      </c>
      <c r="G742">
        <v>18</v>
      </c>
      <c r="H742" t="s">
        <v>18</v>
      </c>
      <c r="I742">
        <v>5</v>
      </c>
      <c r="J742">
        <v>27.4</v>
      </c>
      <c r="K742">
        <v>0</v>
      </c>
      <c r="L742">
        <v>0</v>
      </c>
      <c r="M742">
        <v>18</v>
      </c>
      <c r="N742" t="s">
        <v>58</v>
      </c>
    </row>
    <row r="743" spans="1:14" x14ac:dyDescent="0.35">
      <c r="A743" t="s">
        <v>700</v>
      </c>
      <c r="B743" t="s">
        <v>53</v>
      </c>
      <c r="C743" t="s">
        <v>16</v>
      </c>
      <c r="D743">
        <v>2</v>
      </c>
      <c r="E743">
        <v>20</v>
      </c>
      <c r="F743" t="s">
        <v>414</v>
      </c>
      <c r="G743">
        <v>18</v>
      </c>
      <c r="H743" t="s">
        <v>18</v>
      </c>
      <c r="I743">
        <v>5</v>
      </c>
      <c r="J743">
        <v>25.3</v>
      </c>
      <c r="K743">
        <v>3</v>
      </c>
      <c r="L743">
        <v>1</v>
      </c>
      <c r="M743">
        <v>19</v>
      </c>
      <c r="N743" t="s">
        <v>54</v>
      </c>
    </row>
    <row r="744" spans="1:14" x14ac:dyDescent="0.35">
      <c r="A744" t="s">
        <v>700</v>
      </c>
      <c r="B744" t="s">
        <v>274</v>
      </c>
      <c r="C744" t="s">
        <v>16</v>
      </c>
      <c r="D744">
        <v>4</v>
      </c>
      <c r="E744">
        <v>17</v>
      </c>
      <c r="F744" t="s">
        <v>504</v>
      </c>
      <c r="G744">
        <v>18</v>
      </c>
      <c r="H744" t="s">
        <v>18</v>
      </c>
      <c r="I744">
        <v>3</v>
      </c>
      <c r="J744">
        <v>30.6</v>
      </c>
      <c r="K744">
        <v>0</v>
      </c>
      <c r="L744">
        <v>0</v>
      </c>
      <c r="M744">
        <v>18</v>
      </c>
      <c r="N744" t="s">
        <v>60</v>
      </c>
    </row>
    <row r="745" spans="1:14" x14ac:dyDescent="0.35">
      <c r="A745" t="s">
        <v>700</v>
      </c>
      <c r="B745" t="s">
        <v>53</v>
      </c>
      <c r="C745" t="s">
        <v>29</v>
      </c>
      <c r="D745">
        <v>0</v>
      </c>
      <c r="E745">
        <v>19</v>
      </c>
      <c r="F745" t="s">
        <v>504</v>
      </c>
      <c r="G745">
        <v>18</v>
      </c>
      <c r="H745" t="s">
        <v>18</v>
      </c>
      <c r="I745">
        <v>9</v>
      </c>
      <c r="J745">
        <v>22.5</v>
      </c>
      <c r="K745">
        <v>2</v>
      </c>
      <c r="L745">
        <v>3</v>
      </c>
      <c r="M745">
        <v>21</v>
      </c>
      <c r="N745" t="s">
        <v>57</v>
      </c>
    </row>
    <row r="746" spans="1:14" x14ac:dyDescent="0.35">
      <c r="A746" t="s">
        <v>700</v>
      </c>
      <c r="B746" t="s">
        <v>62</v>
      </c>
      <c r="C746" t="s">
        <v>16</v>
      </c>
      <c r="D746">
        <v>3</v>
      </c>
      <c r="E746">
        <v>17</v>
      </c>
      <c r="F746" t="s">
        <v>46</v>
      </c>
      <c r="G746">
        <v>18</v>
      </c>
      <c r="H746" t="s">
        <v>18</v>
      </c>
      <c r="I746">
        <v>4</v>
      </c>
      <c r="J746">
        <v>29.1</v>
      </c>
      <c r="K746">
        <v>2</v>
      </c>
      <c r="L746">
        <v>5</v>
      </c>
      <c r="M746">
        <v>23</v>
      </c>
      <c r="N746" t="s">
        <v>506</v>
      </c>
    </row>
    <row r="747" spans="1:14" x14ac:dyDescent="0.35">
      <c r="A747" t="s">
        <v>700</v>
      </c>
      <c r="B747" t="s">
        <v>67</v>
      </c>
      <c r="C747" t="s">
        <v>16</v>
      </c>
      <c r="D747">
        <v>2</v>
      </c>
      <c r="E747">
        <v>17</v>
      </c>
      <c r="F747" t="s">
        <v>68</v>
      </c>
      <c r="G747">
        <v>18</v>
      </c>
      <c r="H747" t="s">
        <v>18</v>
      </c>
      <c r="I747">
        <v>2</v>
      </c>
      <c r="J747">
        <v>31</v>
      </c>
      <c r="K747">
        <v>1</v>
      </c>
      <c r="L747">
        <v>3</v>
      </c>
      <c r="M747">
        <v>21</v>
      </c>
      <c r="N747" t="s">
        <v>286</v>
      </c>
    </row>
    <row r="748" spans="1:14" x14ac:dyDescent="0.35">
      <c r="A748" t="s">
        <v>700</v>
      </c>
      <c r="B748" t="s">
        <v>62</v>
      </c>
      <c r="C748" t="s">
        <v>29</v>
      </c>
      <c r="D748">
        <v>1</v>
      </c>
      <c r="E748">
        <v>17</v>
      </c>
      <c r="F748" t="s">
        <v>268</v>
      </c>
      <c r="G748">
        <v>18</v>
      </c>
      <c r="H748" t="s">
        <v>18</v>
      </c>
      <c r="I748">
        <v>12</v>
      </c>
      <c r="J748">
        <v>22</v>
      </c>
      <c r="K748">
        <v>0</v>
      </c>
      <c r="L748">
        <v>0</v>
      </c>
      <c r="M748">
        <v>18</v>
      </c>
      <c r="N748" t="s">
        <v>69</v>
      </c>
    </row>
    <row r="749" spans="1:14" x14ac:dyDescent="0.35">
      <c r="A749" t="s">
        <v>700</v>
      </c>
      <c r="B749" t="s">
        <v>49</v>
      </c>
      <c r="C749" t="s">
        <v>16</v>
      </c>
      <c r="D749">
        <v>1</v>
      </c>
      <c r="E749">
        <v>17</v>
      </c>
      <c r="F749" t="s">
        <v>502</v>
      </c>
      <c r="G749">
        <v>18</v>
      </c>
      <c r="H749" t="s">
        <v>18</v>
      </c>
      <c r="I749">
        <v>6</v>
      </c>
      <c r="J749">
        <v>29.3</v>
      </c>
      <c r="K749">
        <v>4</v>
      </c>
      <c r="L749">
        <v>2</v>
      </c>
      <c r="M749">
        <v>20</v>
      </c>
      <c r="N749" t="s">
        <v>90</v>
      </c>
    </row>
    <row r="750" spans="1:14" x14ac:dyDescent="0.35">
      <c r="A750" t="s">
        <v>700</v>
      </c>
      <c r="B750" t="s">
        <v>58</v>
      </c>
      <c r="C750" t="s">
        <v>16</v>
      </c>
      <c r="D750">
        <v>0</v>
      </c>
      <c r="E750">
        <v>19</v>
      </c>
      <c r="F750" t="s">
        <v>283</v>
      </c>
      <c r="G750">
        <v>18</v>
      </c>
      <c r="H750" t="s">
        <v>18</v>
      </c>
      <c r="I750">
        <v>9</v>
      </c>
      <c r="J750">
        <v>29.9</v>
      </c>
      <c r="K750">
        <v>1</v>
      </c>
      <c r="L750">
        <v>6</v>
      </c>
      <c r="M750">
        <v>24</v>
      </c>
      <c r="N750" t="s">
        <v>83</v>
      </c>
    </row>
    <row r="751" spans="1:14" x14ac:dyDescent="0.35">
      <c r="A751" t="s">
        <v>700</v>
      </c>
      <c r="B751" t="s">
        <v>72</v>
      </c>
      <c r="C751" t="s">
        <v>16</v>
      </c>
      <c r="D751">
        <v>1</v>
      </c>
      <c r="E751">
        <v>19</v>
      </c>
      <c r="F751" t="s">
        <v>619</v>
      </c>
      <c r="G751">
        <v>18</v>
      </c>
      <c r="H751" t="s">
        <v>18</v>
      </c>
      <c r="I751">
        <v>13</v>
      </c>
      <c r="J751">
        <v>25.9</v>
      </c>
      <c r="K751">
        <v>1</v>
      </c>
      <c r="L751">
        <v>4</v>
      </c>
      <c r="M751">
        <v>22</v>
      </c>
      <c r="N751" t="s">
        <v>91</v>
      </c>
    </row>
    <row r="752" spans="1:14" x14ac:dyDescent="0.35">
      <c r="A752" t="s">
        <v>700</v>
      </c>
      <c r="B752" t="s">
        <v>278</v>
      </c>
      <c r="C752" t="s">
        <v>16</v>
      </c>
      <c r="D752">
        <v>2</v>
      </c>
      <c r="E752">
        <v>17</v>
      </c>
      <c r="F752" t="s">
        <v>90</v>
      </c>
      <c r="G752">
        <v>18</v>
      </c>
      <c r="H752" t="s">
        <v>18</v>
      </c>
      <c r="I752">
        <v>3</v>
      </c>
      <c r="J752">
        <v>30.4</v>
      </c>
      <c r="K752">
        <v>3</v>
      </c>
      <c r="L752">
        <v>4</v>
      </c>
      <c r="M752">
        <v>22</v>
      </c>
      <c r="N752" t="s">
        <v>78</v>
      </c>
    </row>
    <row r="753" spans="1:14" x14ac:dyDescent="0.35">
      <c r="A753" t="s">
        <v>700</v>
      </c>
      <c r="B753" t="s">
        <v>410</v>
      </c>
      <c r="C753" t="s">
        <v>29</v>
      </c>
      <c r="D753">
        <v>0</v>
      </c>
      <c r="E753">
        <v>18</v>
      </c>
      <c r="F753" t="s">
        <v>287</v>
      </c>
      <c r="G753">
        <v>18</v>
      </c>
      <c r="H753" t="s">
        <v>18</v>
      </c>
      <c r="I753">
        <v>32</v>
      </c>
      <c r="J753">
        <v>22.3</v>
      </c>
      <c r="K753">
        <v>1</v>
      </c>
      <c r="L753">
        <v>4</v>
      </c>
      <c r="M753">
        <v>22</v>
      </c>
      <c r="N753" t="s">
        <v>94</v>
      </c>
    </row>
    <row r="754" spans="1:14" x14ac:dyDescent="0.35">
      <c r="A754" t="s">
        <v>700</v>
      </c>
      <c r="B754" t="s">
        <v>417</v>
      </c>
      <c r="C754" t="s">
        <v>16</v>
      </c>
      <c r="D754">
        <v>1</v>
      </c>
      <c r="E754">
        <v>23</v>
      </c>
      <c r="F754" t="s">
        <v>644</v>
      </c>
      <c r="G754">
        <v>18</v>
      </c>
      <c r="H754" t="s">
        <v>18</v>
      </c>
      <c r="I754">
        <v>4</v>
      </c>
      <c r="J754">
        <v>31.3</v>
      </c>
      <c r="K754">
        <v>0</v>
      </c>
      <c r="L754">
        <v>0</v>
      </c>
      <c r="M754">
        <v>18</v>
      </c>
      <c r="N754" t="s">
        <v>418</v>
      </c>
    </row>
    <row r="755" spans="1:14" x14ac:dyDescent="0.35">
      <c r="A755" t="s">
        <v>700</v>
      </c>
      <c r="B755" t="s">
        <v>288</v>
      </c>
      <c r="C755" t="s">
        <v>16</v>
      </c>
      <c r="D755">
        <v>6</v>
      </c>
      <c r="E755">
        <v>14</v>
      </c>
      <c r="F755" t="s">
        <v>282</v>
      </c>
      <c r="G755">
        <v>18</v>
      </c>
      <c r="H755" t="s">
        <v>18</v>
      </c>
      <c r="I755">
        <v>3</v>
      </c>
      <c r="J755">
        <v>31.6</v>
      </c>
      <c r="K755">
        <v>2</v>
      </c>
      <c r="L755">
        <v>3</v>
      </c>
      <c r="M755">
        <v>21</v>
      </c>
      <c r="N755" t="s">
        <v>84</v>
      </c>
    </row>
    <row r="756" spans="1:14" x14ac:dyDescent="0.35">
      <c r="A756" t="s">
        <v>700</v>
      </c>
      <c r="B756" t="s">
        <v>290</v>
      </c>
      <c r="C756" t="s">
        <v>16</v>
      </c>
      <c r="D756">
        <v>2</v>
      </c>
      <c r="E756">
        <v>17</v>
      </c>
      <c r="F756" t="s">
        <v>419</v>
      </c>
      <c r="G756">
        <v>18</v>
      </c>
      <c r="H756" t="s">
        <v>18</v>
      </c>
      <c r="I756">
        <v>4</v>
      </c>
      <c r="J756">
        <v>28.6</v>
      </c>
      <c r="K756">
        <v>0</v>
      </c>
      <c r="L756">
        <v>0</v>
      </c>
      <c r="M756">
        <v>18</v>
      </c>
      <c r="N756" t="s">
        <v>299</v>
      </c>
    </row>
    <row r="757" spans="1:14" x14ac:dyDescent="0.35">
      <c r="A757" t="s">
        <v>700</v>
      </c>
      <c r="B757" t="s">
        <v>79</v>
      </c>
      <c r="C757" t="s">
        <v>29</v>
      </c>
      <c r="D757">
        <v>0</v>
      </c>
      <c r="E757">
        <v>18</v>
      </c>
      <c r="F757" t="s">
        <v>73</v>
      </c>
      <c r="G757">
        <v>18</v>
      </c>
      <c r="H757" t="s">
        <v>18</v>
      </c>
      <c r="I757">
        <v>11</v>
      </c>
      <c r="J757">
        <v>23</v>
      </c>
      <c r="K757">
        <v>0</v>
      </c>
      <c r="L757">
        <v>0</v>
      </c>
      <c r="M757">
        <v>18</v>
      </c>
      <c r="N757" t="s">
        <v>103</v>
      </c>
    </row>
    <row r="758" spans="1:14" x14ac:dyDescent="0.35">
      <c r="A758" t="s">
        <v>700</v>
      </c>
      <c r="B758" t="s">
        <v>73</v>
      </c>
      <c r="C758" t="s">
        <v>16</v>
      </c>
      <c r="D758">
        <v>1</v>
      </c>
      <c r="E758">
        <v>20</v>
      </c>
      <c r="F758" t="s">
        <v>88</v>
      </c>
      <c r="G758">
        <v>18</v>
      </c>
      <c r="H758" t="s">
        <v>18</v>
      </c>
      <c r="I758">
        <v>3</v>
      </c>
      <c r="J758">
        <v>28.1</v>
      </c>
      <c r="K758">
        <v>1</v>
      </c>
      <c r="L758">
        <v>4</v>
      </c>
      <c r="M758">
        <v>22</v>
      </c>
      <c r="N758" t="s">
        <v>702</v>
      </c>
    </row>
    <row r="759" spans="1:14" x14ac:dyDescent="0.35">
      <c r="A759" t="s">
        <v>700</v>
      </c>
      <c r="B759" t="s">
        <v>93</v>
      </c>
      <c r="C759" t="s">
        <v>16</v>
      </c>
      <c r="D759">
        <v>3</v>
      </c>
      <c r="E759">
        <v>16</v>
      </c>
      <c r="F759" t="s">
        <v>420</v>
      </c>
      <c r="G759">
        <v>18</v>
      </c>
      <c r="H759" t="s">
        <v>18</v>
      </c>
      <c r="I759">
        <v>4</v>
      </c>
      <c r="J759">
        <v>29.5</v>
      </c>
      <c r="K759">
        <v>4</v>
      </c>
      <c r="L759">
        <v>4</v>
      </c>
      <c r="M759">
        <v>22</v>
      </c>
      <c r="N759" t="s">
        <v>97</v>
      </c>
    </row>
    <row r="760" spans="1:14" x14ac:dyDescent="0.35">
      <c r="A760" t="s">
        <v>700</v>
      </c>
      <c r="B760" t="s">
        <v>94</v>
      </c>
      <c r="C760" t="s">
        <v>16</v>
      </c>
      <c r="D760">
        <v>1</v>
      </c>
      <c r="E760">
        <v>19</v>
      </c>
      <c r="F760" t="s">
        <v>78</v>
      </c>
      <c r="G760">
        <v>18</v>
      </c>
      <c r="H760" t="s">
        <v>18</v>
      </c>
      <c r="I760">
        <v>6</v>
      </c>
      <c r="J760">
        <v>32.6</v>
      </c>
      <c r="K760">
        <v>0</v>
      </c>
      <c r="L760">
        <v>0</v>
      </c>
      <c r="M760">
        <v>18</v>
      </c>
      <c r="N760" t="s">
        <v>302</v>
      </c>
    </row>
    <row r="761" spans="1:14" x14ac:dyDescent="0.35">
      <c r="A761" t="s">
        <v>700</v>
      </c>
      <c r="B761" t="s">
        <v>301</v>
      </c>
      <c r="C761" t="s">
        <v>16</v>
      </c>
      <c r="D761">
        <v>2</v>
      </c>
      <c r="E761">
        <v>16</v>
      </c>
      <c r="F761" t="s">
        <v>291</v>
      </c>
      <c r="G761">
        <v>18</v>
      </c>
      <c r="H761" t="s">
        <v>18</v>
      </c>
      <c r="I761">
        <v>8</v>
      </c>
      <c r="J761">
        <v>24.8</v>
      </c>
      <c r="K761">
        <v>0</v>
      </c>
      <c r="L761">
        <v>0</v>
      </c>
      <c r="M761">
        <v>18</v>
      </c>
      <c r="N761" t="s">
        <v>423</v>
      </c>
    </row>
    <row r="762" spans="1:14" x14ac:dyDescent="0.35">
      <c r="A762" t="s">
        <v>700</v>
      </c>
      <c r="B762" t="s">
        <v>87</v>
      </c>
      <c r="C762" t="s">
        <v>29</v>
      </c>
      <c r="D762">
        <v>0</v>
      </c>
      <c r="E762">
        <v>18</v>
      </c>
      <c r="F762" t="s">
        <v>84</v>
      </c>
      <c r="G762">
        <v>18</v>
      </c>
      <c r="H762" t="s">
        <v>18</v>
      </c>
      <c r="I762">
        <v>24</v>
      </c>
      <c r="J762">
        <v>21.5</v>
      </c>
      <c r="K762">
        <v>3</v>
      </c>
      <c r="L762">
        <v>6</v>
      </c>
      <c r="M762">
        <v>24</v>
      </c>
      <c r="N762" t="s">
        <v>703</v>
      </c>
    </row>
    <row r="763" spans="1:14" x14ac:dyDescent="0.35">
      <c r="A763" t="s">
        <v>700</v>
      </c>
      <c r="B763" t="s">
        <v>84</v>
      </c>
      <c r="C763" t="s">
        <v>16</v>
      </c>
      <c r="D763">
        <v>0</v>
      </c>
      <c r="E763">
        <v>18</v>
      </c>
      <c r="F763" t="s">
        <v>424</v>
      </c>
      <c r="G763">
        <v>18</v>
      </c>
      <c r="H763" t="s">
        <v>18</v>
      </c>
      <c r="I763">
        <v>13</v>
      </c>
      <c r="J763">
        <v>28.1</v>
      </c>
      <c r="K763">
        <v>1</v>
      </c>
      <c r="L763">
        <v>4</v>
      </c>
      <c r="M763">
        <v>22</v>
      </c>
      <c r="N763" t="s">
        <v>306</v>
      </c>
    </row>
    <row r="764" spans="1:14" x14ac:dyDescent="0.35">
      <c r="A764" t="s">
        <v>700</v>
      </c>
      <c r="B764" t="s">
        <v>106</v>
      </c>
      <c r="C764" t="s">
        <v>16</v>
      </c>
      <c r="D764">
        <v>0</v>
      </c>
      <c r="E764">
        <v>18</v>
      </c>
      <c r="F764" t="s">
        <v>514</v>
      </c>
      <c r="G764">
        <v>18</v>
      </c>
      <c r="H764" t="s">
        <v>18</v>
      </c>
      <c r="I764">
        <v>20</v>
      </c>
      <c r="J764">
        <v>32.4</v>
      </c>
      <c r="K764">
        <v>2</v>
      </c>
      <c r="L764">
        <v>1</v>
      </c>
      <c r="M764">
        <v>19</v>
      </c>
      <c r="N764" t="s">
        <v>648</v>
      </c>
    </row>
    <row r="765" spans="1:14" x14ac:dyDescent="0.35">
      <c r="A765" t="s">
        <v>700</v>
      </c>
      <c r="B765" t="s">
        <v>111</v>
      </c>
      <c r="C765" t="s">
        <v>16</v>
      </c>
      <c r="D765">
        <v>0</v>
      </c>
      <c r="E765">
        <v>18</v>
      </c>
      <c r="F765" t="s">
        <v>622</v>
      </c>
      <c r="G765">
        <v>18</v>
      </c>
      <c r="H765" t="s">
        <v>18</v>
      </c>
      <c r="I765">
        <v>19</v>
      </c>
      <c r="J765">
        <v>23.9</v>
      </c>
      <c r="K765">
        <v>1</v>
      </c>
      <c r="L765">
        <v>1</v>
      </c>
      <c r="M765">
        <v>19</v>
      </c>
      <c r="N765" t="s">
        <v>650</v>
      </c>
    </row>
    <row r="766" spans="1:14" x14ac:dyDescent="0.35">
      <c r="A766" t="s">
        <v>700</v>
      </c>
      <c r="B766" t="s">
        <v>299</v>
      </c>
      <c r="C766" t="s">
        <v>29</v>
      </c>
      <c r="D766">
        <v>0</v>
      </c>
      <c r="E766">
        <v>18</v>
      </c>
      <c r="F766" t="s">
        <v>704</v>
      </c>
      <c r="G766">
        <v>18</v>
      </c>
      <c r="H766" t="s">
        <v>18</v>
      </c>
      <c r="I766">
        <v>72</v>
      </c>
      <c r="J766">
        <v>22.6</v>
      </c>
      <c r="K766">
        <v>3</v>
      </c>
      <c r="L766">
        <v>1</v>
      </c>
      <c r="M766">
        <v>19</v>
      </c>
      <c r="N766" t="s">
        <v>705</v>
      </c>
    </row>
    <row r="767" spans="1:14" x14ac:dyDescent="0.35">
      <c r="A767" t="s">
        <v>700</v>
      </c>
      <c r="B767" t="s">
        <v>112</v>
      </c>
      <c r="C767" t="s">
        <v>16</v>
      </c>
      <c r="D767">
        <v>0</v>
      </c>
      <c r="E767">
        <v>18</v>
      </c>
      <c r="F767" t="s">
        <v>310</v>
      </c>
      <c r="G767">
        <v>18</v>
      </c>
      <c r="H767" t="s">
        <v>18</v>
      </c>
      <c r="I767">
        <v>26</v>
      </c>
      <c r="J767">
        <v>31.4</v>
      </c>
      <c r="K767">
        <v>4</v>
      </c>
      <c r="L767">
        <v>2</v>
      </c>
      <c r="M767">
        <v>20</v>
      </c>
      <c r="N767" t="s">
        <v>584</v>
      </c>
    </row>
    <row r="768" spans="1:14" x14ac:dyDescent="0.35">
      <c r="A768" t="s">
        <v>700</v>
      </c>
      <c r="B768" t="s">
        <v>113</v>
      </c>
      <c r="C768" t="s">
        <v>16</v>
      </c>
      <c r="D768">
        <v>0</v>
      </c>
      <c r="E768">
        <v>19</v>
      </c>
      <c r="F768" t="s">
        <v>311</v>
      </c>
      <c r="G768">
        <v>18</v>
      </c>
      <c r="H768" t="s">
        <v>18</v>
      </c>
      <c r="I768">
        <v>26</v>
      </c>
      <c r="J768">
        <v>30.5</v>
      </c>
      <c r="K768">
        <v>3</v>
      </c>
      <c r="L768">
        <v>3</v>
      </c>
      <c r="M768">
        <v>21</v>
      </c>
      <c r="N768" t="s">
        <v>435</v>
      </c>
    </row>
    <row r="769" spans="1:14" x14ac:dyDescent="0.35">
      <c r="A769" t="s">
        <v>700</v>
      </c>
      <c r="B769" t="s">
        <v>684</v>
      </c>
      <c r="C769" t="s">
        <v>16</v>
      </c>
      <c r="D769">
        <v>1</v>
      </c>
      <c r="E769">
        <v>17</v>
      </c>
      <c r="F769" t="s">
        <v>121</v>
      </c>
      <c r="G769">
        <v>18</v>
      </c>
      <c r="H769" t="s">
        <v>18</v>
      </c>
      <c r="I769">
        <v>13</v>
      </c>
      <c r="J769">
        <v>25.7</v>
      </c>
      <c r="K769">
        <v>3</v>
      </c>
      <c r="L769">
        <v>2</v>
      </c>
      <c r="M769">
        <v>20</v>
      </c>
      <c r="N769" t="s">
        <v>525</v>
      </c>
    </row>
    <row r="770" spans="1:14" x14ac:dyDescent="0.35">
      <c r="A770" t="s">
        <v>700</v>
      </c>
      <c r="B770" t="s">
        <v>125</v>
      </c>
      <c r="C770" t="s">
        <v>16</v>
      </c>
      <c r="D770">
        <v>0</v>
      </c>
      <c r="E770">
        <v>21</v>
      </c>
      <c r="F770" t="s">
        <v>126</v>
      </c>
      <c r="G770">
        <v>18</v>
      </c>
      <c r="H770" t="s">
        <v>18</v>
      </c>
      <c r="I770">
        <v>13</v>
      </c>
      <c r="J770">
        <v>28.2</v>
      </c>
      <c r="K770">
        <v>2</v>
      </c>
      <c r="L770">
        <v>4</v>
      </c>
      <c r="M770">
        <v>22</v>
      </c>
      <c r="N770" t="s">
        <v>149</v>
      </c>
    </row>
    <row r="771" spans="1:14" x14ac:dyDescent="0.35">
      <c r="A771" t="s">
        <v>700</v>
      </c>
      <c r="B771" t="s">
        <v>650</v>
      </c>
      <c r="C771" t="s">
        <v>29</v>
      </c>
      <c r="D771">
        <v>0</v>
      </c>
      <c r="E771">
        <v>18</v>
      </c>
      <c r="F771" t="s">
        <v>126</v>
      </c>
      <c r="G771">
        <v>18</v>
      </c>
      <c r="H771" t="s">
        <v>18</v>
      </c>
      <c r="I771">
        <v>61</v>
      </c>
      <c r="J771">
        <v>23.6</v>
      </c>
      <c r="K771">
        <v>4</v>
      </c>
      <c r="L771">
        <v>4</v>
      </c>
      <c r="M771">
        <v>22</v>
      </c>
      <c r="N771" t="s">
        <v>145</v>
      </c>
    </row>
    <row r="772" spans="1:14" x14ac:dyDescent="0.35">
      <c r="A772" t="s">
        <v>700</v>
      </c>
      <c r="B772" t="s">
        <v>128</v>
      </c>
      <c r="C772" t="s">
        <v>16</v>
      </c>
      <c r="D772">
        <v>3</v>
      </c>
      <c r="E772">
        <v>17</v>
      </c>
      <c r="F772" t="s">
        <v>320</v>
      </c>
      <c r="G772">
        <v>18</v>
      </c>
      <c r="H772" t="s">
        <v>18</v>
      </c>
      <c r="I772">
        <v>3</v>
      </c>
      <c r="J772">
        <v>28.2</v>
      </c>
      <c r="K772">
        <v>4</v>
      </c>
      <c r="L772">
        <v>3</v>
      </c>
      <c r="M772">
        <v>21</v>
      </c>
      <c r="N772" t="s">
        <v>588</v>
      </c>
    </row>
    <row r="773" spans="1:14" x14ac:dyDescent="0.35">
      <c r="A773" t="s">
        <v>700</v>
      </c>
      <c r="B773" t="s">
        <v>129</v>
      </c>
      <c r="C773" t="s">
        <v>16</v>
      </c>
      <c r="D773">
        <v>2</v>
      </c>
      <c r="E773">
        <v>16</v>
      </c>
      <c r="F773" t="s">
        <v>134</v>
      </c>
      <c r="G773">
        <v>18</v>
      </c>
      <c r="H773" t="s">
        <v>18</v>
      </c>
      <c r="I773">
        <v>3</v>
      </c>
      <c r="J773">
        <v>36.1</v>
      </c>
      <c r="K773">
        <v>1</v>
      </c>
      <c r="L773">
        <v>1</v>
      </c>
      <c r="M773">
        <v>19</v>
      </c>
      <c r="N773" t="s">
        <v>442</v>
      </c>
    </row>
    <row r="774" spans="1:14" x14ac:dyDescent="0.35">
      <c r="A774" t="s">
        <v>700</v>
      </c>
      <c r="B774" t="s">
        <v>322</v>
      </c>
      <c r="C774" t="s">
        <v>16</v>
      </c>
      <c r="D774">
        <v>0</v>
      </c>
      <c r="E774">
        <v>18</v>
      </c>
      <c r="F774" t="s">
        <v>525</v>
      </c>
      <c r="G774">
        <v>18</v>
      </c>
      <c r="H774" t="s">
        <v>18</v>
      </c>
      <c r="I774">
        <v>2</v>
      </c>
      <c r="J774">
        <v>28.8</v>
      </c>
      <c r="K774">
        <v>4</v>
      </c>
      <c r="L774">
        <v>3</v>
      </c>
      <c r="M774">
        <v>21</v>
      </c>
      <c r="N774" t="s">
        <v>623</v>
      </c>
    </row>
    <row r="775" spans="1:14" x14ac:dyDescent="0.35">
      <c r="A775" t="s">
        <v>700</v>
      </c>
      <c r="B775" t="s">
        <v>128</v>
      </c>
      <c r="C775" t="s">
        <v>29</v>
      </c>
      <c r="D775">
        <v>0</v>
      </c>
      <c r="E775">
        <v>21</v>
      </c>
      <c r="F775" t="s">
        <v>525</v>
      </c>
      <c r="G775">
        <v>18</v>
      </c>
      <c r="H775" t="s">
        <v>18</v>
      </c>
      <c r="I775">
        <v>10</v>
      </c>
      <c r="J775">
        <v>21.5</v>
      </c>
      <c r="K775">
        <v>3</v>
      </c>
      <c r="L775">
        <v>5</v>
      </c>
      <c r="M775">
        <v>23</v>
      </c>
      <c r="N775" t="s">
        <v>588</v>
      </c>
    </row>
    <row r="776" spans="1:14" x14ac:dyDescent="0.35">
      <c r="A776" t="s">
        <v>700</v>
      </c>
      <c r="B776" t="s">
        <v>135</v>
      </c>
      <c r="C776" t="s">
        <v>16</v>
      </c>
      <c r="D776">
        <v>0</v>
      </c>
      <c r="E776">
        <v>21</v>
      </c>
      <c r="F776" t="s">
        <v>521</v>
      </c>
      <c r="G776">
        <v>18</v>
      </c>
      <c r="H776" t="s">
        <v>18</v>
      </c>
      <c r="I776">
        <v>4</v>
      </c>
      <c r="J776">
        <v>31.6</v>
      </c>
      <c r="K776">
        <v>3</v>
      </c>
      <c r="L776">
        <v>3</v>
      </c>
      <c r="M776">
        <v>21</v>
      </c>
      <c r="N776" t="s">
        <v>440</v>
      </c>
    </row>
    <row r="777" spans="1:14" x14ac:dyDescent="0.35">
      <c r="A777" t="s">
        <v>700</v>
      </c>
      <c r="B777" t="s">
        <v>135</v>
      </c>
      <c r="C777" t="s">
        <v>29</v>
      </c>
      <c r="D777">
        <v>3</v>
      </c>
      <c r="E777">
        <v>15</v>
      </c>
      <c r="F777" t="s">
        <v>142</v>
      </c>
      <c r="G777">
        <v>18</v>
      </c>
      <c r="H777" t="s">
        <v>18</v>
      </c>
      <c r="I777">
        <v>7</v>
      </c>
      <c r="J777">
        <v>20.6</v>
      </c>
      <c r="K777">
        <v>0</v>
      </c>
      <c r="L777">
        <v>0</v>
      </c>
      <c r="M777">
        <v>18</v>
      </c>
      <c r="N777" t="s">
        <v>623</v>
      </c>
    </row>
    <row r="778" spans="1:14" x14ac:dyDescent="0.35">
      <c r="A778" t="s">
        <v>700</v>
      </c>
      <c r="B778" t="s">
        <v>439</v>
      </c>
      <c r="C778" t="s">
        <v>16</v>
      </c>
      <c r="D778">
        <v>3</v>
      </c>
      <c r="E778">
        <v>22</v>
      </c>
      <c r="F778" t="s">
        <v>144</v>
      </c>
      <c r="G778">
        <v>18</v>
      </c>
      <c r="H778" t="s">
        <v>18</v>
      </c>
      <c r="I778">
        <v>3</v>
      </c>
      <c r="J778">
        <v>32.6</v>
      </c>
      <c r="K778">
        <v>0</v>
      </c>
      <c r="L778">
        <v>0</v>
      </c>
      <c r="M778">
        <v>18</v>
      </c>
      <c r="N778" t="s">
        <v>146</v>
      </c>
    </row>
    <row r="779" spans="1:14" x14ac:dyDescent="0.35">
      <c r="A779" t="s">
        <v>700</v>
      </c>
      <c r="B779" t="s">
        <v>526</v>
      </c>
      <c r="C779" t="s">
        <v>16</v>
      </c>
      <c r="D779">
        <v>7</v>
      </c>
      <c r="E779">
        <v>14</v>
      </c>
      <c r="F779" t="s">
        <v>145</v>
      </c>
      <c r="G779">
        <v>18</v>
      </c>
      <c r="H779" t="s">
        <v>18</v>
      </c>
      <c r="I779">
        <v>2</v>
      </c>
      <c r="J779">
        <v>29.8</v>
      </c>
      <c r="K779">
        <v>0</v>
      </c>
      <c r="L779">
        <v>0</v>
      </c>
      <c r="M779">
        <v>18</v>
      </c>
      <c r="N779" t="s">
        <v>146</v>
      </c>
    </row>
    <row r="780" spans="1:14" x14ac:dyDescent="0.35">
      <c r="A780" t="s">
        <v>700</v>
      </c>
      <c r="B780" t="s">
        <v>147</v>
      </c>
      <c r="C780" t="s">
        <v>16</v>
      </c>
      <c r="D780">
        <v>3</v>
      </c>
      <c r="E780">
        <v>15</v>
      </c>
      <c r="F780" t="s">
        <v>151</v>
      </c>
      <c r="G780">
        <v>18</v>
      </c>
      <c r="H780" t="s">
        <v>18</v>
      </c>
      <c r="I780">
        <v>7</v>
      </c>
      <c r="J780">
        <v>28.7</v>
      </c>
      <c r="K780">
        <v>3</v>
      </c>
      <c r="L780">
        <v>2</v>
      </c>
      <c r="M780">
        <v>20</v>
      </c>
      <c r="N780" t="s">
        <v>328</v>
      </c>
    </row>
    <row r="781" spans="1:14" x14ac:dyDescent="0.35">
      <c r="A781" t="s">
        <v>700</v>
      </c>
      <c r="B781" t="s">
        <v>526</v>
      </c>
      <c r="C781" t="s">
        <v>29</v>
      </c>
      <c r="D781">
        <v>0</v>
      </c>
      <c r="E781">
        <v>19</v>
      </c>
      <c r="F781" t="s">
        <v>437</v>
      </c>
      <c r="G781">
        <v>18</v>
      </c>
      <c r="H781" t="s">
        <v>18</v>
      </c>
      <c r="I781">
        <v>14</v>
      </c>
      <c r="J781">
        <v>22</v>
      </c>
      <c r="K781">
        <v>1</v>
      </c>
      <c r="L781">
        <v>2</v>
      </c>
      <c r="M781">
        <v>20</v>
      </c>
      <c r="N781" t="s">
        <v>443</v>
      </c>
    </row>
    <row r="782" spans="1:14" x14ac:dyDescent="0.35">
      <c r="A782" t="s">
        <v>700</v>
      </c>
      <c r="B782" t="s">
        <v>588</v>
      </c>
      <c r="C782" t="s">
        <v>16</v>
      </c>
      <c r="D782">
        <v>0</v>
      </c>
      <c r="E782">
        <v>18</v>
      </c>
      <c r="F782" t="s">
        <v>326</v>
      </c>
      <c r="G782">
        <v>18</v>
      </c>
      <c r="H782" t="s">
        <v>18</v>
      </c>
      <c r="I782">
        <v>14</v>
      </c>
      <c r="J782">
        <v>30.8</v>
      </c>
      <c r="K782">
        <v>3</v>
      </c>
      <c r="L782">
        <v>3</v>
      </c>
      <c r="M782">
        <v>21</v>
      </c>
      <c r="N782" t="s">
        <v>590</v>
      </c>
    </row>
    <row r="783" spans="1:14" x14ac:dyDescent="0.35">
      <c r="A783" t="s">
        <v>700</v>
      </c>
      <c r="B783" t="s">
        <v>140</v>
      </c>
      <c r="C783" t="s">
        <v>16</v>
      </c>
      <c r="D783">
        <v>0</v>
      </c>
      <c r="E783">
        <v>18</v>
      </c>
      <c r="F783" t="s">
        <v>443</v>
      </c>
      <c r="G783">
        <v>18</v>
      </c>
      <c r="H783" t="s">
        <v>18</v>
      </c>
      <c r="I783">
        <v>9</v>
      </c>
      <c r="J783">
        <v>27.7</v>
      </c>
      <c r="K783">
        <v>0</v>
      </c>
      <c r="L783">
        <v>0</v>
      </c>
      <c r="M783">
        <v>18</v>
      </c>
      <c r="N783" t="s">
        <v>154</v>
      </c>
    </row>
    <row r="784" spans="1:14" x14ac:dyDescent="0.35">
      <c r="A784" t="s">
        <v>700</v>
      </c>
      <c r="B784" t="s">
        <v>133</v>
      </c>
      <c r="C784" t="s">
        <v>29</v>
      </c>
      <c r="D784">
        <v>1</v>
      </c>
      <c r="E784">
        <v>15</v>
      </c>
      <c r="F784" t="s">
        <v>156</v>
      </c>
      <c r="G784">
        <v>16</v>
      </c>
      <c r="H784" t="s">
        <v>157</v>
      </c>
      <c r="I784">
        <v>22</v>
      </c>
      <c r="J784">
        <v>21.7</v>
      </c>
      <c r="K784">
        <v>2</v>
      </c>
      <c r="L784">
        <v>3</v>
      </c>
      <c r="M784">
        <v>19</v>
      </c>
      <c r="N784" t="s">
        <v>528</v>
      </c>
    </row>
    <row r="785" spans="1:14" x14ac:dyDescent="0.35">
      <c r="A785" t="s">
        <v>700</v>
      </c>
      <c r="B785" t="s">
        <v>156</v>
      </c>
      <c r="C785" t="s">
        <v>16</v>
      </c>
      <c r="D785">
        <v>0</v>
      </c>
      <c r="E785">
        <v>23</v>
      </c>
      <c r="F785" t="s">
        <v>160</v>
      </c>
      <c r="G785">
        <v>18</v>
      </c>
      <c r="H785" t="s">
        <v>18</v>
      </c>
      <c r="I785">
        <v>5</v>
      </c>
      <c r="J785">
        <v>29</v>
      </c>
      <c r="K785">
        <v>1</v>
      </c>
      <c r="L785">
        <v>2</v>
      </c>
      <c r="M785">
        <v>20</v>
      </c>
      <c r="N785" t="s">
        <v>330</v>
      </c>
    </row>
    <row r="786" spans="1:14" x14ac:dyDescent="0.35">
      <c r="A786" t="s">
        <v>700</v>
      </c>
      <c r="B786" t="s">
        <v>162</v>
      </c>
      <c r="C786" t="s">
        <v>16</v>
      </c>
      <c r="D786">
        <v>5</v>
      </c>
      <c r="E786">
        <v>22</v>
      </c>
      <c r="F786" t="s">
        <v>331</v>
      </c>
      <c r="G786">
        <v>18</v>
      </c>
      <c r="H786" t="s">
        <v>18</v>
      </c>
      <c r="I786">
        <v>2</v>
      </c>
      <c r="J786">
        <v>27.1</v>
      </c>
      <c r="K786">
        <v>3</v>
      </c>
      <c r="L786">
        <v>3</v>
      </c>
      <c r="M786">
        <v>21</v>
      </c>
      <c r="N786" t="s">
        <v>167</v>
      </c>
    </row>
    <row r="787" spans="1:14" x14ac:dyDescent="0.35">
      <c r="A787" t="s">
        <v>700</v>
      </c>
      <c r="B787" t="s">
        <v>163</v>
      </c>
      <c r="C787" t="s">
        <v>16</v>
      </c>
      <c r="D787">
        <v>9</v>
      </c>
      <c r="E787">
        <v>10</v>
      </c>
      <c r="F787" t="s">
        <v>332</v>
      </c>
      <c r="G787">
        <v>18</v>
      </c>
      <c r="H787" t="s">
        <v>18</v>
      </c>
      <c r="I787">
        <v>3</v>
      </c>
      <c r="J787">
        <v>33.200000000000003</v>
      </c>
      <c r="K787">
        <v>2</v>
      </c>
      <c r="L787">
        <v>2</v>
      </c>
      <c r="M787">
        <v>20</v>
      </c>
      <c r="N787" t="s">
        <v>343</v>
      </c>
    </row>
    <row r="788" spans="1:14" x14ac:dyDescent="0.35">
      <c r="A788" t="s">
        <v>700</v>
      </c>
      <c r="B788" t="s">
        <v>166</v>
      </c>
      <c r="C788" t="s">
        <v>16</v>
      </c>
      <c r="D788">
        <v>1</v>
      </c>
      <c r="E788">
        <v>21</v>
      </c>
      <c r="F788" t="s">
        <v>335</v>
      </c>
      <c r="G788">
        <v>18</v>
      </c>
      <c r="H788" t="s">
        <v>18</v>
      </c>
      <c r="I788">
        <v>3</v>
      </c>
      <c r="J788">
        <v>31.3</v>
      </c>
      <c r="K788">
        <v>0</v>
      </c>
      <c r="L788">
        <v>0</v>
      </c>
      <c r="M788">
        <v>18</v>
      </c>
      <c r="N788" t="s">
        <v>170</v>
      </c>
    </row>
    <row r="789" spans="1:14" x14ac:dyDescent="0.35">
      <c r="A789" t="s">
        <v>700</v>
      </c>
      <c r="B789" t="s">
        <v>328</v>
      </c>
      <c r="C789" t="s">
        <v>29</v>
      </c>
      <c r="D789">
        <v>0</v>
      </c>
      <c r="E789">
        <v>14</v>
      </c>
      <c r="F789" t="s">
        <v>335</v>
      </c>
      <c r="G789">
        <v>14</v>
      </c>
      <c r="H789" t="s">
        <v>157</v>
      </c>
      <c r="I789">
        <v>15</v>
      </c>
      <c r="J789">
        <v>20.9</v>
      </c>
      <c r="K789">
        <v>1</v>
      </c>
      <c r="L789">
        <v>3</v>
      </c>
      <c r="M789">
        <v>17</v>
      </c>
      <c r="N789" t="s">
        <v>179</v>
      </c>
    </row>
    <row r="790" spans="1:14" x14ac:dyDescent="0.35">
      <c r="A790" t="s">
        <v>700</v>
      </c>
      <c r="B790" t="s">
        <v>448</v>
      </c>
      <c r="C790" t="s">
        <v>16</v>
      </c>
      <c r="D790">
        <v>4</v>
      </c>
      <c r="E790">
        <v>15</v>
      </c>
      <c r="F790" t="s">
        <v>169</v>
      </c>
      <c r="G790">
        <v>18</v>
      </c>
      <c r="H790" t="s">
        <v>18</v>
      </c>
      <c r="I790">
        <v>2</v>
      </c>
      <c r="J790">
        <v>29.2</v>
      </c>
      <c r="K790">
        <v>4</v>
      </c>
      <c r="L790">
        <v>5</v>
      </c>
      <c r="M790">
        <v>23</v>
      </c>
      <c r="N790" t="s">
        <v>451</v>
      </c>
    </row>
    <row r="791" spans="1:14" x14ac:dyDescent="0.35">
      <c r="A791" t="s">
        <v>700</v>
      </c>
      <c r="B791" t="s">
        <v>171</v>
      </c>
      <c r="C791" t="s">
        <v>16</v>
      </c>
      <c r="D791">
        <v>1</v>
      </c>
      <c r="E791">
        <v>21</v>
      </c>
      <c r="F791" t="s">
        <v>336</v>
      </c>
      <c r="G791">
        <v>18</v>
      </c>
      <c r="H791" t="s">
        <v>18</v>
      </c>
      <c r="I791">
        <v>4</v>
      </c>
      <c r="J791">
        <v>29.7</v>
      </c>
      <c r="K791">
        <v>2</v>
      </c>
      <c r="L791">
        <v>4</v>
      </c>
      <c r="M791">
        <v>22</v>
      </c>
      <c r="N791" t="s">
        <v>172</v>
      </c>
    </row>
    <row r="792" spans="1:14" x14ac:dyDescent="0.35">
      <c r="A792" t="s">
        <v>700</v>
      </c>
      <c r="B792" t="s">
        <v>173</v>
      </c>
      <c r="C792" t="s">
        <v>16</v>
      </c>
      <c r="D792">
        <v>4</v>
      </c>
      <c r="E792">
        <v>14</v>
      </c>
      <c r="F792" t="s">
        <v>176</v>
      </c>
      <c r="G792">
        <v>18</v>
      </c>
      <c r="H792" t="s">
        <v>18</v>
      </c>
      <c r="I792">
        <v>2</v>
      </c>
      <c r="J792">
        <v>26.8</v>
      </c>
      <c r="K792">
        <v>0</v>
      </c>
      <c r="L792">
        <v>0</v>
      </c>
      <c r="M792">
        <v>18</v>
      </c>
      <c r="N792" t="s">
        <v>172</v>
      </c>
    </row>
    <row r="793" spans="1:14" x14ac:dyDescent="0.35">
      <c r="A793" t="s">
        <v>700</v>
      </c>
      <c r="B793" t="s">
        <v>448</v>
      </c>
      <c r="C793" t="s">
        <v>29</v>
      </c>
      <c r="D793">
        <v>0</v>
      </c>
      <c r="E793">
        <v>12</v>
      </c>
      <c r="F793" t="s">
        <v>449</v>
      </c>
      <c r="G793">
        <v>12</v>
      </c>
      <c r="H793" t="s">
        <v>157</v>
      </c>
      <c r="I793">
        <v>15</v>
      </c>
      <c r="J793">
        <v>21.7</v>
      </c>
      <c r="K793">
        <v>2</v>
      </c>
      <c r="L793">
        <v>3</v>
      </c>
      <c r="M793">
        <v>15</v>
      </c>
      <c r="N793" t="s">
        <v>172</v>
      </c>
    </row>
    <row r="794" spans="1:14" x14ac:dyDescent="0.35">
      <c r="A794" t="s">
        <v>700</v>
      </c>
      <c r="B794" t="s">
        <v>178</v>
      </c>
      <c r="C794" t="s">
        <v>16</v>
      </c>
      <c r="D794">
        <v>0</v>
      </c>
      <c r="E794">
        <v>19</v>
      </c>
      <c r="F794" t="s">
        <v>179</v>
      </c>
      <c r="G794">
        <v>18</v>
      </c>
      <c r="H794" t="s">
        <v>18</v>
      </c>
      <c r="I794">
        <v>8</v>
      </c>
      <c r="J794">
        <v>29.2</v>
      </c>
      <c r="K794">
        <v>2</v>
      </c>
      <c r="L794">
        <v>3</v>
      </c>
      <c r="M794">
        <v>21</v>
      </c>
      <c r="N794" t="s">
        <v>180</v>
      </c>
    </row>
    <row r="795" spans="1:14" x14ac:dyDescent="0.35">
      <c r="A795" t="s">
        <v>700</v>
      </c>
      <c r="B795" t="s">
        <v>183</v>
      </c>
      <c r="C795" t="s">
        <v>16</v>
      </c>
      <c r="D795">
        <v>1</v>
      </c>
      <c r="E795">
        <v>17</v>
      </c>
      <c r="F795" t="s">
        <v>170</v>
      </c>
      <c r="G795">
        <v>18</v>
      </c>
      <c r="H795" t="s">
        <v>18</v>
      </c>
      <c r="I795">
        <v>10</v>
      </c>
      <c r="J795">
        <v>30.2</v>
      </c>
      <c r="K795">
        <v>1</v>
      </c>
      <c r="L795">
        <v>5</v>
      </c>
      <c r="M795">
        <v>23</v>
      </c>
      <c r="N795" t="s">
        <v>347</v>
      </c>
    </row>
    <row r="796" spans="1:14" x14ac:dyDescent="0.35">
      <c r="A796" t="s">
        <v>700</v>
      </c>
      <c r="B796" t="s">
        <v>446</v>
      </c>
      <c r="C796" t="s">
        <v>29</v>
      </c>
      <c r="D796">
        <v>0</v>
      </c>
      <c r="E796">
        <v>9</v>
      </c>
      <c r="F796" t="s">
        <v>172</v>
      </c>
      <c r="G796">
        <v>9</v>
      </c>
      <c r="H796" t="s">
        <v>157</v>
      </c>
      <c r="I796">
        <v>15</v>
      </c>
      <c r="J796">
        <v>21.3</v>
      </c>
      <c r="K796">
        <v>1</v>
      </c>
      <c r="L796">
        <v>4</v>
      </c>
      <c r="M796">
        <v>13</v>
      </c>
      <c r="N796" t="s">
        <v>185</v>
      </c>
    </row>
    <row r="797" spans="1:14" x14ac:dyDescent="0.35">
      <c r="A797" t="s">
        <v>700</v>
      </c>
      <c r="B797" t="s">
        <v>451</v>
      </c>
      <c r="C797" t="s">
        <v>16</v>
      </c>
      <c r="D797">
        <v>0</v>
      </c>
      <c r="E797">
        <v>18</v>
      </c>
      <c r="F797" t="s">
        <v>531</v>
      </c>
      <c r="G797">
        <v>18</v>
      </c>
      <c r="H797" t="s">
        <v>18</v>
      </c>
      <c r="I797">
        <v>7</v>
      </c>
      <c r="J797">
        <v>30.3</v>
      </c>
      <c r="K797">
        <v>3</v>
      </c>
      <c r="L797">
        <v>5</v>
      </c>
      <c r="M797">
        <v>23</v>
      </c>
      <c r="N797" t="s">
        <v>461</v>
      </c>
    </row>
    <row r="798" spans="1:14" x14ac:dyDescent="0.35">
      <c r="A798" t="s">
        <v>700</v>
      </c>
      <c r="B798" t="s">
        <v>338</v>
      </c>
      <c r="C798" t="s">
        <v>29</v>
      </c>
      <c r="D798">
        <v>0</v>
      </c>
      <c r="E798">
        <v>3</v>
      </c>
      <c r="F798" t="s">
        <v>457</v>
      </c>
      <c r="G798">
        <v>3</v>
      </c>
      <c r="H798" t="s">
        <v>157</v>
      </c>
      <c r="I798">
        <v>15</v>
      </c>
      <c r="J798">
        <v>21.8</v>
      </c>
      <c r="K798">
        <v>3</v>
      </c>
      <c r="L798">
        <v>0</v>
      </c>
      <c r="M798">
        <v>3</v>
      </c>
      <c r="N798" t="s">
        <v>535</v>
      </c>
    </row>
    <row r="799" spans="1:14" x14ac:dyDescent="0.35">
      <c r="A799" t="s">
        <v>700</v>
      </c>
      <c r="B799" t="s">
        <v>624</v>
      </c>
      <c r="C799" t="s">
        <v>16</v>
      </c>
      <c r="D799">
        <v>0</v>
      </c>
      <c r="E799">
        <v>10</v>
      </c>
      <c r="F799" t="s">
        <v>625</v>
      </c>
      <c r="G799">
        <v>10</v>
      </c>
      <c r="H799" t="s">
        <v>157</v>
      </c>
      <c r="I799">
        <v>15</v>
      </c>
      <c r="J799">
        <v>29.6</v>
      </c>
      <c r="K799">
        <v>2</v>
      </c>
      <c r="L799">
        <v>3</v>
      </c>
      <c r="M799">
        <v>13</v>
      </c>
      <c r="N799" t="s">
        <v>456</v>
      </c>
    </row>
    <row r="800" spans="1:14" x14ac:dyDescent="0.35">
      <c r="A800" t="s">
        <v>700</v>
      </c>
      <c r="B800" t="s">
        <v>185</v>
      </c>
      <c r="C800" t="s">
        <v>16</v>
      </c>
      <c r="D800">
        <v>0</v>
      </c>
      <c r="E800">
        <v>9</v>
      </c>
      <c r="F800" t="s">
        <v>452</v>
      </c>
      <c r="G800">
        <v>9</v>
      </c>
      <c r="H800" t="s">
        <v>157</v>
      </c>
      <c r="I800">
        <v>15</v>
      </c>
      <c r="J800">
        <v>27.4</v>
      </c>
      <c r="K800">
        <v>4</v>
      </c>
      <c r="L800">
        <v>3</v>
      </c>
      <c r="M800">
        <v>12</v>
      </c>
      <c r="N800" t="s">
        <v>464</v>
      </c>
    </row>
    <row r="801" spans="1:14" x14ac:dyDescent="0.35">
      <c r="A801" t="s">
        <v>700</v>
      </c>
      <c r="B801" t="s">
        <v>349</v>
      </c>
      <c r="C801" t="s">
        <v>29</v>
      </c>
      <c r="D801">
        <v>0</v>
      </c>
      <c r="E801">
        <v>4</v>
      </c>
      <c r="F801" t="s">
        <v>346</v>
      </c>
      <c r="G801">
        <v>4</v>
      </c>
      <c r="H801" t="s">
        <v>157</v>
      </c>
      <c r="I801">
        <v>15</v>
      </c>
      <c r="J801">
        <v>23.3</v>
      </c>
      <c r="K801">
        <v>0</v>
      </c>
      <c r="L801">
        <v>0</v>
      </c>
      <c r="M801">
        <v>4</v>
      </c>
      <c r="N801" t="s">
        <v>536</v>
      </c>
    </row>
    <row r="802" spans="1:14" x14ac:dyDescent="0.35">
      <c r="A802" t="s">
        <v>700</v>
      </c>
      <c r="B802" t="s">
        <v>535</v>
      </c>
      <c r="C802" t="s">
        <v>16</v>
      </c>
      <c r="D802">
        <v>0</v>
      </c>
      <c r="E802">
        <v>11</v>
      </c>
      <c r="F802" t="s">
        <v>626</v>
      </c>
      <c r="G802">
        <v>11</v>
      </c>
      <c r="H802" t="s">
        <v>157</v>
      </c>
      <c r="I802">
        <v>15</v>
      </c>
      <c r="J802">
        <v>27.9</v>
      </c>
      <c r="K802">
        <v>4</v>
      </c>
      <c r="L802">
        <v>0</v>
      </c>
      <c r="M802">
        <v>11</v>
      </c>
      <c r="N802" t="s">
        <v>706</v>
      </c>
    </row>
    <row r="803" spans="1:14" x14ac:dyDescent="0.35">
      <c r="A803" t="s">
        <v>700</v>
      </c>
      <c r="B803" t="s">
        <v>591</v>
      </c>
      <c r="C803" t="s">
        <v>29</v>
      </c>
      <c r="D803">
        <v>0</v>
      </c>
      <c r="E803">
        <v>5</v>
      </c>
      <c r="F803" t="s">
        <v>359</v>
      </c>
      <c r="G803">
        <v>5</v>
      </c>
      <c r="H803" t="s">
        <v>157</v>
      </c>
      <c r="I803">
        <v>15</v>
      </c>
      <c r="J803">
        <v>21.3</v>
      </c>
      <c r="K803">
        <v>3</v>
      </c>
      <c r="L803">
        <v>3</v>
      </c>
      <c r="M803">
        <v>8</v>
      </c>
      <c r="N803" t="s">
        <v>707</v>
      </c>
    </row>
    <row r="804" spans="1:14" x14ac:dyDescent="0.35">
      <c r="A804" t="s">
        <v>700</v>
      </c>
      <c r="B804" t="s">
        <v>354</v>
      </c>
      <c r="C804" t="s">
        <v>16</v>
      </c>
      <c r="D804">
        <v>0</v>
      </c>
      <c r="E804">
        <v>10</v>
      </c>
      <c r="F804" t="s">
        <v>708</v>
      </c>
      <c r="G804">
        <v>10</v>
      </c>
      <c r="H804" t="s">
        <v>157</v>
      </c>
      <c r="I804">
        <v>15</v>
      </c>
      <c r="J804">
        <v>32</v>
      </c>
      <c r="K804">
        <v>3</v>
      </c>
      <c r="L804">
        <v>2</v>
      </c>
      <c r="M804">
        <v>12</v>
      </c>
      <c r="N804" t="s">
        <v>709</v>
      </c>
    </row>
    <row r="805" spans="1:14" x14ac:dyDescent="0.35">
      <c r="A805" t="s">
        <v>700</v>
      </c>
      <c r="B805" t="s">
        <v>200</v>
      </c>
      <c r="C805" t="s">
        <v>16</v>
      </c>
      <c r="D805">
        <v>0</v>
      </c>
      <c r="E805">
        <v>8</v>
      </c>
      <c r="F805" t="s">
        <v>593</v>
      </c>
      <c r="G805">
        <v>8</v>
      </c>
      <c r="H805" t="s">
        <v>157</v>
      </c>
      <c r="I805">
        <v>15</v>
      </c>
      <c r="J805">
        <v>25.2</v>
      </c>
      <c r="K805">
        <v>0</v>
      </c>
      <c r="L805">
        <v>0</v>
      </c>
      <c r="M805">
        <v>8</v>
      </c>
      <c r="N805" t="s">
        <v>632</v>
      </c>
    </row>
    <row r="806" spans="1:14" x14ac:dyDescent="0.35">
      <c r="A806" t="s">
        <v>700</v>
      </c>
      <c r="B806" t="s">
        <v>710</v>
      </c>
      <c r="C806" t="s">
        <v>16</v>
      </c>
      <c r="D806">
        <v>0</v>
      </c>
      <c r="E806">
        <v>10</v>
      </c>
      <c r="F806" t="s">
        <v>709</v>
      </c>
      <c r="G806">
        <v>10</v>
      </c>
      <c r="H806" t="s">
        <v>157</v>
      </c>
      <c r="I806">
        <v>15</v>
      </c>
      <c r="J806">
        <v>22.5</v>
      </c>
      <c r="K806">
        <v>1</v>
      </c>
      <c r="L806">
        <v>3</v>
      </c>
      <c r="M806">
        <v>13</v>
      </c>
      <c r="N806" t="s">
        <v>711</v>
      </c>
    </row>
    <row r="807" spans="1:14" x14ac:dyDescent="0.35">
      <c r="A807" t="s">
        <v>700</v>
      </c>
      <c r="B807" t="s">
        <v>206</v>
      </c>
      <c r="C807" t="s">
        <v>16</v>
      </c>
      <c r="D807">
        <v>0</v>
      </c>
      <c r="E807">
        <v>10</v>
      </c>
      <c r="F807" t="s">
        <v>468</v>
      </c>
      <c r="G807">
        <v>10</v>
      </c>
      <c r="H807" t="s">
        <v>157</v>
      </c>
      <c r="I807">
        <v>15</v>
      </c>
      <c r="J807">
        <v>26</v>
      </c>
      <c r="K807">
        <v>1</v>
      </c>
      <c r="L807">
        <v>2</v>
      </c>
      <c r="M807">
        <v>12</v>
      </c>
      <c r="N807" t="s">
        <v>219</v>
      </c>
    </row>
    <row r="808" spans="1:14" x14ac:dyDescent="0.35">
      <c r="A808" t="s">
        <v>700</v>
      </c>
      <c r="B808" t="s">
        <v>662</v>
      </c>
      <c r="C808" t="s">
        <v>16</v>
      </c>
      <c r="D808">
        <v>0</v>
      </c>
      <c r="E808">
        <v>10</v>
      </c>
      <c r="F808" t="s">
        <v>470</v>
      </c>
      <c r="G808">
        <v>10</v>
      </c>
      <c r="H808" t="s">
        <v>157</v>
      </c>
      <c r="I808">
        <v>15</v>
      </c>
      <c r="J808">
        <v>28.7</v>
      </c>
      <c r="K808">
        <v>4</v>
      </c>
      <c r="L808">
        <v>2</v>
      </c>
      <c r="M808">
        <v>12</v>
      </c>
      <c r="N808" t="s">
        <v>375</v>
      </c>
    </row>
    <row r="809" spans="1:14" x14ac:dyDescent="0.35">
      <c r="A809" t="s">
        <v>700</v>
      </c>
      <c r="B809" t="s">
        <v>665</v>
      </c>
      <c r="C809" t="s">
        <v>16</v>
      </c>
      <c r="D809">
        <v>0</v>
      </c>
      <c r="E809">
        <v>15</v>
      </c>
      <c r="F809" t="s">
        <v>368</v>
      </c>
      <c r="G809">
        <v>15</v>
      </c>
      <c r="H809" t="s">
        <v>157</v>
      </c>
      <c r="I809">
        <v>15</v>
      </c>
      <c r="J809">
        <v>29.6</v>
      </c>
      <c r="K809">
        <v>0</v>
      </c>
      <c r="L809">
        <v>0</v>
      </c>
      <c r="M809">
        <v>15</v>
      </c>
      <c r="N809" t="s">
        <v>554</v>
      </c>
    </row>
    <row r="810" spans="1:14" x14ac:dyDescent="0.35">
      <c r="A810" t="s">
        <v>700</v>
      </c>
      <c r="B810" t="s">
        <v>551</v>
      </c>
      <c r="C810" t="s">
        <v>16</v>
      </c>
      <c r="D810">
        <v>0</v>
      </c>
      <c r="E810">
        <v>13</v>
      </c>
      <c r="F810" t="s">
        <v>712</v>
      </c>
      <c r="G810">
        <v>13</v>
      </c>
      <c r="H810" t="s">
        <v>157</v>
      </c>
      <c r="I810">
        <v>15</v>
      </c>
      <c r="J810">
        <v>25.6</v>
      </c>
      <c r="K810">
        <v>2</v>
      </c>
      <c r="L810">
        <v>2</v>
      </c>
      <c r="M810">
        <v>15</v>
      </c>
      <c r="N810" t="s">
        <v>381</v>
      </c>
    </row>
    <row r="811" spans="1:14" x14ac:dyDescent="0.35">
      <c r="A811" t="s">
        <v>700</v>
      </c>
      <c r="B811" t="s">
        <v>599</v>
      </c>
      <c r="C811" t="s">
        <v>16</v>
      </c>
      <c r="D811">
        <v>0</v>
      </c>
      <c r="E811">
        <v>16</v>
      </c>
      <c r="F811" t="s">
        <v>668</v>
      </c>
      <c r="G811">
        <v>16</v>
      </c>
      <c r="H811" t="s">
        <v>157</v>
      </c>
      <c r="I811">
        <v>15</v>
      </c>
      <c r="J811">
        <v>30.2</v>
      </c>
      <c r="K811">
        <v>4</v>
      </c>
      <c r="L811">
        <v>3</v>
      </c>
      <c r="M811">
        <v>19</v>
      </c>
      <c r="N811" t="s">
        <v>227</v>
      </c>
    </row>
    <row r="812" spans="1:14" x14ac:dyDescent="0.35">
      <c r="A812" t="s">
        <v>700</v>
      </c>
      <c r="B812" t="s">
        <v>374</v>
      </c>
      <c r="C812" t="s">
        <v>16</v>
      </c>
      <c r="D812">
        <v>0</v>
      </c>
      <c r="E812">
        <v>14</v>
      </c>
      <c r="F812" t="s">
        <v>377</v>
      </c>
      <c r="G812">
        <v>14</v>
      </c>
      <c r="H812" t="s">
        <v>157</v>
      </c>
      <c r="I812">
        <v>15</v>
      </c>
      <c r="J812">
        <v>30.1</v>
      </c>
      <c r="K812">
        <v>3</v>
      </c>
      <c r="L812">
        <v>3</v>
      </c>
      <c r="M812">
        <v>17</v>
      </c>
      <c r="N812" t="s">
        <v>608</v>
      </c>
    </row>
    <row r="813" spans="1:14" x14ac:dyDescent="0.35">
      <c r="A813" t="s">
        <v>700</v>
      </c>
      <c r="B813" t="s">
        <v>669</v>
      </c>
      <c r="C813" t="s">
        <v>16</v>
      </c>
      <c r="D813">
        <v>0</v>
      </c>
      <c r="E813">
        <v>13</v>
      </c>
      <c r="F813" t="s">
        <v>670</v>
      </c>
      <c r="G813">
        <v>13</v>
      </c>
      <c r="H813" t="s">
        <v>157</v>
      </c>
      <c r="I813">
        <v>15</v>
      </c>
      <c r="J813">
        <v>30.3</v>
      </c>
      <c r="K813">
        <v>3</v>
      </c>
      <c r="L813">
        <v>3</v>
      </c>
      <c r="M813">
        <v>16</v>
      </c>
      <c r="N813" t="s">
        <v>484</v>
      </c>
    </row>
    <row r="814" spans="1:14" x14ac:dyDescent="0.35">
      <c r="A814" t="s">
        <v>700</v>
      </c>
      <c r="B814" t="s">
        <v>636</v>
      </c>
      <c r="C814" t="s">
        <v>16</v>
      </c>
      <c r="D814">
        <v>0</v>
      </c>
      <c r="E814">
        <v>2</v>
      </c>
      <c r="F814" t="s">
        <v>671</v>
      </c>
      <c r="G814">
        <v>2</v>
      </c>
      <c r="H814" t="s">
        <v>157</v>
      </c>
      <c r="I814">
        <v>15</v>
      </c>
      <c r="J814">
        <v>30.3</v>
      </c>
      <c r="K814">
        <v>3</v>
      </c>
      <c r="L814">
        <v>1</v>
      </c>
      <c r="M814">
        <v>3</v>
      </c>
      <c r="N814" t="s">
        <v>488</v>
      </c>
    </row>
    <row r="815" spans="1:14" x14ac:dyDescent="0.35">
      <c r="A815" t="s">
        <v>700</v>
      </c>
      <c r="B815" t="s">
        <v>713</v>
      </c>
      <c r="C815" t="s">
        <v>16</v>
      </c>
      <c r="D815">
        <v>0</v>
      </c>
      <c r="E815">
        <v>15</v>
      </c>
      <c r="F815" t="s">
        <v>714</v>
      </c>
      <c r="G815">
        <v>15</v>
      </c>
      <c r="H815" t="s">
        <v>157</v>
      </c>
      <c r="I815">
        <v>15</v>
      </c>
      <c r="J815">
        <v>26.7</v>
      </c>
      <c r="K815">
        <v>0</v>
      </c>
      <c r="L815">
        <v>0</v>
      </c>
      <c r="M815">
        <v>15</v>
      </c>
      <c r="N815" t="s">
        <v>567</v>
      </c>
    </row>
    <row r="816" spans="1:14" x14ac:dyDescent="0.35">
      <c r="A816" t="s">
        <v>700</v>
      </c>
      <c r="B816" t="s">
        <v>607</v>
      </c>
      <c r="C816" t="s">
        <v>16</v>
      </c>
      <c r="D816">
        <v>0</v>
      </c>
      <c r="E816">
        <v>12</v>
      </c>
      <c r="F816" t="s">
        <v>715</v>
      </c>
      <c r="G816">
        <v>12</v>
      </c>
      <c r="H816" t="s">
        <v>157</v>
      </c>
      <c r="I816">
        <v>15</v>
      </c>
      <c r="J816">
        <v>28.7</v>
      </c>
      <c r="K816">
        <v>4</v>
      </c>
      <c r="L816">
        <v>3</v>
      </c>
      <c r="M816">
        <v>15</v>
      </c>
      <c r="N816" t="s">
        <v>490</v>
      </c>
    </row>
    <row r="817" spans="1:14" x14ac:dyDescent="0.35">
      <c r="A817" t="s">
        <v>700</v>
      </c>
      <c r="B817" t="s">
        <v>610</v>
      </c>
      <c r="C817" t="s">
        <v>16</v>
      </c>
      <c r="D817">
        <v>0</v>
      </c>
      <c r="E817">
        <v>14</v>
      </c>
      <c r="F817" t="s">
        <v>695</v>
      </c>
      <c r="G817">
        <v>14</v>
      </c>
      <c r="H817" t="s">
        <v>157</v>
      </c>
      <c r="I817">
        <v>15</v>
      </c>
      <c r="J817">
        <v>23.1</v>
      </c>
      <c r="K817">
        <v>1</v>
      </c>
      <c r="L817">
        <v>0</v>
      </c>
      <c r="M817">
        <v>14</v>
      </c>
      <c r="N817" t="s">
        <v>716</v>
      </c>
    </row>
    <row r="818" spans="1:14" x14ac:dyDescent="0.35">
      <c r="A818" t="s">
        <v>700</v>
      </c>
      <c r="B818" t="s">
        <v>246</v>
      </c>
      <c r="C818" t="s">
        <v>16</v>
      </c>
      <c r="D818">
        <v>0</v>
      </c>
      <c r="E818">
        <v>14</v>
      </c>
      <c r="F818" t="s">
        <v>247</v>
      </c>
      <c r="G818">
        <v>14</v>
      </c>
      <c r="H818" t="s">
        <v>157</v>
      </c>
      <c r="I818">
        <v>15</v>
      </c>
      <c r="J818">
        <v>27.1</v>
      </c>
      <c r="K818">
        <v>3</v>
      </c>
      <c r="L818">
        <v>0</v>
      </c>
      <c r="M818">
        <v>14</v>
      </c>
      <c r="N818" t="s">
        <v>614</v>
      </c>
    </row>
    <row r="819" spans="1:14" x14ac:dyDescent="0.35">
      <c r="A819" t="s">
        <v>700</v>
      </c>
      <c r="B819" t="s">
        <v>717</v>
      </c>
      <c r="C819" t="s">
        <v>16</v>
      </c>
      <c r="D819">
        <v>0</v>
      </c>
      <c r="E819">
        <v>10</v>
      </c>
      <c r="F819" t="s">
        <v>571</v>
      </c>
      <c r="G819">
        <v>10</v>
      </c>
      <c r="H819" t="s">
        <v>157</v>
      </c>
      <c r="I819">
        <v>15</v>
      </c>
      <c r="J819">
        <v>24.8</v>
      </c>
      <c r="K819">
        <v>4</v>
      </c>
      <c r="L819">
        <v>1</v>
      </c>
      <c r="M819">
        <v>11</v>
      </c>
      <c r="N819" t="s">
        <v>718</v>
      </c>
    </row>
    <row r="820" spans="1:14" x14ac:dyDescent="0.35">
      <c r="A820" t="s">
        <v>700</v>
      </c>
      <c r="B820" t="s">
        <v>493</v>
      </c>
      <c r="C820" t="s">
        <v>16</v>
      </c>
      <c r="D820">
        <v>0</v>
      </c>
      <c r="E820">
        <v>9</v>
      </c>
      <c r="F820" t="s">
        <v>494</v>
      </c>
      <c r="G820">
        <v>9</v>
      </c>
      <c r="H820" t="s">
        <v>157</v>
      </c>
      <c r="I820">
        <v>15</v>
      </c>
      <c r="J820">
        <v>31.5</v>
      </c>
      <c r="K820">
        <v>1</v>
      </c>
      <c r="L820">
        <v>2</v>
      </c>
      <c r="M820">
        <v>11</v>
      </c>
      <c r="N820" t="s">
        <v>719</v>
      </c>
    </row>
    <row r="821" spans="1:14" x14ac:dyDescent="0.35">
      <c r="A821" t="s">
        <v>720</v>
      </c>
      <c r="B821" t="s">
        <v>15</v>
      </c>
      <c r="C821" t="s">
        <v>16</v>
      </c>
      <c r="D821">
        <v>0</v>
      </c>
      <c r="E821">
        <v>22</v>
      </c>
      <c r="F821" t="s">
        <v>20</v>
      </c>
      <c r="G821">
        <v>18</v>
      </c>
      <c r="H821" t="s">
        <v>18</v>
      </c>
      <c r="I821">
        <v>4</v>
      </c>
      <c r="J821">
        <v>26</v>
      </c>
      <c r="K821">
        <v>0</v>
      </c>
      <c r="L821">
        <v>0</v>
      </c>
      <c r="M821">
        <v>18</v>
      </c>
      <c r="N821" t="s">
        <v>41</v>
      </c>
    </row>
    <row r="822" spans="1:14" x14ac:dyDescent="0.35">
      <c r="A822" t="s">
        <v>720</v>
      </c>
      <c r="B822" t="s">
        <v>254</v>
      </c>
      <c r="C822" t="s">
        <v>16</v>
      </c>
      <c r="D822">
        <v>4</v>
      </c>
      <c r="E822">
        <v>17</v>
      </c>
      <c r="F822" t="s">
        <v>23</v>
      </c>
      <c r="G822">
        <v>18</v>
      </c>
      <c r="H822" t="s">
        <v>18</v>
      </c>
      <c r="I822">
        <v>2</v>
      </c>
      <c r="J822">
        <v>27.4</v>
      </c>
      <c r="K822">
        <v>0</v>
      </c>
      <c r="L822">
        <v>0</v>
      </c>
      <c r="M822">
        <v>18</v>
      </c>
      <c r="N822" t="s">
        <v>22</v>
      </c>
    </row>
    <row r="823" spans="1:14" x14ac:dyDescent="0.35">
      <c r="A823" t="s">
        <v>720</v>
      </c>
      <c r="B823" t="s">
        <v>575</v>
      </c>
      <c r="C823" t="s">
        <v>16</v>
      </c>
      <c r="D823">
        <v>3</v>
      </c>
      <c r="E823">
        <v>19</v>
      </c>
      <c r="F823" t="s">
        <v>26</v>
      </c>
      <c r="G823">
        <v>18</v>
      </c>
      <c r="H823" t="s">
        <v>18</v>
      </c>
      <c r="I823">
        <v>3</v>
      </c>
      <c r="J823">
        <v>27.4</v>
      </c>
      <c r="K823">
        <v>0</v>
      </c>
      <c r="L823">
        <v>0</v>
      </c>
      <c r="M823">
        <v>18</v>
      </c>
      <c r="N823" t="s">
        <v>501</v>
      </c>
    </row>
    <row r="824" spans="1:14" x14ac:dyDescent="0.35">
      <c r="A824" t="s">
        <v>720</v>
      </c>
      <c r="B824" t="s">
        <v>407</v>
      </c>
      <c r="C824" t="s">
        <v>16</v>
      </c>
      <c r="D824">
        <v>4</v>
      </c>
      <c r="E824">
        <v>14</v>
      </c>
      <c r="F824" t="s">
        <v>27</v>
      </c>
      <c r="G824">
        <v>18</v>
      </c>
      <c r="H824" t="s">
        <v>18</v>
      </c>
      <c r="I824">
        <v>4</v>
      </c>
      <c r="J824">
        <v>27.8</v>
      </c>
      <c r="K824">
        <v>0</v>
      </c>
      <c r="L824">
        <v>0</v>
      </c>
      <c r="M824">
        <v>18</v>
      </c>
      <c r="N824" t="s">
        <v>408</v>
      </c>
    </row>
    <row r="825" spans="1:14" x14ac:dyDescent="0.35">
      <c r="A825" t="s">
        <v>720</v>
      </c>
      <c r="B825" t="s">
        <v>15</v>
      </c>
      <c r="C825" t="s">
        <v>29</v>
      </c>
      <c r="D825">
        <v>0</v>
      </c>
      <c r="E825">
        <v>18</v>
      </c>
      <c r="F825" t="s">
        <v>27</v>
      </c>
      <c r="G825">
        <v>18</v>
      </c>
      <c r="H825" t="s">
        <v>18</v>
      </c>
      <c r="I825">
        <v>16</v>
      </c>
      <c r="J825">
        <v>24.8</v>
      </c>
      <c r="K825">
        <v>1</v>
      </c>
      <c r="L825">
        <v>6</v>
      </c>
      <c r="M825">
        <v>24</v>
      </c>
      <c r="N825" t="s">
        <v>255</v>
      </c>
    </row>
    <row r="826" spans="1:14" x14ac:dyDescent="0.35">
      <c r="A826" t="s">
        <v>720</v>
      </c>
      <c r="B826" t="s">
        <v>30</v>
      </c>
      <c r="C826" t="s">
        <v>16</v>
      </c>
      <c r="D826">
        <v>0</v>
      </c>
      <c r="E826">
        <v>20</v>
      </c>
      <c r="F826" t="s">
        <v>31</v>
      </c>
      <c r="G826">
        <v>18</v>
      </c>
      <c r="H826" t="s">
        <v>18</v>
      </c>
      <c r="I826">
        <v>3</v>
      </c>
      <c r="J826">
        <v>28.1</v>
      </c>
      <c r="K826">
        <v>3</v>
      </c>
      <c r="L826">
        <v>5</v>
      </c>
      <c r="M826">
        <v>23</v>
      </c>
      <c r="N826" t="s">
        <v>44</v>
      </c>
    </row>
    <row r="827" spans="1:14" x14ac:dyDescent="0.35">
      <c r="A827" t="s">
        <v>720</v>
      </c>
      <c r="B827" t="s">
        <v>33</v>
      </c>
      <c r="C827" t="s">
        <v>16</v>
      </c>
      <c r="D827">
        <v>2</v>
      </c>
      <c r="E827">
        <v>17</v>
      </c>
      <c r="F827" t="s">
        <v>261</v>
      </c>
      <c r="G827">
        <v>18</v>
      </c>
      <c r="H827" t="s">
        <v>18</v>
      </c>
      <c r="I827">
        <v>3</v>
      </c>
      <c r="J827">
        <v>25.8</v>
      </c>
      <c r="K827">
        <v>1</v>
      </c>
      <c r="L827">
        <v>5</v>
      </c>
      <c r="M827">
        <v>23</v>
      </c>
      <c r="N827" t="s">
        <v>37</v>
      </c>
    </row>
    <row r="828" spans="1:14" x14ac:dyDescent="0.35">
      <c r="A828" t="s">
        <v>720</v>
      </c>
      <c r="B828" t="s">
        <v>34</v>
      </c>
      <c r="C828" t="s">
        <v>16</v>
      </c>
      <c r="D828">
        <v>1</v>
      </c>
      <c r="E828">
        <v>17</v>
      </c>
      <c r="F828" t="s">
        <v>50</v>
      </c>
      <c r="G828">
        <v>18</v>
      </c>
      <c r="H828" t="s">
        <v>18</v>
      </c>
      <c r="I828">
        <v>3</v>
      </c>
      <c r="J828">
        <v>27.1</v>
      </c>
      <c r="K828">
        <v>4</v>
      </c>
      <c r="L828">
        <v>4</v>
      </c>
      <c r="M828">
        <v>22</v>
      </c>
      <c r="N828" t="s">
        <v>40</v>
      </c>
    </row>
    <row r="829" spans="1:14" x14ac:dyDescent="0.35">
      <c r="A829" t="s">
        <v>720</v>
      </c>
      <c r="B829" t="s">
        <v>260</v>
      </c>
      <c r="C829" t="s">
        <v>29</v>
      </c>
      <c r="D829">
        <v>0</v>
      </c>
      <c r="E829">
        <v>18</v>
      </c>
      <c r="F829" t="s">
        <v>681</v>
      </c>
      <c r="G829">
        <v>18</v>
      </c>
      <c r="H829" t="s">
        <v>18</v>
      </c>
      <c r="I829">
        <v>25</v>
      </c>
      <c r="J829">
        <v>19.5</v>
      </c>
      <c r="K829">
        <v>0</v>
      </c>
      <c r="L829">
        <v>0</v>
      </c>
      <c r="M829">
        <v>18</v>
      </c>
      <c r="N829" t="s">
        <v>48</v>
      </c>
    </row>
    <row r="830" spans="1:14" x14ac:dyDescent="0.35">
      <c r="A830" t="s">
        <v>720</v>
      </c>
      <c r="B830" t="s">
        <v>39</v>
      </c>
      <c r="C830" t="s">
        <v>16</v>
      </c>
      <c r="D830">
        <v>0</v>
      </c>
      <c r="E830">
        <v>18</v>
      </c>
      <c r="F830" t="s">
        <v>42</v>
      </c>
      <c r="G830">
        <v>18</v>
      </c>
      <c r="H830" t="s">
        <v>18</v>
      </c>
      <c r="I830">
        <v>18</v>
      </c>
      <c r="J830">
        <v>28.2</v>
      </c>
      <c r="K830">
        <v>3</v>
      </c>
      <c r="L830">
        <v>3</v>
      </c>
      <c r="M830">
        <v>21</v>
      </c>
      <c r="N830" t="s">
        <v>274</v>
      </c>
    </row>
    <row r="831" spans="1:14" x14ac:dyDescent="0.35">
      <c r="A831" t="s">
        <v>720</v>
      </c>
      <c r="B831" t="s">
        <v>44</v>
      </c>
      <c r="C831" t="s">
        <v>16</v>
      </c>
      <c r="D831">
        <v>0</v>
      </c>
      <c r="E831">
        <v>18</v>
      </c>
      <c r="F831" t="s">
        <v>45</v>
      </c>
      <c r="G831">
        <v>18</v>
      </c>
      <c r="H831" t="s">
        <v>18</v>
      </c>
      <c r="I831">
        <v>9</v>
      </c>
      <c r="J831">
        <v>28.4</v>
      </c>
      <c r="K831">
        <v>4</v>
      </c>
      <c r="L831">
        <v>2</v>
      </c>
      <c r="M831">
        <v>20</v>
      </c>
      <c r="N831" t="s">
        <v>65</v>
      </c>
    </row>
    <row r="832" spans="1:14" x14ac:dyDescent="0.35">
      <c r="A832" t="s">
        <v>720</v>
      </c>
      <c r="B832" t="s">
        <v>267</v>
      </c>
      <c r="C832" t="s">
        <v>16</v>
      </c>
      <c r="D832">
        <v>0</v>
      </c>
      <c r="E832">
        <v>19</v>
      </c>
      <c r="F832" t="s">
        <v>48</v>
      </c>
      <c r="G832">
        <v>18</v>
      </c>
      <c r="H832" t="s">
        <v>18</v>
      </c>
      <c r="I832">
        <v>2</v>
      </c>
      <c r="J832">
        <v>27.6</v>
      </c>
      <c r="K832">
        <v>3</v>
      </c>
      <c r="L832">
        <v>5</v>
      </c>
      <c r="M832">
        <v>23</v>
      </c>
      <c r="N832" t="s">
        <v>280</v>
      </c>
    </row>
    <row r="833" spans="1:14" x14ac:dyDescent="0.35">
      <c r="A833" t="s">
        <v>720</v>
      </c>
      <c r="B833" t="s">
        <v>52</v>
      </c>
      <c r="C833" t="s">
        <v>16</v>
      </c>
      <c r="D833">
        <v>1</v>
      </c>
      <c r="E833">
        <v>18</v>
      </c>
      <c r="F833" t="s">
        <v>270</v>
      </c>
      <c r="G833">
        <v>18</v>
      </c>
      <c r="H833" t="s">
        <v>18</v>
      </c>
      <c r="I833">
        <v>3</v>
      </c>
      <c r="J833">
        <v>29.9</v>
      </c>
      <c r="K833">
        <v>0</v>
      </c>
      <c r="L833">
        <v>0</v>
      </c>
      <c r="M833">
        <v>18</v>
      </c>
      <c r="N833" t="s">
        <v>271</v>
      </c>
    </row>
    <row r="834" spans="1:14" x14ac:dyDescent="0.35">
      <c r="A834" t="s">
        <v>720</v>
      </c>
      <c r="B834" t="s">
        <v>618</v>
      </c>
      <c r="C834" t="s">
        <v>29</v>
      </c>
      <c r="D834">
        <v>0</v>
      </c>
      <c r="E834">
        <v>18</v>
      </c>
      <c r="F834" t="s">
        <v>53</v>
      </c>
      <c r="G834">
        <v>18</v>
      </c>
      <c r="H834" t="s">
        <v>18</v>
      </c>
      <c r="I834">
        <v>23</v>
      </c>
      <c r="J834">
        <v>26.9</v>
      </c>
      <c r="K834">
        <v>3</v>
      </c>
      <c r="L834">
        <v>4</v>
      </c>
      <c r="M834">
        <v>22</v>
      </c>
      <c r="N834" t="s">
        <v>58</v>
      </c>
    </row>
    <row r="835" spans="1:14" x14ac:dyDescent="0.35">
      <c r="A835" t="s">
        <v>720</v>
      </c>
      <c r="B835" t="s">
        <v>272</v>
      </c>
      <c r="C835" t="s">
        <v>16</v>
      </c>
      <c r="D835">
        <v>1</v>
      </c>
      <c r="E835">
        <v>17</v>
      </c>
      <c r="F835" t="s">
        <v>273</v>
      </c>
      <c r="G835">
        <v>18</v>
      </c>
      <c r="H835" t="s">
        <v>18</v>
      </c>
      <c r="I835">
        <v>3</v>
      </c>
      <c r="J835">
        <v>28.1</v>
      </c>
      <c r="K835">
        <v>4</v>
      </c>
      <c r="L835">
        <v>4</v>
      </c>
      <c r="M835">
        <v>22</v>
      </c>
      <c r="N835" t="s">
        <v>54</v>
      </c>
    </row>
    <row r="836" spans="1:14" x14ac:dyDescent="0.35">
      <c r="A836" t="s">
        <v>720</v>
      </c>
      <c r="B836" t="s">
        <v>56</v>
      </c>
      <c r="C836" t="s">
        <v>16</v>
      </c>
      <c r="D836">
        <v>0</v>
      </c>
      <c r="E836">
        <v>19</v>
      </c>
      <c r="F836" t="s">
        <v>504</v>
      </c>
      <c r="G836">
        <v>18</v>
      </c>
      <c r="H836" t="s">
        <v>18</v>
      </c>
      <c r="I836">
        <v>6</v>
      </c>
      <c r="J836">
        <v>28.6</v>
      </c>
      <c r="K836">
        <v>0</v>
      </c>
      <c r="L836">
        <v>0</v>
      </c>
      <c r="M836">
        <v>18</v>
      </c>
      <c r="N836" t="s">
        <v>275</v>
      </c>
    </row>
    <row r="837" spans="1:14" x14ac:dyDescent="0.35">
      <c r="A837" t="s">
        <v>720</v>
      </c>
      <c r="B837" t="s">
        <v>62</v>
      </c>
      <c r="C837" t="s">
        <v>16</v>
      </c>
      <c r="D837">
        <v>1</v>
      </c>
      <c r="E837">
        <v>19</v>
      </c>
      <c r="F837" t="s">
        <v>277</v>
      </c>
      <c r="G837">
        <v>18</v>
      </c>
      <c r="H837" t="s">
        <v>18</v>
      </c>
      <c r="I837">
        <v>2</v>
      </c>
      <c r="J837">
        <v>28.3</v>
      </c>
      <c r="K837">
        <v>3</v>
      </c>
      <c r="L837">
        <v>5</v>
      </c>
      <c r="M837">
        <v>23</v>
      </c>
      <c r="N837" t="s">
        <v>66</v>
      </c>
    </row>
    <row r="838" spans="1:14" x14ac:dyDescent="0.35">
      <c r="A838" t="s">
        <v>720</v>
      </c>
      <c r="B838" t="s">
        <v>51</v>
      </c>
      <c r="C838" t="s">
        <v>16</v>
      </c>
      <c r="D838">
        <v>2</v>
      </c>
      <c r="E838">
        <v>18</v>
      </c>
      <c r="F838" t="s">
        <v>67</v>
      </c>
      <c r="G838">
        <v>18</v>
      </c>
      <c r="H838" t="s">
        <v>18</v>
      </c>
      <c r="I838">
        <v>2</v>
      </c>
      <c r="J838">
        <v>31.7</v>
      </c>
      <c r="K838">
        <v>1</v>
      </c>
      <c r="L838">
        <v>3</v>
      </c>
      <c r="M838">
        <v>21</v>
      </c>
      <c r="N838" t="s">
        <v>416</v>
      </c>
    </row>
    <row r="839" spans="1:14" x14ac:dyDescent="0.35">
      <c r="A839" t="s">
        <v>720</v>
      </c>
      <c r="B839" t="s">
        <v>65</v>
      </c>
      <c r="C839" t="s">
        <v>16</v>
      </c>
      <c r="D839">
        <v>2</v>
      </c>
      <c r="E839">
        <v>18</v>
      </c>
      <c r="F839" t="s">
        <v>49</v>
      </c>
      <c r="G839">
        <v>18</v>
      </c>
      <c r="H839" t="s">
        <v>18</v>
      </c>
      <c r="I839">
        <v>2</v>
      </c>
      <c r="J839">
        <v>33.700000000000003</v>
      </c>
      <c r="K839">
        <v>4</v>
      </c>
      <c r="L839">
        <v>2</v>
      </c>
      <c r="M839">
        <v>20</v>
      </c>
      <c r="N839" t="s">
        <v>71</v>
      </c>
    </row>
    <row r="840" spans="1:14" x14ac:dyDescent="0.35">
      <c r="A840" t="s">
        <v>720</v>
      </c>
      <c r="B840" t="s">
        <v>55</v>
      </c>
      <c r="C840" t="s">
        <v>29</v>
      </c>
      <c r="D840">
        <v>0</v>
      </c>
      <c r="E840">
        <v>19</v>
      </c>
      <c r="F840" t="s">
        <v>415</v>
      </c>
      <c r="G840">
        <v>18</v>
      </c>
      <c r="H840" t="s">
        <v>18</v>
      </c>
      <c r="I840">
        <v>18</v>
      </c>
      <c r="J840">
        <v>24.5</v>
      </c>
      <c r="K840">
        <v>0</v>
      </c>
      <c r="L840">
        <v>0</v>
      </c>
      <c r="M840">
        <v>18</v>
      </c>
      <c r="N840" t="s">
        <v>506</v>
      </c>
    </row>
    <row r="841" spans="1:14" x14ac:dyDescent="0.35">
      <c r="A841" t="s">
        <v>720</v>
      </c>
      <c r="B841" t="s">
        <v>415</v>
      </c>
      <c r="C841" t="s">
        <v>16</v>
      </c>
      <c r="D841">
        <v>2</v>
      </c>
      <c r="E841">
        <v>17</v>
      </c>
      <c r="F841" t="s">
        <v>280</v>
      </c>
      <c r="G841">
        <v>18</v>
      </c>
      <c r="H841" t="s">
        <v>18</v>
      </c>
      <c r="I841">
        <v>2</v>
      </c>
      <c r="J841">
        <v>30.1</v>
      </c>
      <c r="K841">
        <v>3</v>
      </c>
      <c r="L841">
        <v>2</v>
      </c>
      <c r="M841">
        <v>20</v>
      </c>
      <c r="N841" t="s">
        <v>71</v>
      </c>
    </row>
    <row r="842" spans="1:14" x14ac:dyDescent="0.35">
      <c r="A842" t="s">
        <v>720</v>
      </c>
      <c r="B842" t="s">
        <v>268</v>
      </c>
      <c r="C842" t="s">
        <v>16</v>
      </c>
      <c r="D842">
        <v>1</v>
      </c>
      <c r="E842">
        <v>18</v>
      </c>
      <c r="F842" t="s">
        <v>57</v>
      </c>
      <c r="G842">
        <v>18</v>
      </c>
      <c r="H842" t="s">
        <v>18</v>
      </c>
      <c r="I842">
        <v>9</v>
      </c>
      <c r="J842">
        <v>30.9</v>
      </c>
      <c r="K842">
        <v>2</v>
      </c>
      <c r="L842">
        <v>4</v>
      </c>
      <c r="M842">
        <v>22</v>
      </c>
      <c r="N842" t="s">
        <v>82</v>
      </c>
    </row>
    <row r="843" spans="1:14" x14ac:dyDescent="0.35">
      <c r="A843" t="s">
        <v>720</v>
      </c>
      <c r="B843" t="s">
        <v>577</v>
      </c>
      <c r="C843" t="s">
        <v>16</v>
      </c>
      <c r="D843">
        <v>1</v>
      </c>
      <c r="E843">
        <v>17</v>
      </c>
      <c r="F843" t="s">
        <v>278</v>
      </c>
      <c r="G843">
        <v>18</v>
      </c>
      <c r="H843" t="s">
        <v>18</v>
      </c>
      <c r="I843">
        <v>18</v>
      </c>
      <c r="J843">
        <v>28.8</v>
      </c>
      <c r="K843">
        <v>2</v>
      </c>
      <c r="L843">
        <v>4</v>
      </c>
      <c r="M843">
        <v>22</v>
      </c>
      <c r="N843" t="s">
        <v>96</v>
      </c>
    </row>
    <row r="844" spans="1:14" x14ac:dyDescent="0.35">
      <c r="A844" t="s">
        <v>720</v>
      </c>
      <c r="B844" t="s">
        <v>71</v>
      </c>
      <c r="C844" t="s">
        <v>16</v>
      </c>
      <c r="D844">
        <v>0</v>
      </c>
      <c r="E844">
        <v>20</v>
      </c>
      <c r="F844" t="s">
        <v>417</v>
      </c>
      <c r="G844">
        <v>18</v>
      </c>
      <c r="H844" t="s">
        <v>18</v>
      </c>
      <c r="I844">
        <v>3</v>
      </c>
      <c r="J844">
        <v>26.7</v>
      </c>
      <c r="K844">
        <v>1</v>
      </c>
      <c r="L844">
        <v>3</v>
      </c>
      <c r="M844">
        <v>21</v>
      </c>
      <c r="N844" t="s">
        <v>74</v>
      </c>
    </row>
    <row r="845" spans="1:14" x14ac:dyDescent="0.35">
      <c r="A845" t="s">
        <v>720</v>
      </c>
      <c r="B845" t="s">
        <v>279</v>
      </c>
      <c r="C845" t="s">
        <v>29</v>
      </c>
      <c r="D845">
        <v>1</v>
      </c>
      <c r="E845">
        <v>18</v>
      </c>
      <c r="F845" t="s">
        <v>644</v>
      </c>
      <c r="G845">
        <v>18</v>
      </c>
      <c r="H845" t="s">
        <v>18</v>
      </c>
      <c r="I845">
        <v>38</v>
      </c>
      <c r="J845">
        <v>24.9</v>
      </c>
      <c r="K845">
        <v>1</v>
      </c>
      <c r="L845">
        <v>4</v>
      </c>
      <c r="M845">
        <v>22</v>
      </c>
      <c r="N845" t="s">
        <v>296</v>
      </c>
    </row>
    <row r="846" spans="1:14" x14ac:dyDescent="0.35">
      <c r="A846" t="s">
        <v>720</v>
      </c>
      <c r="B846" t="s">
        <v>287</v>
      </c>
      <c r="C846" t="s">
        <v>16</v>
      </c>
      <c r="D846">
        <v>2</v>
      </c>
      <c r="E846">
        <v>24</v>
      </c>
      <c r="F846" t="s">
        <v>288</v>
      </c>
      <c r="G846">
        <v>18</v>
      </c>
      <c r="H846" t="s">
        <v>18</v>
      </c>
      <c r="I846">
        <v>4</v>
      </c>
      <c r="J846">
        <v>30.3</v>
      </c>
      <c r="K846">
        <v>0</v>
      </c>
      <c r="L846">
        <v>0</v>
      </c>
      <c r="M846">
        <v>18</v>
      </c>
      <c r="N846" t="s">
        <v>418</v>
      </c>
    </row>
    <row r="847" spans="1:14" x14ac:dyDescent="0.35">
      <c r="A847" t="s">
        <v>720</v>
      </c>
      <c r="B847" t="s">
        <v>80</v>
      </c>
      <c r="C847" t="s">
        <v>16</v>
      </c>
      <c r="D847">
        <v>8</v>
      </c>
      <c r="E847">
        <v>13</v>
      </c>
      <c r="F847" t="s">
        <v>290</v>
      </c>
      <c r="G847">
        <v>18</v>
      </c>
      <c r="H847" t="s">
        <v>18</v>
      </c>
      <c r="I847">
        <v>3</v>
      </c>
      <c r="J847">
        <v>29.2</v>
      </c>
      <c r="K847">
        <v>4</v>
      </c>
      <c r="L847">
        <v>5</v>
      </c>
      <c r="M847">
        <v>23</v>
      </c>
      <c r="N847" t="s">
        <v>291</v>
      </c>
    </row>
    <row r="848" spans="1:14" x14ac:dyDescent="0.35">
      <c r="A848" t="s">
        <v>720</v>
      </c>
      <c r="B848" t="s">
        <v>288</v>
      </c>
      <c r="C848" t="s">
        <v>29</v>
      </c>
      <c r="D848">
        <v>1</v>
      </c>
      <c r="E848">
        <v>17</v>
      </c>
      <c r="F848" t="s">
        <v>292</v>
      </c>
      <c r="G848">
        <v>18</v>
      </c>
      <c r="H848" t="s">
        <v>18</v>
      </c>
      <c r="I848">
        <v>7</v>
      </c>
      <c r="J848">
        <v>22.3</v>
      </c>
      <c r="K848">
        <v>2</v>
      </c>
      <c r="L848">
        <v>3</v>
      </c>
      <c r="M848">
        <v>21</v>
      </c>
      <c r="N848" t="s">
        <v>289</v>
      </c>
    </row>
    <row r="849" spans="1:14" x14ac:dyDescent="0.35">
      <c r="A849" t="s">
        <v>720</v>
      </c>
      <c r="B849" t="s">
        <v>83</v>
      </c>
      <c r="C849" t="s">
        <v>16</v>
      </c>
      <c r="D849">
        <v>3</v>
      </c>
      <c r="E849">
        <v>19</v>
      </c>
      <c r="F849" t="s">
        <v>419</v>
      </c>
      <c r="G849">
        <v>18</v>
      </c>
      <c r="H849" t="s">
        <v>18</v>
      </c>
      <c r="I849">
        <v>3</v>
      </c>
      <c r="J849">
        <v>23.3</v>
      </c>
      <c r="K849">
        <v>4</v>
      </c>
      <c r="L849">
        <v>4</v>
      </c>
      <c r="M849">
        <v>22</v>
      </c>
      <c r="N849" t="s">
        <v>99</v>
      </c>
    </row>
    <row r="850" spans="1:14" x14ac:dyDescent="0.35">
      <c r="A850" t="s">
        <v>720</v>
      </c>
      <c r="B850" t="s">
        <v>73</v>
      </c>
      <c r="C850" t="s">
        <v>16</v>
      </c>
      <c r="D850">
        <v>4</v>
      </c>
      <c r="E850">
        <v>18</v>
      </c>
      <c r="F850" t="s">
        <v>293</v>
      </c>
      <c r="G850">
        <v>18</v>
      </c>
      <c r="H850" t="s">
        <v>18</v>
      </c>
      <c r="I850">
        <v>2</v>
      </c>
      <c r="J850">
        <v>25.7</v>
      </c>
      <c r="K850">
        <v>2</v>
      </c>
      <c r="L850">
        <v>4</v>
      </c>
      <c r="M850">
        <v>22</v>
      </c>
      <c r="N850" t="s">
        <v>299</v>
      </c>
    </row>
    <row r="851" spans="1:14" x14ac:dyDescent="0.35">
      <c r="A851" t="s">
        <v>720</v>
      </c>
      <c r="B851" t="s">
        <v>88</v>
      </c>
      <c r="C851" t="s">
        <v>16</v>
      </c>
      <c r="D851">
        <v>4</v>
      </c>
      <c r="E851">
        <v>15</v>
      </c>
      <c r="F851" t="s">
        <v>93</v>
      </c>
      <c r="G851">
        <v>18</v>
      </c>
      <c r="H851" t="s">
        <v>18</v>
      </c>
      <c r="I851">
        <v>1</v>
      </c>
      <c r="J851">
        <v>28.8</v>
      </c>
      <c r="K851">
        <v>1</v>
      </c>
      <c r="L851">
        <v>4</v>
      </c>
      <c r="M851">
        <v>22</v>
      </c>
      <c r="N851" t="s">
        <v>294</v>
      </c>
    </row>
    <row r="852" spans="1:14" x14ac:dyDescent="0.35">
      <c r="A852" t="s">
        <v>720</v>
      </c>
      <c r="B852" t="s">
        <v>285</v>
      </c>
      <c r="C852" t="s">
        <v>16</v>
      </c>
      <c r="D852">
        <v>1</v>
      </c>
      <c r="E852">
        <v>20</v>
      </c>
      <c r="F852" t="s">
        <v>420</v>
      </c>
      <c r="G852">
        <v>18</v>
      </c>
      <c r="H852" t="s">
        <v>18</v>
      </c>
      <c r="I852">
        <v>3</v>
      </c>
      <c r="J852">
        <v>23.2</v>
      </c>
      <c r="K852">
        <v>0</v>
      </c>
      <c r="L852">
        <v>0</v>
      </c>
      <c r="M852">
        <v>18</v>
      </c>
      <c r="N852" t="s">
        <v>702</v>
      </c>
    </row>
    <row r="853" spans="1:14" x14ac:dyDescent="0.35">
      <c r="A853" t="s">
        <v>720</v>
      </c>
      <c r="B853" t="s">
        <v>419</v>
      </c>
      <c r="C853" t="s">
        <v>29</v>
      </c>
      <c r="D853">
        <v>0</v>
      </c>
      <c r="E853">
        <v>19</v>
      </c>
      <c r="F853" t="s">
        <v>295</v>
      </c>
      <c r="G853">
        <v>18</v>
      </c>
      <c r="H853" t="s">
        <v>18</v>
      </c>
      <c r="I853">
        <v>12</v>
      </c>
      <c r="J853">
        <v>19.8</v>
      </c>
      <c r="K853">
        <v>4</v>
      </c>
      <c r="L853">
        <v>4</v>
      </c>
      <c r="M853">
        <v>22</v>
      </c>
      <c r="N853" t="s">
        <v>89</v>
      </c>
    </row>
    <row r="854" spans="1:14" x14ac:dyDescent="0.35">
      <c r="A854" t="s">
        <v>720</v>
      </c>
      <c r="B854" t="s">
        <v>94</v>
      </c>
      <c r="C854" t="s">
        <v>16</v>
      </c>
      <c r="D854">
        <v>3</v>
      </c>
      <c r="E854">
        <v>16</v>
      </c>
      <c r="F854" t="s">
        <v>74</v>
      </c>
      <c r="G854">
        <v>18</v>
      </c>
      <c r="H854" t="s">
        <v>18</v>
      </c>
      <c r="I854">
        <v>3</v>
      </c>
      <c r="J854">
        <v>24.2</v>
      </c>
      <c r="K854">
        <v>0</v>
      </c>
      <c r="L854">
        <v>0</v>
      </c>
      <c r="M854">
        <v>18</v>
      </c>
      <c r="N854" t="s">
        <v>95</v>
      </c>
    </row>
    <row r="855" spans="1:14" x14ac:dyDescent="0.35">
      <c r="A855" t="s">
        <v>720</v>
      </c>
      <c r="B855" t="s">
        <v>98</v>
      </c>
      <c r="C855" t="s">
        <v>16</v>
      </c>
      <c r="D855">
        <v>1</v>
      </c>
      <c r="E855">
        <v>17</v>
      </c>
      <c r="F855" t="s">
        <v>418</v>
      </c>
      <c r="G855">
        <v>18</v>
      </c>
      <c r="H855" t="s">
        <v>18</v>
      </c>
      <c r="I855">
        <v>8</v>
      </c>
      <c r="J855">
        <v>26.2</v>
      </c>
      <c r="K855">
        <v>4</v>
      </c>
      <c r="L855">
        <v>2</v>
      </c>
      <c r="M855">
        <v>20</v>
      </c>
      <c r="N855" t="s">
        <v>302</v>
      </c>
    </row>
    <row r="856" spans="1:14" x14ac:dyDescent="0.35">
      <c r="A856" t="s">
        <v>720</v>
      </c>
      <c r="B856" t="s">
        <v>99</v>
      </c>
      <c r="C856" t="s">
        <v>16</v>
      </c>
      <c r="D856">
        <v>0</v>
      </c>
      <c r="E856">
        <v>18</v>
      </c>
      <c r="F856" t="s">
        <v>89</v>
      </c>
      <c r="G856">
        <v>18</v>
      </c>
      <c r="H856" t="s">
        <v>18</v>
      </c>
      <c r="I856">
        <v>8</v>
      </c>
      <c r="J856">
        <v>27.7</v>
      </c>
      <c r="K856">
        <v>3</v>
      </c>
      <c r="L856">
        <v>3</v>
      </c>
      <c r="M856">
        <v>21</v>
      </c>
      <c r="N856" t="s">
        <v>721</v>
      </c>
    </row>
    <row r="857" spans="1:14" x14ac:dyDescent="0.35">
      <c r="A857" t="s">
        <v>720</v>
      </c>
      <c r="B857" t="s">
        <v>702</v>
      </c>
      <c r="C857" t="s">
        <v>16</v>
      </c>
      <c r="D857">
        <v>0</v>
      </c>
      <c r="E857">
        <v>20</v>
      </c>
      <c r="F857" t="s">
        <v>646</v>
      </c>
      <c r="G857">
        <v>18</v>
      </c>
      <c r="H857" t="s">
        <v>18</v>
      </c>
      <c r="I857">
        <v>12</v>
      </c>
      <c r="J857">
        <v>22.2</v>
      </c>
      <c r="K857">
        <v>4</v>
      </c>
      <c r="L857">
        <v>3</v>
      </c>
      <c r="M857">
        <v>21</v>
      </c>
      <c r="N857" t="s">
        <v>304</v>
      </c>
    </row>
    <row r="858" spans="1:14" x14ac:dyDescent="0.35">
      <c r="A858" t="s">
        <v>720</v>
      </c>
      <c r="B858" t="s">
        <v>74</v>
      </c>
      <c r="C858" t="s">
        <v>29</v>
      </c>
      <c r="D858">
        <v>1</v>
      </c>
      <c r="E858">
        <v>17</v>
      </c>
      <c r="F858" t="s">
        <v>722</v>
      </c>
      <c r="G858">
        <v>18</v>
      </c>
      <c r="H858" t="s">
        <v>18</v>
      </c>
      <c r="I858">
        <v>41</v>
      </c>
      <c r="J858">
        <v>23.9</v>
      </c>
      <c r="K858">
        <v>0</v>
      </c>
      <c r="L858">
        <v>0</v>
      </c>
      <c r="M858">
        <v>18</v>
      </c>
      <c r="N858" t="s">
        <v>515</v>
      </c>
    </row>
    <row r="859" spans="1:14" x14ac:dyDescent="0.35">
      <c r="A859" t="s">
        <v>720</v>
      </c>
      <c r="B859" t="s">
        <v>421</v>
      </c>
      <c r="C859" t="s">
        <v>16</v>
      </c>
      <c r="D859">
        <v>2</v>
      </c>
      <c r="E859">
        <v>17</v>
      </c>
      <c r="F859" t="s">
        <v>723</v>
      </c>
      <c r="G859">
        <v>18</v>
      </c>
      <c r="H859" t="s">
        <v>18</v>
      </c>
      <c r="I859">
        <v>30</v>
      </c>
      <c r="J859">
        <v>28</v>
      </c>
      <c r="K859">
        <v>2</v>
      </c>
      <c r="L859">
        <v>0</v>
      </c>
      <c r="M859">
        <v>18</v>
      </c>
      <c r="N859" t="s">
        <v>115</v>
      </c>
    </row>
    <row r="860" spans="1:14" x14ac:dyDescent="0.35">
      <c r="A860" t="s">
        <v>720</v>
      </c>
      <c r="B860" t="s">
        <v>303</v>
      </c>
      <c r="C860" t="s">
        <v>16</v>
      </c>
      <c r="D860">
        <v>1</v>
      </c>
      <c r="E860">
        <v>17</v>
      </c>
      <c r="F860" t="s">
        <v>704</v>
      </c>
      <c r="G860">
        <v>18</v>
      </c>
      <c r="H860" t="s">
        <v>18</v>
      </c>
      <c r="I860">
        <v>24</v>
      </c>
      <c r="J860">
        <v>29.8</v>
      </c>
      <c r="K860">
        <v>3</v>
      </c>
      <c r="L860">
        <v>2</v>
      </c>
      <c r="M860">
        <v>20</v>
      </c>
      <c r="N860" t="s">
        <v>428</v>
      </c>
    </row>
    <row r="861" spans="1:14" x14ac:dyDescent="0.35">
      <c r="A861" t="s">
        <v>720</v>
      </c>
      <c r="B861" t="s">
        <v>724</v>
      </c>
      <c r="C861" t="s">
        <v>29</v>
      </c>
      <c r="D861">
        <v>0</v>
      </c>
      <c r="E861">
        <v>18</v>
      </c>
      <c r="F861" t="s">
        <v>427</v>
      </c>
      <c r="G861">
        <v>18</v>
      </c>
      <c r="H861" t="s">
        <v>18</v>
      </c>
      <c r="I861">
        <v>64</v>
      </c>
      <c r="J861">
        <v>21.3</v>
      </c>
      <c r="K861">
        <v>2</v>
      </c>
      <c r="L861">
        <v>3</v>
      </c>
      <c r="M861">
        <v>21</v>
      </c>
      <c r="N861" t="s">
        <v>584</v>
      </c>
    </row>
    <row r="862" spans="1:14" x14ac:dyDescent="0.35">
      <c r="A862" t="s">
        <v>720</v>
      </c>
      <c r="B862" t="s">
        <v>115</v>
      </c>
      <c r="C862" t="s">
        <v>16</v>
      </c>
      <c r="D862">
        <v>0</v>
      </c>
      <c r="E862">
        <v>20</v>
      </c>
      <c r="F862" t="s">
        <v>118</v>
      </c>
      <c r="G862">
        <v>18</v>
      </c>
      <c r="H862" t="s">
        <v>18</v>
      </c>
      <c r="I862">
        <v>27</v>
      </c>
      <c r="J862">
        <v>27.5</v>
      </c>
      <c r="K862">
        <v>4</v>
      </c>
      <c r="L862">
        <v>1</v>
      </c>
      <c r="M862">
        <v>19</v>
      </c>
      <c r="N862" t="s">
        <v>725</v>
      </c>
    </row>
    <row r="863" spans="1:14" x14ac:dyDescent="0.35">
      <c r="A863" t="s">
        <v>720</v>
      </c>
      <c r="B863" t="s">
        <v>120</v>
      </c>
      <c r="C863" t="s">
        <v>16</v>
      </c>
      <c r="D863">
        <v>2</v>
      </c>
      <c r="E863">
        <v>16</v>
      </c>
      <c r="F863" t="s">
        <v>725</v>
      </c>
      <c r="G863">
        <v>18</v>
      </c>
      <c r="H863" t="s">
        <v>18</v>
      </c>
      <c r="I863">
        <v>26</v>
      </c>
      <c r="J863">
        <v>22.4</v>
      </c>
      <c r="K863">
        <v>1</v>
      </c>
      <c r="L863">
        <v>3</v>
      </c>
      <c r="M863">
        <v>21</v>
      </c>
      <c r="N863" t="s">
        <v>138</v>
      </c>
    </row>
    <row r="864" spans="1:14" x14ac:dyDescent="0.35">
      <c r="A864" t="s">
        <v>720</v>
      </c>
      <c r="B864" t="s">
        <v>726</v>
      </c>
      <c r="C864" t="s">
        <v>16</v>
      </c>
      <c r="D864">
        <v>0</v>
      </c>
      <c r="E864">
        <v>18</v>
      </c>
      <c r="F864" t="s">
        <v>435</v>
      </c>
      <c r="G864">
        <v>18</v>
      </c>
      <c r="H864" t="s">
        <v>18</v>
      </c>
      <c r="I864">
        <v>9</v>
      </c>
      <c r="J864">
        <v>29.5</v>
      </c>
      <c r="K864">
        <v>0</v>
      </c>
      <c r="L864">
        <v>0</v>
      </c>
      <c r="M864">
        <v>18</v>
      </c>
      <c r="N864" t="s">
        <v>151</v>
      </c>
    </row>
    <row r="865" spans="1:14" x14ac:dyDescent="0.35">
      <c r="A865" t="s">
        <v>720</v>
      </c>
      <c r="B865" t="s">
        <v>436</v>
      </c>
      <c r="C865" t="s">
        <v>16</v>
      </c>
      <c r="D865">
        <v>0</v>
      </c>
      <c r="E865">
        <v>20</v>
      </c>
      <c r="F865" t="s">
        <v>132</v>
      </c>
      <c r="G865">
        <v>18</v>
      </c>
      <c r="H865" t="s">
        <v>18</v>
      </c>
      <c r="I865">
        <v>4</v>
      </c>
      <c r="J865">
        <v>27.5</v>
      </c>
      <c r="K865">
        <v>3</v>
      </c>
      <c r="L865">
        <v>5</v>
      </c>
      <c r="M865">
        <v>23</v>
      </c>
      <c r="N865" t="s">
        <v>130</v>
      </c>
    </row>
    <row r="866" spans="1:14" x14ac:dyDescent="0.35">
      <c r="A866" t="s">
        <v>720</v>
      </c>
      <c r="B866" t="s">
        <v>313</v>
      </c>
      <c r="C866" t="s">
        <v>29</v>
      </c>
      <c r="D866">
        <v>0</v>
      </c>
      <c r="E866">
        <v>18</v>
      </c>
      <c r="F866" t="s">
        <v>134</v>
      </c>
      <c r="G866">
        <v>18</v>
      </c>
      <c r="H866" t="s">
        <v>18</v>
      </c>
      <c r="I866">
        <v>42</v>
      </c>
      <c r="J866">
        <v>21.5</v>
      </c>
      <c r="K866">
        <v>2</v>
      </c>
      <c r="L866">
        <v>3</v>
      </c>
      <c r="M866">
        <v>21</v>
      </c>
      <c r="N866" t="s">
        <v>127</v>
      </c>
    </row>
    <row r="867" spans="1:14" x14ac:dyDescent="0.35">
      <c r="A867" t="s">
        <v>720</v>
      </c>
      <c r="B867" t="s">
        <v>134</v>
      </c>
      <c r="C867" t="s">
        <v>16</v>
      </c>
      <c r="D867">
        <v>2</v>
      </c>
      <c r="E867">
        <v>22</v>
      </c>
      <c r="F867" t="s">
        <v>324</v>
      </c>
      <c r="G867">
        <v>18</v>
      </c>
      <c r="H867" t="s">
        <v>18</v>
      </c>
      <c r="I867">
        <v>2</v>
      </c>
      <c r="J867">
        <v>28.1</v>
      </c>
      <c r="K867">
        <v>3</v>
      </c>
      <c r="L867">
        <v>6</v>
      </c>
      <c r="M867">
        <v>24</v>
      </c>
      <c r="N867" t="s">
        <v>438</v>
      </c>
    </row>
    <row r="868" spans="1:14" x14ac:dyDescent="0.35">
      <c r="A868" t="s">
        <v>720</v>
      </c>
      <c r="B868" t="s">
        <v>525</v>
      </c>
      <c r="C868" t="s">
        <v>16</v>
      </c>
      <c r="D868">
        <v>6</v>
      </c>
      <c r="E868">
        <v>18</v>
      </c>
      <c r="F868" t="s">
        <v>138</v>
      </c>
      <c r="G868">
        <v>18</v>
      </c>
      <c r="H868" t="s">
        <v>18</v>
      </c>
      <c r="I868">
        <v>2</v>
      </c>
      <c r="J868">
        <v>33.5</v>
      </c>
      <c r="K868">
        <v>3</v>
      </c>
      <c r="L868">
        <v>2</v>
      </c>
      <c r="M868">
        <v>20</v>
      </c>
      <c r="N868" t="s">
        <v>326</v>
      </c>
    </row>
    <row r="869" spans="1:14" x14ac:dyDescent="0.35">
      <c r="A869" t="s">
        <v>720</v>
      </c>
      <c r="B869" t="s">
        <v>139</v>
      </c>
      <c r="C869" t="s">
        <v>16</v>
      </c>
      <c r="D869">
        <v>6</v>
      </c>
      <c r="E869">
        <v>18</v>
      </c>
      <c r="F869" t="s">
        <v>122</v>
      </c>
      <c r="G869">
        <v>18</v>
      </c>
      <c r="H869" t="s">
        <v>18</v>
      </c>
      <c r="I869">
        <v>4</v>
      </c>
      <c r="J869">
        <v>28.2</v>
      </c>
      <c r="K869">
        <v>3</v>
      </c>
      <c r="L869">
        <v>5</v>
      </c>
      <c r="M869">
        <v>23</v>
      </c>
      <c r="N869" t="s">
        <v>326</v>
      </c>
    </row>
    <row r="870" spans="1:14" x14ac:dyDescent="0.35">
      <c r="A870" t="s">
        <v>720</v>
      </c>
      <c r="B870" t="s">
        <v>322</v>
      </c>
      <c r="C870" t="s">
        <v>29</v>
      </c>
      <c r="D870">
        <v>0</v>
      </c>
      <c r="E870">
        <v>18</v>
      </c>
      <c r="F870" t="s">
        <v>142</v>
      </c>
      <c r="G870">
        <v>18</v>
      </c>
      <c r="H870" t="s">
        <v>18</v>
      </c>
      <c r="I870">
        <v>10</v>
      </c>
      <c r="J870">
        <v>23.6</v>
      </c>
      <c r="K870">
        <v>3</v>
      </c>
      <c r="L870">
        <v>4</v>
      </c>
      <c r="M870">
        <v>22</v>
      </c>
      <c r="N870" t="s">
        <v>152</v>
      </c>
    </row>
    <row r="871" spans="1:14" x14ac:dyDescent="0.35">
      <c r="A871" t="s">
        <v>720</v>
      </c>
      <c r="B871" t="s">
        <v>142</v>
      </c>
      <c r="C871" t="s">
        <v>16</v>
      </c>
      <c r="D871">
        <v>6</v>
      </c>
      <c r="E871">
        <v>12</v>
      </c>
      <c r="F871" t="s">
        <v>526</v>
      </c>
      <c r="G871">
        <v>18</v>
      </c>
      <c r="H871" t="s">
        <v>18</v>
      </c>
      <c r="I871">
        <v>2</v>
      </c>
      <c r="J871">
        <v>29.1</v>
      </c>
      <c r="K871">
        <v>1</v>
      </c>
      <c r="L871">
        <v>3</v>
      </c>
      <c r="M871">
        <v>21</v>
      </c>
      <c r="N871" t="s">
        <v>527</v>
      </c>
    </row>
    <row r="872" spans="1:14" x14ac:dyDescent="0.35">
      <c r="A872" t="s">
        <v>720</v>
      </c>
      <c r="B872" t="s">
        <v>522</v>
      </c>
      <c r="C872" t="s">
        <v>16</v>
      </c>
      <c r="D872">
        <v>0</v>
      </c>
      <c r="E872">
        <v>20</v>
      </c>
      <c r="F872" t="s">
        <v>155</v>
      </c>
      <c r="G872">
        <v>18</v>
      </c>
      <c r="H872" t="s">
        <v>18</v>
      </c>
      <c r="I872">
        <v>3</v>
      </c>
      <c r="J872">
        <v>30.1</v>
      </c>
      <c r="K872">
        <v>2</v>
      </c>
      <c r="L872">
        <v>3</v>
      </c>
      <c r="M872">
        <v>21</v>
      </c>
      <c r="N872" t="s">
        <v>657</v>
      </c>
    </row>
    <row r="873" spans="1:14" x14ac:dyDescent="0.35">
      <c r="A873" t="s">
        <v>720</v>
      </c>
      <c r="B873" t="s">
        <v>524</v>
      </c>
      <c r="C873" t="s">
        <v>16</v>
      </c>
      <c r="D873">
        <v>2</v>
      </c>
      <c r="E873">
        <v>16</v>
      </c>
      <c r="F873" t="s">
        <v>321</v>
      </c>
      <c r="G873">
        <v>18</v>
      </c>
      <c r="H873" t="s">
        <v>18</v>
      </c>
      <c r="I873">
        <v>7</v>
      </c>
      <c r="J873">
        <v>24.6</v>
      </c>
      <c r="K873">
        <v>1</v>
      </c>
      <c r="L873">
        <v>3</v>
      </c>
      <c r="M873">
        <v>21</v>
      </c>
      <c r="N873" t="s">
        <v>443</v>
      </c>
    </row>
    <row r="874" spans="1:14" x14ac:dyDescent="0.35">
      <c r="A874" t="s">
        <v>720</v>
      </c>
      <c r="B874" t="s">
        <v>526</v>
      </c>
      <c r="C874" t="s">
        <v>29</v>
      </c>
      <c r="D874">
        <v>0</v>
      </c>
      <c r="E874">
        <v>18</v>
      </c>
      <c r="F874" t="s">
        <v>589</v>
      </c>
      <c r="G874">
        <v>18</v>
      </c>
      <c r="H874" t="s">
        <v>18</v>
      </c>
      <c r="I874">
        <v>16</v>
      </c>
      <c r="J874">
        <v>22.4</v>
      </c>
      <c r="K874">
        <v>2</v>
      </c>
      <c r="L874">
        <v>5</v>
      </c>
      <c r="M874">
        <v>23</v>
      </c>
      <c r="N874" t="s">
        <v>328</v>
      </c>
    </row>
    <row r="875" spans="1:14" x14ac:dyDescent="0.35">
      <c r="A875" t="s">
        <v>720</v>
      </c>
      <c r="B875" t="s">
        <v>130</v>
      </c>
      <c r="C875" t="s">
        <v>16</v>
      </c>
      <c r="D875">
        <v>0</v>
      </c>
      <c r="E875">
        <v>18</v>
      </c>
      <c r="F875" t="s">
        <v>152</v>
      </c>
      <c r="G875">
        <v>18</v>
      </c>
      <c r="H875" t="s">
        <v>18</v>
      </c>
      <c r="I875">
        <v>8</v>
      </c>
      <c r="J875">
        <v>23.4</v>
      </c>
      <c r="K875">
        <v>0</v>
      </c>
      <c r="L875">
        <v>0</v>
      </c>
      <c r="M875">
        <v>18</v>
      </c>
      <c r="N875" t="s">
        <v>329</v>
      </c>
    </row>
    <row r="876" spans="1:14" x14ac:dyDescent="0.35">
      <c r="A876" t="s">
        <v>720</v>
      </c>
      <c r="B876" t="s">
        <v>148</v>
      </c>
      <c r="C876" t="s">
        <v>16</v>
      </c>
      <c r="D876">
        <v>0</v>
      </c>
      <c r="E876">
        <v>18</v>
      </c>
      <c r="F876" t="s">
        <v>443</v>
      </c>
      <c r="G876">
        <v>18</v>
      </c>
      <c r="H876" t="s">
        <v>18</v>
      </c>
      <c r="I876">
        <v>14</v>
      </c>
      <c r="J876">
        <v>22.2</v>
      </c>
      <c r="K876">
        <v>0</v>
      </c>
      <c r="L876">
        <v>0</v>
      </c>
      <c r="M876">
        <v>18</v>
      </c>
      <c r="N876" t="s">
        <v>528</v>
      </c>
    </row>
    <row r="877" spans="1:14" x14ac:dyDescent="0.35">
      <c r="A877" t="s">
        <v>720</v>
      </c>
      <c r="B877" t="s">
        <v>656</v>
      </c>
      <c r="C877" t="s">
        <v>29</v>
      </c>
      <c r="D877">
        <v>0</v>
      </c>
      <c r="E877">
        <v>10</v>
      </c>
      <c r="F877" t="s">
        <v>156</v>
      </c>
      <c r="G877">
        <v>10</v>
      </c>
      <c r="H877" t="s">
        <v>157</v>
      </c>
      <c r="I877">
        <v>18</v>
      </c>
      <c r="J877">
        <v>19.2</v>
      </c>
      <c r="K877">
        <v>2</v>
      </c>
      <c r="L877">
        <v>6</v>
      </c>
      <c r="M877">
        <v>16</v>
      </c>
      <c r="N877" t="s">
        <v>169</v>
      </c>
    </row>
    <row r="878" spans="1:14" x14ac:dyDescent="0.35">
      <c r="A878" t="s">
        <v>720</v>
      </c>
      <c r="B878" t="s">
        <v>156</v>
      </c>
      <c r="C878" t="s">
        <v>16</v>
      </c>
      <c r="D878">
        <v>0</v>
      </c>
      <c r="E878">
        <v>22</v>
      </c>
      <c r="F878" t="s">
        <v>441</v>
      </c>
      <c r="G878">
        <v>18</v>
      </c>
      <c r="H878" t="s">
        <v>18</v>
      </c>
      <c r="I878">
        <v>4</v>
      </c>
      <c r="J878">
        <v>32</v>
      </c>
      <c r="K878">
        <v>3</v>
      </c>
      <c r="L878">
        <v>3</v>
      </c>
      <c r="M878">
        <v>21</v>
      </c>
      <c r="N878" t="s">
        <v>179</v>
      </c>
    </row>
    <row r="879" spans="1:14" x14ac:dyDescent="0.35">
      <c r="A879" t="s">
        <v>720</v>
      </c>
      <c r="B879" t="s">
        <v>160</v>
      </c>
      <c r="C879" t="s">
        <v>16</v>
      </c>
      <c r="D879">
        <v>4</v>
      </c>
      <c r="E879">
        <v>15</v>
      </c>
      <c r="F879" t="s">
        <v>331</v>
      </c>
      <c r="G879">
        <v>18</v>
      </c>
      <c r="H879" t="s">
        <v>18</v>
      </c>
      <c r="I879">
        <v>3</v>
      </c>
      <c r="J879">
        <v>27</v>
      </c>
      <c r="K879">
        <v>0</v>
      </c>
      <c r="L879">
        <v>0</v>
      </c>
      <c r="M879">
        <v>18</v>
      </c>
      <c r="N879" t="s">
        <v>167</v>
      </c>
    </row>
    <row r="880" spans="1:14" x14ac:dyDescent="0.35">
      <c r="A880" t="s">
        <v>720</v>
      </c>
      <c r="B880" t="s">
        <v>163</v>
      </c>
      <c r="C880" t="s">
        <v>16</v>
      </c>
      <c r="D880">
        <v>1</v>
      </c>
      <c r="E880">
        <v>19</v>
      </c>
      <c r="F880" t="s">
        <v>168</v>
      </c>
      <c r="G880">
        <v>18</v>
      </c>
      <c r="H880" t="s">
        <v>18</v>
      </c>
      <c r="I880">
        <v>5</v>
      </c>
      <c r="J880">
        <v>25.6</v>
      </c>
      <c r="K880">
        <v>4</v>
      </c>
      <c r="L880">
        <v>2</v>
      </c>
      <c r="M880">
        <v>20</v>
      </c>
      <c r="N880" t="s">
        <v>164</v>
      </c>
    </row>
    <row r="881" spans="1:14" x14ac:dyDescent="0.35">
      <c r="A881" t="s">
        <v>720</v>
      </c>
      <c r="B881" t="s">
        <v>328</v>
      </c>
      <c r="C881" t="s">
        <v>29</v>
      </c>
      <c r="D881">
        <v>0</v>
      </c>
      <c r="E881">
        <v>17</v>
      </c>
      <c r="F881" t="s">
        <v>335</v>
      </c>
      <c r="G881">
        <v>17</v>
      </c>
      <c r="H881" t="s">
        <v>157</v>
      </c>
      <c r="I881">
        <v>15</v>
      </c>
      <c r="J881">
        <v>19</v>
      </c>
      <c r="K881">
        <v>1</v>
      </c>
      <c r="L881">
        <v>5</v>
      </c>
      <c r="M881">
        <v>22</v>
      </c>
      <c r="N881" t="s">
        <v>167</v>
      </c>
    </row>
    <row r="882" spans="1:14" x14ac:dyDescent="0.35">
      <c r="A882" t="s">
        <v>720</v>
      </c>
      <c r="B882" t="s">
        <v>333</v>
      </c>
      <c r="C882" t="s">
        <v>16</v>
      </c>
      <c r="D882">
        <v>2</v>
      </c>
      <c r="E882">
        <v>17</v>
      </c>
      <c r="F882" t="s">
        <v>590</v>
      </c>
      <c r="G882">
        <v>18</v>
      </c>
      <c r="H882" t="s">
        <v>18</v>
      </c>
      <c r="I882">
        <v>3</v>
      </c>
      <c r="J882">
        <v>35.299999999999997</v>
      </c>
      <c r="K882">
        <v>4</v>
      </c>
      <c r="L882">
        <v>1</v>
      </c>
      <c r="M882">
        <v>19</v>
      </c>
      <c r="N882" t="s">
        <v>172</v>
      </c>
    </row>
    <row r="883" spans="1:14" x14ac:dyDescent="0.35">
      <c r="A883" t="s">
        <v>720</v>
      </c>
      <c r="B883" t="s">
        <v>169</v>
      </c>
      <c r="C883" t="s">
        <v>16</v>
      </c>
      <c r="D883">
        <v>1</v>
      </c>
      <c r="E883">
        <v>17</v>
      </c>
      <c r="F883" t="s">
        <v>336</v>
      </c>
      <c r="G883">
        <v>18</v>
      </c>
      <c r="H883" t="s">
        <v>18</v>
      </c>
      <c r="I883">
        <v>5</v>
      </c>
      <c r="J883">
        <v>29.6</v>
      </c>
      <c r="K883">
        <v>1</v>
      </c>
      <c r="L883">
        <v>2</v>
      </c>
      <c r="M883">
        <v>20</v>
      </c>
      <c r="N883" t="s">
        <v>172</v>
      </c>
    </row>
    <row r="884" spans="1:14" x14ac:dyDescent="0.35">
      <c r="A884" t="s">
        <v>720</v>
      </c>
      <c r="B884" t="s">
        <v>173</v>
      </c>
      <c r="C884" t="s">
        <v>16</v>
      </c>
      <c r="D884">
        <v>0</v>
      </c>
      <c r="E884">
        <v>21</v>
      </c>
      <c r="F884" t="s">
        <v>178</v>
      </c>
      <c r="G884">
        <v>18</v>
      </c>
      <c r="H884" t="s">
        <v>18</v>
      </c>
      <c r="I884">
        <v>3</v>
      </c>
      <c r="J884">
        <v>27.6</v>
      </c>
      <c r="K884">
        <v>4</v>
      </c>
      <c r="L884">
        <v>5</v>
      </c>
      <c r="M884">
        <v>23</v>
      </c>
      <c r="N884" t="s">
        <v>531</v>
      </c>
    </row>
    <row r="885" spans="1:14" x14ac:dyDescent="0.35">
      <c r="A885" t="s">
        <v>720</v>
      </c>
      <c r="B885" t="s">
        <v>448</v>
      </c>
      <c r="C885" t="s">
        <v>29</v>
      </c>
      <c r="D885">
        <v>0</v>
      </c>
      <c r="E885">
        <v>19</v>
      </c>
      <c r="F885" t="s">
        <v>529</v>
      </c>
      <c r="G885">
        <v>18</v>
      </c>
      <c r="H885" t="s">
        <v>18</v>
      </c>
      <c r="I885">
        <v>13</v>
      </c>
      <c r="J885">
        <v>20.7</v>
      </c>
      <c r="K885">
        <v>1</v>
      </c>
      <c r="L885">
        <v>4</v>
      </c>
      <c r="M885">
        <v>22</v>
      </c>
      <c r="N885" t="s">
        <v>337</v>
      </c>
    </row>
    <row r="886" spans="1:14" x14ac:dyDescent="0.35">
      <c r="A886" t="s">
        <v>720</v>
      </c>
      <c r="B886" t="s">
        <v>339</v>
      </c>
      <c r="C886" t="s">
        <v>16</v>
      </c>
      <c r="D886">
        <v>3</v>
      </c>
      <c r="E886">
        <v>15</v>
      </c>
      <c r="F886" t="s">
        <v>330</v>
      </c>
      <c r="G886">
        <v>18</v>
      </c>
      <c r="H886" t="s">
        <v>18</v>
      </c>
      <c r="I886">
        <v>5</v>
      </c>
      <c r="J886">
        <v>28.3</v>
      </c>
      <c r="K886">
        <v>4</v>
      </c>
      <c r="L886">
        <v>4</v>
      </c>
      <c r="M886">
        <v>22</v>
      </c>
      <c r="N886" t="s">
        <v>190</v>
      </c>
    </row>
    <row r="887" spans="1:14" x14ac:dyDescent="0.35">
      <c r="A887" t="s">
        <v>720</v>
      </c>
      <c r="B887" t="s">
        <v>167</v>
      </c>
      <c r="C887" t="s">
        <v>16</v>
      </c>
      <c r="D887">
        <v>0</v>
      </c>
      <c r="E887">
        <v>20</v>
      </c>
      <c r="F887" t="s">
        <v>181</v>
      </c>
      <c r="G887">
        <v>18</v>
      </c>
      <c r="H887" t="s">
        <v>18</v>
      </c>
      <c r="I887">
        <v>6</v>
      </c>
      <c r="J887">
        <v>27.1</v>
      </c>
      <c r="K887">
        <v>4</v>
      </c>
      <c r="L887">
        <v>5</v>
      </c>
      <c r="M887">
        <v>23</v>
      </c>
      <c r="N887" t="s">
        <v>453</v>
      </c>
    </row>
    <row r="888" spans="1:14" x14ac:dyDescent="0.35">
      <c r="A888" t="s">
        <v>720</v>
      </c>
      <c r="B888" t="s">
        <v>161</v>
      </c>
      <c r="C888" t="s">
        <v>29</v>
      </c>
      <c r="D888">
        <v>1</v>
      </c>
      <c r="E888">
        <v>7</v>
      </c>
      <c r="F888" t="s">
        <v>184</v>
      </c>
      <c r="G888">
        <v>8</v>
      </c>
      <c r="H888" t="s">
        <v>157</v>
      </c>
      <c r="I888">
        <v>15</v>
      </c>
      <c r="J888">
        <v>22.7</v>
      </c>
      <c r="K888">
        <v>3</v>
      </c>
      <c r="L888">
        <v>3</v>
      </c>
      <c r="M888">
        <v>11</v>
      </c>
      <c r="N888" t="s">
        <v>453</v>
      </c>
    </row>
    <row r="889" spans="1:14" x14ac:dyDescent="0.35">
      <c r="A889" t="s">
        <v>720</v>
      </c>
      <c r="B889" t="s">
        <v>186</v>
      </c>
      <c r="C889" t="s">
        <v>16</v>
      </c>
      <c r="D889">
        <v>2</v>
      </c>
      <c r="E889">
        <v>16</v>
      </c>
      <c r="F889" t="s">
        <v>531</v>
      </c>
      <c r="G889">
        <v>18</v>
      </c>
      <c r="H889" t="s">
        <v>18</v>
      </c>
      <c r="I889">
        <v>13</v>
      </c>
      <c r="J889">
        <v>25.5</v>
      </c>
      <c r="K889">
        <v>0</v>
      </c>
      <c r="L889">
        <v>0</v>
      </c>
      <c r="M889">
        <v>18</v>
      </c>
      <c r="N889" t="s">
        <v>194</v>
      </c>
    </row>
    <row r="890" spans="1:14" x14ac:dyDescent="0.35">
      <c r="A890" t="s">
        <v>720</v>
      </c>
      <c r="B890" t="s">
        <v>170</v>
      </c>
      <c r="C890" t="s">
        <v>29</v>
      </c>
      <c r="D890">
        <v>0</v>
      </c>
      <c r="E890">
        <v>6</v>
      </c>
      <c r="F890" t="s">
        <v>190</v>
      </c>
      <c r="G890">
        <v>6</v>
      </c>
      <c r="H890" t="s">
        <v>157</v>
      </c>
      <c r="I890">
        <v>15</v>
      </c>
      <c r="J890">
        <v>20.2</v>
      </c>
      <c r="K890">
        <v>2</v>
      </c>
      <c r="L890">
        <v>3</v>
      </c>
      <c r="M890">
        <v>9</v>
      </c>
      <c r="N890" t="s">
        <v>349</v>
      </c>
    </row>
    <row r="891" spans="1:14" x14ac:dyDescent="0.35">
      <c r="A891" t="s">
        <v>720</v>
      </c>
      <c r="B891" t="s">
        <v>624</v>
      </c>
      <c r="C891" t="s">
        <v>16</v>
      </c>
      <c r="D891">
        <v>0</v>
      </c>
      <c r="E891">
        <v>16</v>
      </c>
      <c r="F891" t="s">
        <v>625</v>
      </c>
      <c r="G891">
        <v>16</v>
      </c>
      <c r="H891" t="s">
        <v>157</v>
      </c>
      <c r="I891">
        <v>15</v>
      </c>
      <c r="J891">
        <v>29.1</v>
      </c>
      <c r="K891">
        <v>0</v>
      </c>
      <c r="L891">
        <v>0</v>
      </c>
      <c r="M891">
        <v>16</v>
      </c>
      <c r="N891" t="s">
        <v>456</v>
      </c>
    </row>
    <row r="892" spans="1:14" x14ac:dyDescent="0.35">
      <c r="A892" t="s">
        <v>720</v>
      </c>
      <c r="B892" t="s">
        <v>341</v>
      </c>
      <c r="C892" t="s">
        <v>16</v>
      </c>
      <c r="D892">
        <v>0</v>
      </c>
      <c r="E892">
        <v>11</v>
      </c>
      <c r="F892" t="s">
        <v>454</v>
      </c>
      <c r="G892">
        <v>11</v>
      </c>
      <c r="H892" t="s">
        <v>157</v>
      </c>
      <c r="I892">
        <v>15</v>
      </c>
      <c r="J892">
        <v>27.9</v>
      </c>
      <c r="K892">
        <v>0</v>
      </c>
      <c r="L892">
        <v>0</v>
      </c>
      <c r="M892">
        <v>11</v>
      </c>
      <c r="N892" t="s">
        <v>538</v>
      </c>
    </row>
    <row r="893" spans="1:14" x14ac:dyDescent="0.35">
      <c r="A893" t="s">
        <v>720</v>
      </c>
      <c r="B893" t="s">
        <v>459</v>
      </c>
      <c r="C893" t="s">
        <v>29</v>
      </c>
      <c r="D893">
        <v>0</v>
      </c>
      <c r="E893">
        <v>2</v>
      </c>
      <c r="F893" t="s">
        <v>198</v>
      </c>
      <c r="G893">
        <v>2</v>
      </c>
      <c r="H893" t="s">
        <v>157</v>
      </c>
      <c r="I893">
        <v>15</v>
      </c>
      <c r="J893">
        <v>25.1</v>
      </c>
      <c r="K893">
        <v>4</v>
      </c>
      <c r="L893">
        <v>3</v>
      </c>
      <c r="M893">
        <v>5</v>
      </c>
      <c r="N893" t="s">
        <v>464</v>
      </c>
    </row>
    <row r="894" spans="1:14" x14ac:dyDescent="0.35">
      <c r="A894" t="s">
        <v>720</v>
      </c>
      <c r="B894" t="s">
        <v>535</v>
      </c>
      <c r="C894" t="s">
        <v>16</v>
      </c>
      <c r="D894">
        <v>0</v>
      </c>
      <c r="E894">
        <v>10</v>
      </c>
      <c r="F894" t="s">
        <v>626</v>
      </c>
      <c r="G894">
        <v>10</v>
      </c>
      <c r="H894" t="s">
        <v>157</v>
      </c>
      <c r="I894">
        <v>15</v>
      </c>
      <c r="J894">
        <v>25</v>
      </c>
      <c r="K894">
        <v>3</v>
      </c>
      <c r="L894">
        <v>1</v>
      </c>
      <c r="M894">
        <v>11</v>
      </c>
      <c r="N894" t="s">
        <v>207</v>
      </c>
    </row>
    <row r="895" spans="1:14" x14ac:dyDescent="0.35">
      <c r="A895" t="s">
        <v>720</v>
      </c>
      <c r="B895" t="s">
        <v>201</v>
      </c>
      <c r="C895" t="s">
        <v>29</v>
      </c>
      <c r="D895">
        <v>0</v>
      </c>
      <c r="E895">
        <v>3</v>
      </c>
      <c r="F895" t="s">
        <v>202</v>
      </c>
      <c r="G895">
        <v>3</v>
      </c>
      <c r="H895" t="s">
        <v>157</v>
      </c>
      <c r="I895">
        <v>15</v>
      </c>
      <c r="J895">
        <v>25.3</v>
      </c>
      <c r="K895">
        <v>0</v>
      </c>
      <c r="L895">
        <v>0</v>
      </c>
      <c r="M895">
        <v>3</v>
      </c>
      <c r="N895" t="s">
        <v>593</v>
      </c>
    </row>
    <row r="896" spans="1:14" x14ac:dyDescent="0.35">
      <c r="A896" t="s">
        <v>720</v>
      </c>
      <c r="B896" t="s">
        <v>592</v>
      </c>
      <c r="C896" t="s">
        <v>16</v>
      </c>
      <c r="D896">
        <v>0</v>
      </c>
      <c r="E896">
        <v>15</v>
      </c>
      <c r="F896" t="s">
        <v>200</v>
      </c>
      <c r="G896">
        <v>15</v>
      </c>
      <c r="H896" t="s">
        <v>157</v>
      </c>
      <c r="I896">
        <v>15</v>
      </c>
      <c r="J896">
        <v>32.799999999999997</v>
      </c>
      <c r="K896">
        <v>1</v>
      </c>
      <c r="L896">
        <v>0</v>
      </c>
      <c r="M896">
        <v>15</v>
      </c>
      <c r="N896" t="s">
        <v>466</v>
      </c>
    </row>
    <row r="897" spans="1:14" x14ac:dyDescent="0.35">
      <c r="A897" t="s">
        <v>720</v>
      </c>
      <c r="B897" t="s">
        <v>462</v>
      </c>
      <c r="C897" t="s">
        <v>16</v>
      </c>
      <c r="D897">
        <v>0</v>
      </c>
      <c r="E897">
        <v>18</v>
      </c>
      <c r="F897" t="s">
        <v>710</v>
      </c>
      <c r="G897">
        <v>18</v>
      </c>
      <c r="H897" t="s">
        <v>18</v>
      </c>
      <c r="I897">
        <v>15</v>
      </c>
      <c r="J897">
        <v>24.5</v>
      </c>
      <c r="K897">
        <v>2</v>
      </c>
      <c r="L897">
        <v>0</v>
      </c>
      <c r="M897">
        <v>18</v>
      </c>
      <c r="N897" t="s">
        <v>632</v>
      </c>
    </row>
    <row r="898" spans="1:14" x14ac:dyDescent="0.35">
      <c r="A898" t="s">
        <v>720</v>
      </c>
      <c r="B898" t="s">
        <v>707</v>
      </c>
      <c r="C898" t="s">
        <v>16</v>
      </c>
      <c r="D898">
        <v>0</v>
      </c>
      <c r="E898">
        <v>12</v>
      </c>
      <c r="F898" t="s">
        <v>466</v>
      </c>
      <c r="G898">
        <v>12</v>
      </c>
      <c r="H898" t="s">
        <v>157</v>
      </c>
      <c r="I898">
        <v>15</v>
      </c>
      <c r="J898">
        <v>30.8</v>
      </c>
      <c r="K898">
        <v>2</v>
      </c>
      <c r="L898">
        <v>2</v>
      </c>
      <c r="M898">
        <v>14</v>
      </c>
      <c r="N898" t="s">
        <v>544</v>
      </c>
    </row>
    <row r="899" spans="1:14" x14ac:dyDescent="0.35">
      <c r="A899" t="s">
        <v>720</v>
      </c>
      <c r="B899" t="s">
        <v>543</v>
      </c>
      <c r="C899" t="s">
        <v>16</v>
      </c>
      <c r="D899">
        <v>0</v>
      </c>
      <c r="E899">
        <v>18</v>
      </c>
      <c r="F899" t="s">
        <v>662</v>
      </c>
      <c r="G899">
        <v>18</v>
      </c>
      <c r="H899" t="s">
        <v>18</v>
      </c>
      <c r="I899">
        <v>15</v>
      </c>
      <c r="J899">
        <v>25.3</v>
      </c>
      <c r="K899">
        <v>3</v>
      </c>
      <c r="L899">
        <v>1</v>
      </c>
      <c r="M899">
        <v>19</v>
      </c>
      <c r="N899" t="s">
        <v>219</v>
      </c>
    </row>
    <row r="900" spans="1:14" x14ac:dyDescent="0.35">
      <c r="A900" t="s">
        <v>720</v>
      </c>
      <c r="B900" t="s">
        <v>663</v>
      </c>
      <c r="C900" t="s">
        <v>16</v>
      </c>
      <c r="D900">
        <v>0</v>
      </c>
      <c r="E900">
        <v>13</v>
      </c>
      <c r="F900" t="s">
        <v>664</v>
      </c>
      <c r="G900">
        <v>13</v>
      </c>
      <c r="H900" t="s">
        <v>157</v>
      </c>
      <c r="I900">
        <v>15</v>
      </c>
      <c r="J900">
        <v>31.3</v>
      </c>
      <c r="K900">
        <v>0</v>
      </c>
      <c r="L900">
        <v>0</v>
      </c>
      <c r="M900">
        <v>13</v>
      </c>
      <c r="N900" t="s">
        <v>553</v>
      </c>
    </row>
    <row r="901" spans="1:14" x14ac:dyDescent="0.35">
      <c r="A901" t="s">
        <v>720</v>
      </c>
      <c r="B901" t="s">
        <v>549</v>
      </c>
      <c r="C901" t="s">
        <v>16</v>
      </c>
      <c r="D901">
        <v>0</v>
      </c>
      <c r="E901">
        <v>19</v>
      </c>
      <c r="F901" t="s">
        <v>215</v>
      </c>
      <c r="G901">
        <v>18</v>
      </c>
      <c r="H901" t="s">
        <v>18</v>
      </c>
      <c r="I901">
        <v>15</v>
      </c>
      <c r="J901">
        <v>24</v>
      </c>
      <c r="K901">
        <v>4</v>
      </c>
      <c r="L901">
        <v>0</v>
      </c>
      <c r="M901">
        <v>18</v>
      </c>
      <c r="N901" t="s">
        <v>376</v>
      </c>
    </row>
    <row r="902" spans="1:14" x14ac:dyDescent="0.35">
      <c r="A902" t="s">
        <v>720</v>
      </c>
      <c r="B902" t="s">
        <v>551</v>
      </c>
      <c r="C902" t="s">
        <v>16</v>
      </c>
      <c r="D902">
        <v>1</v>
      </c>
      <c r="E902">
        <v>9</v>
      </c>
      <c r="F902" t="s">
        <v>712</v>
      </c>
      <c r="G902">
        <v>10</v>
      </c>
      <c r="H902" t="s">
        <v>157</v>
      </c>
      <c r="I902">
        <v>15</v>
      </c>
      <c r="J902">
        <v>26.9</v>
      </c>
      <c r="K902">
        <v>2</v>
      </c>
      <c r="L902">
        <v>3</v>
      </c>
      <c r="M902">
        <v>13</v>
      </c>
      <c r="N902" t="s">
        <v>603</v>
      </c>
    </row>
    <row r="903" spans="1:14" x14ac:dyDescent="0.35">
      <c r="A903" t="s">
        <v>720</v>
      </c>
      <c r="B903" t="s">
        <v>727</v>
      </c>
      <c r="C903" t="s">
        <v>16</v>
      </c>
      <c r="D903">
        <v>0</v>
      </c>
      <c r="E903">
        <v>11</v>
      </c>
      <c r="F903" t="s">
        <v>221</v>
      </c>
      <c r="G903">
        <v>11</v>
      </c>
      <c r="H903" t="s">
        <v>157</v>
      </c>
      <c r="I903">
        <v>15</v>
      </c>
      <c r="J903">
        <v>30.4</v>
      </c>
      <c r="K903">
        <v>4</v>
      </c>
      <c r="L903">
        <v>3</v>
      </c>
      <c r="M903">
        <v>14</v>
      </c>
      <c r="N903" t="s">
        <v>480</v>
      </c>
    </row>
    <row r="904" spans="1:14" x14ac:dyDescent="0.35">
      <c r="A904" t="s">
        <v>720</v>
      </c>
      <c r="B904" t="s">
        <v>668</v>
      </c>
      <c r="C904" t="s">
        <v>16</v>
      </c>
      <c r="D904">
        <v>0</v>
      </c>
      <c r="E904">
        <v>13</v>
      </c>
      <c r="F904" t="s">
        <v>224</v>
      </c>
      <c r="G904">
        <v>13</v>
      </c>
      <c r="H904" t="s">
        <v>157</v>
      </c>
      <c r="I904">
        <v>15</v>
      </c>
      <c r="J904">
        <v>30.3</v>
      </c>
      <c r="K904">
        <v>4</v>
      </c>
      <c r="L904">
        <v>0</v>
      </c>
      <c r="M904">
        <v>13</v>
      </c>
      <c r="N904" t="s">
        <v>481</v>
      </c>
    </row>
    <row r="905" spans="1:14" x14ac:dyDescent="0.35">
      <c r="A905" t="s">
        <v>720</v>
      </c>
      <c r="B905" t="s">
        <v>728</v>
      </c>
      <c r="C905" t="s">
        <v>16</v>
      </c>
      <c r="D905">
        <v>0</v>
      </c>
      <c r="E905">
        <v>16</v>
      </c>
      <c r="F905" t="s">
        <v>729</v>
      </c>
      <c r="G905">
        <v>16</v>
      </c>
      <c r="H905" t="s">
        <v>157</v>
      </c>
      <c r="I905">
        <v>15</v>
      </c>
      <c r="J905">
        <v>27.9</v>
      </c>
      <c r="K905">
        <v>3</v>
      </c>
      <c r="L905">
        <v>1</v>
      </c>
      <c r="M905">
        <v>17</v>
      </c>
      <c r="N905" t="s">
        <v>484</v>
      </c>
    </row>
    <row r="906" spans="1:14" x14ac:dyDescent="0.35">
      <c r="A906" t="s">
        <v>720</v>
      </c>
      <c r="B906" t="s">
        <v>730</v>
      </c>
      <c r="C906" t="s">
        <v>16</v>
      </c>
      <c r="D906">
        <v>0</v>
      </c>
      <c r="E906">
        <v>17</v>
      </c>
      <c r="F906" t="s">
        <v>731</v>
      </c>
      <c r="G906">
        <v>17</v>
      </c>
      <c r="H906" t="s">
        <v>157</v>
      </c>
      <c r="I906">
        <v>15</v>
      </c>
      <c r="J906">
        <v>32.6</v>
      </c>
      <c r="K906">
        <v>4</v>
      </c>
      <c r="L906">
        <v>1</v>
      </c>
      <c r="M906">
        <v>18</v>
      </c>
      <c r="N906" t="s">
        <v>715</v>
      </c>
    </row>
    <row r="907" spans="1:14" x14ac:dyDescent="0.35">
      <c r="A907" t="s">
        <v>720</v>
      </c>
      <c r="B907" t="s">
        <v>713</v>
      </c>
      <c r="C907" t="s">
        <v>16</v>
      </c>
      <c r="D907">
        <v>0</v>
      </c>
      <c r="E907">
        <v>12</v>
      </c>
      <c r="F907" t="s">
        <v>714</v>
      </c>
      <c r="G907">
        <v>12</v>
      </c>
      <c r="H907" t="s">
        <v>157</v>
      </c>
      <c r="I907">
        <v>15</v>
      </c>
      <c r="J907">
        <v>28.3</v>
      </c>
      <c r="K907">
        <v>2</v>
      </c>
      <c r="L907">
        <v>3</v>
      </c>
      <c r="M907">
        <v>15</v>
      </c>
      <c r="N907" t="s">
        <v>612</v>
      </c>
    </row>
    <row r="908" spans="1:14" x14ac:dyDescent="0.35">
      <c r="A908" t="s">
        <v>720</v>
      </c>
      <c r="B908" t="s">
        <v>607</v>
      </c>
      <c r="C908" t="s">
        <v>16</v>
      </c>
      <c r="D908">
        <v>0</v>
      </c>
      <c r="E908">
        <v>17</v>
      </c>
      <c r="F908" t="s">
        <v>715</v>
      </c>
      <c r="G908">
        <v>17</v>
      </c>
      <c r="H908" t="s">
        <v>157</v>
      </c>
      <c r="I908">
        <v>15</v>
      </c>
      <c r="J908">
        <v>27.5</v>
      </c>
      <c r="K908">
        <v>3</v>
      </c>
      <c r="L908">
        <v>2</v>
      </c>
      <c r="M908">
        <v>19</v>
      </c>
      <c r="N908" t="s">
        <v>674</v>
      </c>
    </row>
    <row r="909" spans="1:14" x14ac:dyDescent="0.35">
      <c r="A909" t="s">
        <v>720</v>
      </c>
      <c r="B909" t="s">
        <v>241</v>
      </c>
      <c r="C909" t="s">
        <v>16</v>
      </c>
      <c r="D909">
        <v>0</v>
      </c>
      <c r="E909">
        <v>18</v>
      </c>
      <c r="F909" t="s">
        <v>390</v>
      </c>
      <c r="G909">
        <v>18</v>
      </c>
      <c r="H909" t="s">
        <v>18</v>
      </c>
      <c r="I909">
        <v>12</v>
      </c>
      <c r="J909">
        <v>30.7</v>
      </c>
      <c r="K909">
        <v>3</v>
      </c>
      <c r="L909">
        <v>3</v>
      </c>
      <c r="M909">
        <v>21</v>
      </c>
      <c r="N909" t="s">
        <v>694</v>
      </c>
    </row>
    <row r="910" spans="1:14" x14ac:dyDescent="0.35">
      <c r="A910" t="s">
        <v>720</v>
      </c>
      <c r="B910" t="s">
        <v>732</v>
      </c>
      <c r="C910" t="s">
        <v>16</v>
      </c>
      <c r="D910">
        <v>0</v>
      </c>
      <c r="E910">
        <v>11</v>
      </c>
      <c r="F910" t="s">
        <v>677</v>
      </c>
      <c r="G910">
        <v>11</v>
      </c>
      <c r="H910" t="s">
        <v>157</v>
      </c>
      <c r="I910">
        <v>15</v>
      </c>
      <c r="J910">
        <v>30</v>
      </c>
      <c r="K910">
        <v>4</v>
      </c>
      <c r="L910">
        <v>1</v>
      </c>
      <c r="M910">
        <v>12</v>
      </c>
      <c r="N910" t="s">
        <v>614</v>
      </c>
    </row>
    <row r="911" spans="1:14" x14ac:dyDescent="0.35">
      <c r="A911" t="s">
        <v>720</v>
      </c>
      <c r="B911" t="s">
        <v>733</v>
      </c>
      <c r="C911" t="s">
        <v>16</v>
      </c>
      <c r="D911">
        <v>0</v>
      </c>
      <c r="E911">
        <v>14</v>
      </c>
      <c r="F911" t="s">
        <v>734</v>
      </c>
      <c r="G911">
        <v>14</v>
      </c>
      <c r="H911" t="s">
        <v>157</v>
      </c>
      <c r="I911">
        <v>15</v>
      </c>
      <c r="J911">
        <v>28.1</v>
      </c>
      <c r="K911">
        <v>2</v>
      </c>
      <c r="L911">
        <v>0</v>
      </c>
      <c r="M911">
        <v>14</v>
      </c>
      <c r="N911" t="s">
        <v>401</v>
      </c>
    </row>
    <row r="912" spans="1:14" x14ac:dyDescent="0.35">
      <c r="A912" t="s">
        <v>735</v>
      </c>
      <c r="B912" t="s">
        <v>15</v>
      </c>
      <c r="C912" t="s">
        <v>16</v>
      </c>
      <c r="D912">
        <v>0</v>
      </c>
      <c r="E912">
        <v>22</v>
      </c>
      <c r="F912" t="s">
        <v>680</v>
      </c>
      <c r="G912">
        <v>18</v>
      </c>
      <c r="H912" t="s">
        <v>18</v>
      </c>
      <c r="I912">
        <v>2</v>
      </c>
      <c r="J912">
        <v>27.1</v>
      </c>
      <c r="K912">
        <v>1</v>
      </c>
      <c r="L912">
        <v>2</v>
      </c>
      <c r="M912">
        <v>20</v>
      </c>
      <c r="N912" t="s">
        <v>39</v>
      </c>
    </row>
    <row r="913" spans="1:14" x14ac:dyDescent="0.35">
      <c r="A913" t="s">
        <v>735</v>
      </c>
      <c r="B913" t="s">
        <v>17</v>
      </c>
      <c r="C913" t="s">
        <v>16</v>
      </c>
      <c r="D913">
        <v>4</v>
      </c>
      <c r="E913">
        <v>14</v>
      </c>
      <c r="F913" t="s">
        <v>21</v>
      </c>
      <c r="G913">
        <v>18</v>
      </c>
      <c r="H913" t="s">
        <v>18</v>
      </c>
      <c r="I913">
        <v>3</v>
      </c>
      <c r="J913">
        <v>29.4</v>
      </c>
      <c r="K913">
        <v>0</v>
      </c>
      <c r="L913">
        <v>0</v>
      </c>
      <c r="M913">
        <v>18</v>
      </c>
      <c r="N913" t="s">
        <v>257</v>
      </c>
    </row>
    <row r="914" spans="1:14" x14ac:dyDescent="0.35">
      <c r="A914" t="s">
        <v>735</v>
      </c>
      <c r="B914" t="s">
        <v>23</v>
      </c>
      <c r="C914" t="s">
        <v>16</v>
      </c>
      <c r="D914">
        <v>0</v>
      </c>
      <c r="E914">
        <v>20</v>
      </c>
      <c r="F914" t="s">
        <v>24</v>
      </c>
      <c r="G914">
        <v>18</v>
      </c>
      <c r="H914" t="s">
        <v>18</v>
      </c>
      <c r="I914">
        <v>3</v>
      </c>
      <c r="J914">
        <v>29.8</v>
      </c>
      <c r="K914">
        <v>0</v>
      </c>
      <c r="L914">
        <v>0</v>
      </c>
      <c r="M914">
        <v>18</v>
      </c>
      <c r="N914" t="s">
        <v>264</v>
      </c>
    </row>
    <row r="915" spans="1:14" x14ac:dyDescent="0.35">
      <c r="A915" t="s">
        <v>735</v>
      </c>
      <c r="B915" t="s">
        <v>15</v>
      </c>
      <c r="C915" t="s">
        <v>29</v>
      </c>
      <c r="D915">
        <v>0</v>
      </c>
      <c r="E915">
        <v>18</v>
      </c>
      <c r="F915" t="s">
        <v>26</v>
      </c>
      <c r="G915">
        <v>18</v>
      </c>
      <c r="H915" t="s">
        <v>18</v>
      </c>
      <c r="I915">
        <v>11</v>
      </c>
      <c r="J915">
        <v>23.4</v>
      </c>
      <c r="K915">
        <v>1</v>
      </c>
      <c r="L915">
        <v>2</v>
      </c>
      <c r="M915">
        <v>20</v>
      </c>
      <c r="N915" t="s">
        <v>22</v>
      </c>
    </row>
    <row r="916" spans="1:14" x14ac:dyDescent="0.35">
      <c r="A916" t="s">
        <v>735</v>
      </c>
      <c r="B916" t="s">
        <v>26</v>
      </c>
      <c r="C916" t="s">
        <v>16</v>
      </c>
      <c r="D916">
        <v>2</v>
      </c>
      <c r="E916">
        <v>20</v>
      </c>
      <c r="F916" t="s">
        <v>256</v>
      </c>
      <c r="G916">
        <v>18</v>
      </c>
      <c r="H916" t="s">
        <v>18</v>
      </c>
      <c r="I916">
        <v>2</v>
      </c>
      <c r="J916">
        <v>23</v>
      </c>
      <c r="K916">
        <v>3</v>
      </c>
      <c r="L916">
        <v>3</v>
      </c>
      <c r="M916">
        <v>21</v>
      </c>
      <c r="N916" t="s">
        <v>503</v>
      </c>
    </row>
    <row r="917" spans="1:14" x14ac:dyDescent="0.35">
      <c r="A917" t="s">
        <v>735</v>
      </c>
      <c r="B917" t="s">
        <v>263</v>
      </c>
      <c r="C917" t="s">
        <v>16</v>
      </c>
      <c r="D917">
        <v>4</v>
      </c>
      <c r="E917">
        <v>14</v>
      </c>
      <c r="F917" t="s">
        <v>258</v>
      </c>
      <c r="G917">
        <v>18</v>
      </c>
      <c r="H917" t="s">
        <v>18</v>
      </c>
      <c r="I917">
        <v>1</v>
      </c>
      <c r="J917">
        <v>29.7</v>
      </c>
      <c r="K917">
        <v>3</v>
      </c>
      <c r="L917">
        <v>3</v>
      </c>
      <c r="M917">
        <v>21</v>
      </c>
      <c r="N917" t="s">
        <v>681</v>
      </c>
    </row>
    <row r="918" spans="1:14" x14ac:dyDescent="0.35">
      <c r="A918" t="s">
        <v>735</v>
      </c>
      <c r="B918" t="s">
        <v>27</v>
      </c>
      <c r="C918" t="s">
        <v>16</v>
      </c>
      <c r="D918">
        <v>0</v>
      </c>
      <c r="E918">
        <v>20</v>
      </c>
      <c r="F918" t="s">
        <v>31</v>
      </c>
      <c r="G918">
        <v>18</v>
      </c>
      <c r="H918" t="s">
        <v>18</v>
      </c>
      <c r="I918">
        <v>4</v>
      </c>
      <c r="J918">
        <v>29.7</v>
      </c>
      <c r="K918">
        <v>2</v>
      </c>
      <c r="L918">
        <v>3</v>
      </c>
      <c r="M918">
        <v>21</v>
      </c>
      <c r="N918" t="s">
        <v>37</v>
      </c>
    </row>
    <row r="919" spans="1:14" x14ac:dyDescent="0.35">
      <c r="A919" t="s">
        <v>735</v>
      </c>
      <c r="B919" t="s">
        <v>407</v>
      </c>
      <c r="C919" t="s">
        <v>29</v>
      </c>
      <c r="D919">
        <v>0</v>
      </c>
      <c r="E919">
        <v>19</v>
      </c>
      <c r="F919" t="s">
        <v>701</v>
      </c>
      <c r="G919">
        <v>18</v>
      </c>
      <c r="H919" t="s">
        <v>18</v>
      </c>
      <c r="I919">
        <v>10</v>
      </c>
      <c r="J919">
        <v>23.4</v>
      </c>
      <c r="K919">
        <v>2</v>
      </c>
      <c r="L919">
        <v>3</v>
      </c>
      <c r="M919">
        <v>21</v>
      </c>
      <c r="N919" t="s">
        <v>259</v>
      </c>
    </row>
    <row r="920" spans="1:14" x14ac:dyDescent="0.35">
      <c r="A920" t="s">
        <v>735</v>
      </c>
      <c r="B920" t="s">
        <v>33</v>
      </c>
      <c r="C920" t="s">
        <v>16</v>
      </c>
      <c r="D920">
        <v>2</v>
      </c>
      <c r="E920">
        <v>22</v>
      </c>
      <c r="F920" t="s">
        <v>261</v>
      </c>
      <c r="G920">
        <v>18</v>
      </c>
      <c r="H920" t="s">
        <v>18</v>
      </c>
      <c r="I920">
        <v>3</v>
      </c>
      <c r="J920">
        <v>24.6</v>
      </c>
      <c r="K920">
        <v>0</v>
      </c>
      <c r="L920">
        <v>0</v>
      </c>
      <c r="M920">
        <v>18</v>
      </c>
      <c r="N920" t="s">
        <v>44</v>
      </c>
    </row>
    <row r="921" spans="1:14" x14ac:dyDescent="0.35">
      <c r="A921" t="s">
        <v>735</v>
      </c>
      <c r="B921" t="s">
        <v>34</v>
      </c>
      <c r="C921" t="s">
        <v>16</v>
      </c>
      <c r="D921">
        <v>6</v>
      </c>
      <c r="E921">
        <v>16</v>
      </c>
      <c r="F921" t="s">
        <v>50</v>
      </c>
      <c r="G921">
        <v>18</v>
      </c>
      <c r="H921" t="s">
        <v>18</v>
      </c>
      <c r="I921">
        <v>3</v>
      </c>
      <c r="J921">
        <v>29.6</v>
      </c>
      <c r="K921">
        <v>0</v>
      </c>
      <c r="L921">
        <v>0</v>
      </c>
      <c r="M921">
        <v>18</v>
      </c>
      <c r="N921" t="s">
        <v>45</v>
      </c>
    </row>
    <row r="922" spans="1:14" x14ac:dyDescent="0.35">
      <c r="A922" t="s">
        <v>735</v>
      </c>
      <c r="B922" t="s">
        <v>39</v>
      </c>
      <c r="C922" t="s">
        <v>16</v>
      </c>
      <c r="D922">
        <v>4</v>
      </c>
      <c r="E922">
        <v>14</v>
      </c>
      <c r="F922" t="s">
        <v>257</v>
      </c>
      <c r="G922">
        <v>18</v>
      </c>
      <c r="H922" t="s">
        <v>18</v>
      </c>
      <c r="I922">
        <v>6</v>
      </c>
      <c r="J922">
        <v>26.8</v>
      </c>
      <c r="K922">
        <v>2</v>
      </c>
      <c r="L922">
        <v>5</v>
      </c>
      <c r="M922">
        <v>23</v>
      </c>
      <c r="N922" t="s">
        <v>267</v>
      </c>
    </row>
    <row r="923" spans="1:14" x14ac:dyDescent="0.35">
      <c r="A923" t="s">
        <v>735</v>
      </c>
      <c r="B923" t="s">
        <v>406</v>
      </c>
      <c r="C923" t="s">
        <v>29</v>
      </c>
      <c r="D923">
        <v>1</v>
      </c>
      <c r="E923">
        <v>17</v>
      </c>
      <c r="F923" t="s">
        <v>37</v>
      </c>
      <c r="G923">
        <v>18</v>
      </c>
      <c r="H923" t="s">
        <v>18</v>
      </c>
      <c r="I923">
        <v>26</v>
      </c>
      <c r="J923">
        <v>25</v>
      </c>
      <c r="K923">
        <v>0</v>
      </c>
      <c r="L923">
        <v>0</v>
      </c>
      <c r="M923">
        <v>18</v>
      </c>
      <c r="N923" t="s">
        <v>414</v>
      </c>
    </row>
    <row r="924" spans="1:14" x14ac:dyDescent="0.35">
      <c r="A924" t="s">
        <v>735</v>
      </c>
      <c r="B924" t="s">
        <v>503</v>
      </c>
      <c r="C924" t="s">
        <v>16</v>
      </c>
      <c r="D924">
        <v>0</v>
      </c>
      <c r="E924">
        <v>18</v>
      </c>
      <c r="F924" t="s">
        <v>262</v>
      </c>
      <c r="G924">
        <v>18</v>
      </c>
      <c r="H924" t="s">
        <v>18</v>
      </c>
      <c r="I924">
        <v>14</v>
      </c>
      <c r="J924">
        <v>28.2</v>
      </c>
      <c r="K924">
        <v>4</v>
      </c>
      <c r="L924">
        <v>4</v>
      </c>
      <c r="M924">
        <v>22</v>
      </c>
      <c r="N924" t="s">
        <v>504</v>
      </c>
    </row>
    <row r="925" spans="1:14" x14ac:dyDescent="0.35">
      <c r="A925" t="s">
        <v>735</v>
      </c>
      <c r="B925" t="s">
        <v>32</v>
      </c>
      <c r="C925" t="s">
        <v>16</v>
      </c>
      <c r="D925">
        <v>0</v>
      </c>
      <c r="E925">
        <v>22</v>
      </c>
      <c r="F925" t="s">
        <v>267</v>
      </c>
      <c r="G925">
        <v>18</v>
      </c>
      <c r="H925" t="s">
        <v>18</v>
      </c>
      <c r="I925">
        <v>10</v>
      </c>
      <c r="J925">
        <v>28.5</v>
      </c>
      <c r="K925">
        <v>4</v>
      </c>
      <c r="L925">
        <v>5</v>
      </c>
      <c r="M925">
        <v>23</v>
      </c>
      <c r="N925" t="s">
        <v>279</v>
      </c>
    </row>
    <row r="926" spans="1:14" x14ac:dyDescent="0.35">
      <c r="A926" t="s">
        <v>735</v>
      </c>
      <c r="B926" t="s">
        <v>269</v>
      </c>
      <c r="C926" t="s">
        <v>16</v>
      </c>
      <c r="D926">
        <v>4</v>
      </c>
      <c r="E926">
        <v>14</v>
      </c>
      <c r="F926" t="s">
        <v>411</v>
      </c>
      <c r="G926">
        <v>18</v>
      </c>
      <c r="H926" t="s">
        <v>18</v>
      </c>
      <c r="I926">
        <v>4</v>
      </c>
      <c r="J926">
        <v>26.9</v>
      </c>
      <c r="K926">
        <v>3</v>
      </c>
      <c r="L926">
        <v>2</v>
      </c>
      <c r="M926">
        <v>20</v>
      </c>
      <c r="N926" t="s">
        <v>410</v>
      </c>
    </row>
    <row r="927" spans="1:14" x14ac:dyDescent="0.35">
      <c r="A927" t="s">
        <v>735</v>
      </c>
      <c r="B927" t="s">
        <v>270</v>
      </c>
      <c r="C927" t="s">
        <v>16</v>
      </c>
      <c r="D927">
        <v>0</v>
      </c>
      <c r="E927">
        <v>19</v>
      </c>
      <c r="F927" t="s">
        <v>55</v>
      </c>
      <c r="G927">
        <v>18</v>
      </c>
      <c r="H927" t="s">
        <v>18</v>
      </c>
      <c r="I927">
        <v>3</v>
      </c>
      <c r="J927">
        <v>26.9</v>
      </c>
      <c r="K927">
        <v>2</v>
      </c>
      <c r="L927">
        <v>3</v>
      </c>
      <c r="M927">
        <v>21</v>
      </c>
      <c r="N927" t="s">
        <v>271</v>
      </c>
    </row>
    <row r="928" spans="1:14" x14ac:dyDescent="0.35">
      <c r="A928" t="s">
        <v>735</v>
      </c>
      <c r="B928" t="s">
        <v>273</v>
      </c>
      <c r="C928" t="s">
        <v>16</v>
      </c>
      <c r="D928">
        <v>1</v>
      </c>
      <c r="E928">
        <v>20</v>
      </c>
      <c r="F928" t="s">
        <v>414</v>
      </c>
      <c r="G928">
        <v>18</v>
      </c>
      <c r="H928" t="s">
        <v>18</v>
      </c>
      <c r="I928">
        <v>3</v>
      </c>
      <c r="J928">
        <v>28.7</v>
      </c>
      <c r="K928">
        <v>4</v>
      </c>
      <c r="L928">
        <v>3</v>
      </c>
      <c r="M928">
        <v>21</v>
      </c>
      <c r="N928" t="s">
        <v>505</v>
      </c>
    </row>
    <row r="929" spans="1:14" x14ac:dyDescent="0.35">
      <c r="A929" t="s">
        <v>735</v>
      </c>
      <c r="B929" t="s">
        <v>500</v>
      </c>
      <c r="C929" t="s">
        <v>29</v>
      </c>
      <c r="D929">
        <v>0</v>
      </c>
      <c r="E929">
        <v>20</v>
      </c>
      <c r="F929" t="s">
        <v>414</v>
      </c>
      <c r="G929">
        <v>18</v>
      </c>
      <c r="H929" t="s">
        <v>18</v>
      </c>
      <c r="I929">
        <v>20</v>
      </c>
      <c r="J929">
        <v>18.100000000000001</v>
      </c>
      <c r="K929">
        <v>0</v>
      </c>
      <c r="L929">
        <v>0</v>
      </c>
      <c r="M929">
        <v>18</v>
      </c>
      <c r="N929" t="s">
        <v>410</v>
      </c>
    </row>
    <row r="930" spans="1:14" x14ac:dyDescent="0.35">
      <c r="A930" t="s">
        <v>735</v>
      </c>
      <c r="B930" t="s">
        <v>274</v>
      </c>
      <c r="C930" t="s">
        <v>16</v>
      </c>
      <c r="D930">
        <v>3</v>
      </c>
      <c r="E930">
        <v>18</v>
      </c>
      <c r="F930" t="s">
        <v>504</v>
      </c>
      <c r="G930">
        <v>18</v>
      </c>
      <c r="H930" t="s">
        <v>18</v>
      </c>
      <c r="I930">
        <v>3</v>
      </c>
      <c r="J930">
        <v>29.8</v>
      </c>
      <c r="K930">
        <v>1</v>
      </c>
      <c r="L930">
        <v>3</v>
      </c>
      <c r="M930">
        <v>21</v>
      </c>
      <c r="N930" t="s">
        <v>413</v>
      </c>
    </row>
    <row r="931" spans="1:14" x14ac:dyDescent="0.35">
      <c r="A931" t="s">
        <v>735</v>
      </c>
      <c r="B931" t="s">
        <v>62</v>
      </c>
      <c r="C931" t="s">
        <v>16</v>
      </c>
      <c r="D931">
        <v>3</v>
      </c>
      <c r="E931">
        <v>18</v>
      </c>
      <c r="F931" t="s">
        <v>277</v>
      </c>
      <c r="G931">
        <v>18</v>
      </c>
      <c r="H931" t="s">
        <v>18</v>
      </c>
      <c r="I931">
        <v>2</v>
      </c>
      <c r="J931">
        <v>30.2</v>
      </c>
      <c r="K931">
        <v>4</v>
      </c>
      <c r="L931">
        <v>4</v>
      </c>
      <c r="M931">
        <v>22</v>
      </c>
      <c r="N931" t="s">
        <v>64</v>
      </c>
    </row>
    <row r="932" spans="1:14" x14ac:dyDescent="0.35">
      <c r="A932" t="s">
        <v>735</v>
      </c>
      <c r="B932" t="s">
        <v>274</v>
      </c>
      <c r="C932" t="s">
        <v>29</v>
      </c>
      <c r="D932">
        <v>2</v>
      </c>
      <c r="E932">
        <v>16</v>
      </c>
      <c r="F932" t="s">
        <v>46</v>
      </c>
      <c r="G932">
        <v>18</v>
      </c>
      <c r="H932" t="s">
        <v>18</v>
      </c>
      <c r="I932">
        <v>8</v>
      </c>
      <c r="J932">
        <v>18.399999999999999</v>
      </c>
      <c r="K932">
        <v>0</v>
      </c>
      <c r="L932">
        <v>0</v>
      </c>
      <c r="M932">
        <v>18</v>
      </c>
      <c r="N932" t="s">
        <v>577</v>
      </c>
    </row>
    <row r="933" spans="1:14" x14ac:dyDescent="0.35">
      <c r="A933" t="s">
        <v>735</v>
      </c>
      <c r="B933" t="s">
        <v>51</v>
      </c>
      <c r="C933" t="s">
        <v>16</v>
      </c>
      <c r="D933">
        <v>3</v>
      </c>
      <c r="E933">
        <v>18</v>
      </c>
      <c r="F933" t="s">
        <v>67</v>
      </c>
      <c r="G933">
        <v>18</v>
      </c>
      <c r="H933" t="s">
        <v>18</v>
      </c>
      <c r="I933">
        <v>2</v>
      </c>
      <c r="J933">
        <v>30.9</v>
      </c>
      <c r="K933">
        <v>3</v>
      </c>
      <c r="L933">
        <v>3</v>
      </c>
      <c r="M933">
        <v>21</v>
      </c>
      <c r="N933" t="s">
        <v>578</v>
      </c>
    </row>
    <row r="934" spans="1:14" x14ac:dyDescent="0.35">
      <c r="A934" t="s">
        <v>735</v>
      </c>
      <c r="B934" t="s">
        <v>65</v>
      </c>
      <c r="C934" t="s">
        <v>16</v>
      </c>
      <c r="D934">
        <v>3</v>
      </c>
      <c r="E934">
        <v>19</v>
      </c>
      <c r="F934" t="s">
        <v>415</v>
      </c>
      <c r="G934">
        <v>18</v>
      </c>
      <c r="H934" t="s">
        <v>18</v>
      </c>
      <c r="I934">
        <v>3</v>
      </c>
      <c r="J934">
        <v>33.1</v>
      </c>
      <c r="K934">
        <v>0</v>
      </c>
      <c r="L934">
        <v>0</v>
      </c>
      <c r="M934">
        <v>18</v>
      </c>
      <c r="N934" t="s">
        <v>75</v>
      </c>
    </row>
    <row r="935" spans="1:14" x14ac:dyDescent="0.35">
      <c r="A935" t="s">
        <v>735</v>
      </c>
      <c r="B935" t="s">
        <v>279</v>
      </c>
      <c r="C935" t="s">
        <v>16</v>
      </c>
      <c r="D935">
        <v>4</v>
      </c>
      <c r="E935">
        <v>14</v>
      </c>
      <c r="F935" t="s">
        <v>412</v>
      </c>
      <c r="G935">
        <v>18</v>
      </c>
      <c r="H935" t="s">
        <v>18</v>
      </c>
      <c r="I935">
        <v>8</v>
      </c>
      <c r="J935">
        <v>26.2</v>
      </c>
      <c r="K935">
        <v>1</v>
      </c>
      <c r="L935">
        <v>4</v>
      </c>
      <c r="M935">
        <v>22</v>
      </c>
      <c r="N935" t="s">
        <v>417</v>
      </c>
    </row>
    <row r="936" spans="1:14" x14ac:dyDescent="0.35">
      <c r="A936" t="s">
        <v>735</v>
      </c>
      <c r="B936" t="s">
        <v>507</v>
      </c>
      <c r="C936" t="s">
        <v>16</v>
      </c>
      <c r="D936">
        <v>0</v>
      </c>
      <c r="E936">
        <v>18</v>
      </c>
      <c r="F936" t="s">
        <v>275</v>
      </c>
      <c r="G936">
        <v>18</v>
      </c>
      <c r="H936" t="s">
        <v>18</v>
      </c>
      <c r="I936">
        <v>8</v>
      </c>
      <c r="J936">
        <v>25.3</v>
      </c>
      <c r="K936">
        <v>0</v>
      </c>
      <c r="L936">
        <v>0</v>
      </c>
      <c r="M936">
        <v>18</v>
      </c>
      <c r="N936" t="s">
        <v>282</v>
      </c>
    </row>
    <row r="937" spans="1:14" x14ac:dyDescent="0.35">
      <c r="A937" t="s">
        <v>735</v>
      </c>
      <c r="B937" t="s">
        <v>67</v>
      </c>
      <c r="C937" t="s">
        <v>29</v>
      </c>
      <c r="D937">
        <v>0</v>
      </c>
      <c r="E937">
        <v>18</v>
      </c>
      <c r="F937" t="s">
        <v>416</v>
      </c>
      <c r="G937">
        <v>18</v>
      </c>
      <c r="H937" t="s">
        <v>18</v>
      </c>
      <c r="I937">
        <v>31</v>
      </c>
      <c r="J937">
        <v>23.2</v>
      </c>
      <c r="K937">
        <v>0</v>
      </c>
      <c r="L937">
        <v>0</v>
      </c>
      <c r="M937">
        <v>18</v>
      </c>
      <c r="N937" t="s">
        <v>87</v>
      </c>
    </row>
    <row r="938" spans="1:14" x14ac:dyDescent="0.35">
      <c r="A938" t="s">
        <v>735</v>
      </c>
      <c r="B938" t="s">
        <v>413</v>
      </c>
      <c r="C938" t="s">
        <v>16</v>
      </c>
      <c r="D938">
        <v>0</v>
      </c>
      <c r="E938">
        <v>18</v>
      </c>
      <c r="F938" t="s">
        <v>286</v>
      </c>
      <c r="G938">
        <v>18</v>
      </c>
      <c r="H938" t="s">
        <v>18</v>
      </c>
      <c r="I938">
        <v>10</v>
      </c>
      <c r="J938">
        <v>29.2</v>
      </c>
      <c r="K938">
        <v>0</v>
      </c>
      <c r="L938">
        <v>0</v>
      </c>
      <c r="M938">
        <v>18</v>
      </c>
      <c r="N938" t="s">
        <v>94</v>
      </c>
    </row>
    <row r="939" spans="1:14" x14ac:dyDescent="0.35">
      <c r="A939" t="s">
        <v>735</v>
      </c>
      <c r="B939" t="s">
        <v>619</v>
      </c>
      <c r="C939" t="s">
        <v>16</v>
      </c>
      <c r="D939">
        <v>0</v>
      </c>
      <c r="E939">
        <v>22</v>
      </c>
      <c r="F939" t="s">
        <v>417</v>
      </c>
      <c r="G939">
        <v>18</v>
      </c>
      <c r="H939" t="s">
        <v>18</v>
      </c>
      <c r="I939">
        <v>5</v>
      </c>
      <c r="J939">
        <v>31.4</v>
      </c>
      <c r="K939">
        <v>0</v>
      </c>
      <c r="L939">
        <v>0</v>
      </c>
      <c r="M939">
        <v>18</v>
      </c>
      <c r="N939" t="s">
        <v>580</v>
      </c>
    </row>
    <row r="940" spans="1:14" x14ac:dyDescent="0.35">
      <c r="A940" t="s">
        <v>735</v>
      </c>
      <c r="B940" t="s">
        <v>287</v>
      </c>
      <c r="C940" t="s">
        <v>16</v>
      </c>
      <c r="D940">
        <v>4</v>
      </c>
      <c r="E940">
        <v>17</v>
      </c>
      <c r="F940" t="s">
        <v>79</v>
      </c>
      <c r="G940">
        <v>18</v>
      </c>
      <c r="H940" t="s">
        <v>18</v>
      </c>
      <c r="I940">
        <v>2</v>
      </c>
      <c r="J940">
        <v>30.4</v>
      </c>
      <c r="K940">
        <v>4</v>
      </c>
      <c r="L940">
        <v>4</v>
      </c>
      <c r="M940">
        <v>22</v>
      </c>
      <c r="N940" t="s">
        <v>81</v>
      </c>
    </row>
    <row r="941" spans="1:14" x14ac:dyDescent="0.35">
      <c r="A941" t="s">
        <v>735</v>
      </c>
      <c r="B941" t="s">
        <v>644</v>
      </c>
      <c r="C941" t="s">
        <v>16</v>
      </c>
      <c r="D941">
        <v>3</v>
      </c>
      <c r="E941">
        <v>16</v>
      </c>
      <c r="F941" t="s">
        <v>288</v>
      </c>
      <c r="G941">
        <v>18</v>
      </c>
      <c r="H941" t="s">
        <v>18</v>
      </c>
      <c r="I941">
        <v>1</v>
      </c>
      <c r="J941">
        <v>31.9</v>
      </c>
      <c r="K941">
        <v>3</v>
      </c>
      <c r="L941">
        <v>3</v>
      </c>
      <c r="M941">
        <v>21</v>
      </c>
      <c r="N941" t="s">
        <v>99</v>
      </c>
    </row>
    <row r="942" spans="1:14" x14ac:dyDescent="0.35">
      <c r="A942" t="s">
        <v>735</v>
      </c>
      <c r="B942" t="s">
        <v>80</v>
      </c>
      <c r="C942" t="s">
        <v>16</v>
      </c>
      <c r="D942">
        <v>1</v>
      </c>
      <c r="E942">
        <v>17</v>
      </c>
      <c r="F942" t="s">
        <v>292</v>
      </c>
      <c r="G942">
        <v>18</v>
      </c>
      <c r="H942" t="s">
        <v>18</v>
      </c>
      <c r="I942">
        <v>6</v>
      </c>
      <c r="J942">
        <v>26.8</v>
      </c>
      <c r="K942">
        <v>3</v>
      </c>
      <c r="L942">
        <v>5</v>
      </c>
      <c r="M942">
        <v>23</v>
      </c>
      <c r="N942" t="s">
        <v>291</v>
      </c>
    </row>
    <row r="943" spans="1:14" x14ac:dyDescent="0.35">
      <c r="A943" t="s">
        <v>735</v>
      </c>
      <c r="B943" t="s">
        <v>71</v>
      </c>
      <c r="C943" t="s">
        <v>29</v>
      </c>
      <c r="D943">
        <v>0</v>
      </c>
      <c r="E943">
        <v>18</v>
      </c>
      <c r="F943" t="s">
        <v>292</v>
      </c>
      <c r="G943">
        <v>18</v>
      </c>
      <c r="H943" t="s">
        <v>18</v>
      </c>
      <c r="I943">
        <v>15</v>
      </c>
      <c r="J943">
        <v>16.899999999999999</v>
      </c>
      <c r="K943">
        <v>1</v>
      </c>
      <c r="L943">
        <v>4</v>
      </c>
      <c r="M943">
        <v>22</v>
      </c>
      <c r="N943" t="s">
        <v>296</v>
      </c>
    </row>
    <row r="944" spans="1:14" x14ac:dyDescent="0.35">
      <c r="A944" t="s">
        <v>735</v>
      </c>
      <c r="B944" t="s">
        <v>419</v>
      </c>
      <c r="C944" t="s">
        <v>16</v>
      </c>
      <c r="D944">
        <v>0</v>
      </c>
      <c r="E944">
        <v>18</v>
      </c>
      <c r="F944" t="s">
        <v>293</v>
      </c>
      <c r="G944">
        <v>18</v>
      </c>
      <c r="H944" t="s">
        <v>18</v>
      </c>
      <c r="I944">
        <v>3</v>
      </c>
      <c r="J944">
        <v>26.5</v>
      </c>
      <c r="K944">
        <v>1</v>
      </c>
      <c r="L944">
        <v>4</v>
      </c>
      <c r="M944">
        <v>22</v>
      </c>
      <c r="N944" t="s">
        <v>101</v>
      </c>
    </row>
    <row r="945" spans="1:14" x14ac:dyDescent="0.35">
      <c r="A945" t="s">
        <v>735</v>
      </c>
      <c r="B945" t="s">
        <v>88</v>
      </c>
      <c r="C945" t="s">
        <v>16</v>
      </c>
      <c r="D945">
        <v>0</v>
      </c>
      <c r="E945">
        <v>19</v>
      </c>
      <c r="F945" t="s">
        <v>76</v>
      </c>
      <c r="G945">
        <v>18</v>
      </c>
      <c r="H945" t="s">
        <v>18</v>
      </c>
      <c r="I945">
        <v>4</v>
      </c>
      <c r="J945">
        <v>27.6</v>
      </c>
      <c r="K945">
        <v>0</v>
      </c>
      <c r="L945">
        <v>0</v>
      </c>
      <c r="M945">
        <v>18</v>
      </c>
      <c r="N945" t="s">
        <v>645</v>
      </c>
    </row>
    <row r="946" spans="1:14" x14ac:dyDescent="0.35">
      <c r="A946" t="s">
        <v>735</v>
      </c>
      <c r="B946" t="s">
        <v>419</v>
      </c>
      <c r="C946" t="s">
        <v>29</v>
      </c>
      <c r="D946">
        <v>0</v>
      </c>
      <c r="E946">
        <v>18</v>
      </c>
      <c r="F946" t="s">
        <v>96</v>
      </c>
      <c r="G946">
        <v>18</v>
      </c>
      <c r="H946" t="s">
        <v>18</v>
      </c>
      <c r="I946">
        <v>11</v>
      </c>
      <c r="J946">
        <v>19.600000000000001</v>
      </c>
      <c r="K946">
        <v>0</v>
      </c>
      <c r="L946">
        <v>0</v>
      </c>
      <c r="M946">
        <v>18</v>
      </c>
      <c r="N946" t="s">
        <v>92</v>
      </c>
    </row>
    <row r="947" spans="1:14" x14ac:dyDescent="0.35">
      <c r="A947" t="s">
        <v>735</v>
      </c>
      <c r="B947" t="s">
        <v>420</v>
      </c>
      <c r="C947" t="s">
        <v>16</v>
      </c>
      <c r="D947">
        <v>1</v>
      </c>
      <c r="E947">
        <v>20</v>
      </c>
      <c r="F947" t="s">
        <v>74</v>
      </c>
      <c r="G947">
        <v>18</v>
      </c>
      <c r="H947" t="s">
        <v>18</v>
      </c>
      <c r="I947">
        <v>4</v>
      </c>
      <c r="J947">
        <v>26.5</v>
      </c>
      <c r="K947">
        <v>1</v>
      </c>
      <c r="L947">
        <v>2</v>
      </c>
      <c r="M947">
        <v>20</v>
      </c>
      <c r="N947" t="s">
        <v>424</v>
      </c>
    </row>
    <row r="948" spans="1:14" x14ac:dyDescent="0.35">
      <c r="A948" t="s">
        <v>735</v>
      </c>
      <c r="B948" t="s">
        <v>98</v>
      </c>
      <c r="C948" t="s">
        <v>16</v>
      </c>
      <c r="D948">
        <v>3</v>
      </c>
      <c r="E948">
        <v>15</v>
      </c>
      <c r="F948" t="s">
        <v>99</v>
      </c>
      <c r="G948">
        <v>18</v>
      </c>
      <c r="H948" t="s">
        <v>18</v>
      </c>
      <c r="I948">
        <v>9</v>
      </c>
      <c r="J948">
        <v>30.2</v>
      </c>
      <c r="K948">
        <v>1</v>
      </c>
      <c r="L948">
        <v>3</v>
      </c>
      <c r="M948">
        <v>21</v>
      </c>
      <c r="N948" t="s">
        <v>100</v>
      </c>
    </row>
    <row r="949" spans="1:14" x14ac:dyDescent="0.35">
      <c r="A949" t="s">
        <v>735</v>
      </c>
      <c r="B949" t="s">
        <v>84</v>
      </c>
      <c r="C949" t="s">
        <v>16</v>
      </c>
      <c r="D949">
        <v>0</v>
      </c>
      <c r="E949">
        <v>19</v>
      </c>
      <c r="F949" t="s">
        <v>579</v>
      </c>
      <c r="G949">
        <v>18</v>
      </c>
      <c r="H949" t="s">
        <v>18</v>
      </c>
      <c r="I949">
        <v>10</v>
      </c>
      <c r="J949">
        <v>33.799999999999997</v>
      </c>
      <c r="K949">
        <v>2</v>
      </c>
      <c r="L949">
        <v>4</v>
      </c>
      <c r="M949">
        <v>22</v>
      </c>
      <c r="N949" t="s">
        <v>682</v>
      </c>
    </row>
    <row r="950" spans="1:14" x14ac:dyDescent="0.35">
      <c r="A950" t="s">
        <v>735</v>
      </c>
      <c r="B950" t="s">
        <v>295</v>
      </c>
      <c r="C950" t="s">
        <v>29</v>
      </c>
      <c r="D950">
        <v>0</v>
      </c>
      <c r="E950">
        <v>19</v>
      </c>
      <c r="F950" t="s">
        <v>104</v>
      </c>
      <c r="G950">
        <v>18</v>
      </c>
      <c r="H950" t="s">
        <v>18</v>
      </c>
      <c r="I950">
        <v>28</v>
      </c>
      <c r="J950">
        <v>19.5</v>
      </c>
      <c r="K950">
        <v>4</v>
      </c>
      <c r="L950">
        <v>4</v>
      </c>
      <c r="M950">
        <v>22</v>
      </c>
      <c r="N950" t="s">
        <v>510</v>
      </c>
    </row>
    <row r="951" spans="1:14" x14ac:dyDescent="0.35">
      <c r="A951" t="s">
        <v>735</v>
      </c>
      <c r="B951" t="s">
        <v>95</v>
      </c>
      <c r="C951" t="s">
        <v>16</v>
      </c>
      <c r="D951">
        <v>1</v>
      </c>
      <c r="E951">
        <v>17</v>
      </c>
      <c r="F951" t="s">
        <v>421</v>
      </c>
      <c r="G951">
        <v>18</v>
      </c>
      <c r="H951" t="s">
        <v>18</v>
      </c>
      <c r="I951">
        <v>8</v>
      </c>
      <c r="J951">
        <v>32.200000000000003</v>
      </c>
      <c r="K951">
        <v>4</v>
      </c>
      <c r="L951">
        <v>3</v>
      </c>
      <c r="M951">
        <v>21</v>
      </c>
      <c r="N951" t="s">
        <v>515</v>
      </c>
    </row>
    <row r="952" spans="1:14" x14ac:dyDescent="0.35">
      <c r="A952" t="s">
        <v>735</v>
      </c>
      <c r="B952" t="s">
        <v>422</v>
      </c>
      <c r="C952" t="s">
        <v>16</v>
      </c>
      <c r="D952">
        <v>0</v>
      </c>
      <c r="E952">
        <v>19</v>
      </c>
      <c r="F952" t="s">
        <v>425</v>
      </c>
      <c r="G952">
        <v>18</v>
      </c>
      <c r="H952" t="s">
        <v>18</v>
      </c>
      <c r="I952">
        <v>18</v>
      </c>
      <c r="J952">
        <v>30.7</v>
      </c>
      <c r="K952">
        <v>2</v>
      </c>
      <c r="L952">
        <v>1</v>
      </c>
      <c r="M952">
        <v>19</v>
      </c>
      <c r="N952" t="s">
        <v>426</v>
      </c>
    </row>
    <row r="953" spans="1:14" x14ac:dyDescent="0.35">
      <c r="A953" t="s">
        <v>735</v>
      </c>
      <c r="B953" t="s">
        <v>105</v>
      </c>
      <c r="C953" t="s">
        <v>16</v>
      </c>
      <c r="D953">
        <v>1</v>
      </c>
      <c r="E953">
        <v>18</v>
      </c>
      <c r="F953" t="s">
        <v>582</v>
      </c>
      <c r="G953">
        <v>18</v>
      </c>
      <c r="H953" t="s">
        <v>18</v>
      </c>
      <c r="I953">
        <v>22</v>
      </c>
      <c r="J953">
        <v>31</v>
      </c>
      <c r="K953">
        <v>2</v>
      </c>
      <c r="L953">
        <v>3</v>
      </c>
      <c r="M953">
        <v>21</v>
      </c>
      <c r="N953" t="s">
        <v>736</v>
      </c>
    </row>
    <row r="954" spans="1:14" x14ac:dyDescent="0.35">
      <c r="A954" t="s">
        <v>735</v>
      </c>
      <c r="B954" t="s">
        <v>307</v>
      </c>
      <c r="C954" t="s">
        <v>16</v>
      </c>
      <c r="D954">
        <v>1</v>
      </c>
      <c r="E954">
        <v>18</v>
      </c>
      <c r="F954" t="s">
        <v>310</v>
      </c>
      <c r="G954">
        <v>18</v>
      </c>
      <c r="H954" t="s">
        <v>18</v>
      </c>
      <c r="I954">
        <v>22</v>
      </c>
      <c r="J954">
        <v>29.6</v>
      </c>
      <c r="K954">
        <v>0</v>
      </c>
      <c r="L954">
        <v>0</v>
      </c>
      <c r="M954">
        <v>18</v>
      </c>
      <c r="N954" t="s">
        <v>684</v>
      </c>
    </row>
    <row r="955" spans="1:14" x14ac:dyDescent="0.35">
      <c r="A955" t="s">
        <v>735</v>
      </c>
      <c r="B955" t="s">
        <v>312</v>
      </c>
      <c r="C955" t="s">
        <v>16</v>
      </c>
      <c r="D955">
        <v>1</v>
      </c>
      <c r="E955">
        <v>17</v>
      </c>
      <c r="F955" t="s">
        <v>737</v>
      </c>
      <c r="G955">
        <v>18</v>
      </c>
      <c r="H955" t="s">
        <v>18</v>
      </c>
      <c r="I955">
        <v>13</v>
      </c>
      <c r="J955">
        <v>32.9</v>
      </c>
      <c r="K955">
        <v>2</v>
      </c>
      <c r="L955">
        <v>3</v>
      </c>
      <c r="M955">
        <v>21</v>
      </c>
      <c r="N955" t="s">
        <v>318</v>
      </c>
    </row>
    <row r="956" spans="1:14" x14ac:dyDescent="0.35">
      <c r="A956" t="s">
        <v>735</v>
      </c>
      <c r="B956" t="s">
        <v>106</v>
      </c>
      <c r="C956" t="s">
        <v>29</v>
      </c>
      <c r="D956">
        <v>1</v>
      </c>
      <c r="E956">
        <v>17</v>
      </c>
      <c r="F956" t="s">
        <v>737</v>
      </c>
      <c r="G956">
        <v>18</v>
      </c>
      <c r="H956" t="s">
        <v>18</v>
      </c>
      <c r="I956">
        <v>83</v>
      </c>
      <c r="J956">
        <v>21.7</v>
      </c>
      <c r="K956">
        <v>3</v>
      </c>
      <c r="L956">
        <v>1</v>
      </c>
      <c r="M956">
        <v>19</v>
      </c>
      <c r="N956" t="s">
        <v>685</v>
      </c>
    </row>
    <row r="957" spans="1:14" x14ac:dyDescent="0.35">
      <c r="A957" t="s">
        <v>735</v>
      </c>
      <c r="B957" t="s">
        <v>517</v>
      </c>
      <c r="C957" t="s">
        <v>16</v>
      </c>
      <c r="D957">
        <v>0</v>
      </c>
      <c r="E957">
        <v>18</v>
      </c>
      <c r="F957" t="s">
        <v>317</v>
      </c>
      <c r="G957">
        <v>18</v>
      </c>
      <c r="H957" t="s">
        <v>18</v>
      </c>
      <c r="I957">
        <v>28</v>
      </c>
      <c r="J957">
        <v>29.5</v>
      </c>
      <c r="K957">
        <v>4</v>
      </c>
      <c r="L957">
        <v>1</v>
      </c>
      <c r="M957">
        <v>19</v>
      </c>
      <c r="N957" t="s">
        <v>439</v>
      </c>
    </row>
    <row r="958" spans="1:14" x14ac:dyDescent="0.35">
      <c r="A958" t="s">
        <v>735</v>
      </c>
      <c r="B958" t="s">
        <v>738</v>
      </c>
      <c r="C958" t="s">
        <v>16</v>
      </c>
      <c r="D958">
        <v>0</v>
      </c>
      <c r="E958">
        <v>21</v>
      </c>
      <c r="F958" t="s">
        <v>128</v>
      </c>
      <c r="G958">
        <v>18</v>
      </c>
      <c r="H958" t="s">
        <v>18</v>
      </c>
      <c r="I958">
        <v>12</v>
      </c>
      <c r="J958">
        <v>27.8</v>
      </c>
      <c r="K958">
        <v>2</v>
      </c>
      <c r="L958">
        <v>4</v>
      </c>
      <c r="M958">
        <v>22</v>
      </c>
      <c r="N958" t="s">
        <v>149</v>
      </c>
    </row>
    <row r="959" spans="1:14" x14ac:dyDescent="0.35">
      <c r="A959" t="s">
        <v>735</v>
      </c>
      <c r="B959" t="s">
        <v>428</v>
      </c>
      <c r="C959" t="s">
        <v>29</v>
      </c>
      <c r="D959">
        <v>0</v>
      </c>
      <c r="E959">
        <v>20</v>
      </c>
      <c r="F959" t="s">
        <v>129</v>
      </c>
      <c r="G959">
        <v>18</v>
      </c>
      <c r="H959" t="s">
        <v>18</v>
      </c>
      <c r="I959">
        <v>42</v>
      </c>
      <c r="J959">
        <v>23.4</v>
      </c>
      <c r="K959">
        <v>1</v>
      </c>
      <c r="L959">
        <v>4</v>
      </c>
      <c r="M959">
        <v>22</v>
      </c>
      <c r="N959" t="s">
        <v>149</v>
      </c>
    </row>
    <row r="960" spans="1:14" x14ac:dyDescent="0.35">
      <c r="A960" t="s">
        <v>735</v>
      </c>
      <c r="B960" t="s">
        <v>435</v>
      </c>
      <c r="C960" t="s">
        <v>16</v>
      </c>
      <c r="D960">
        <v>3</v>
      </c>
      <c r="E960">
        <v>15</v>
      </c>
      <c r="F960" t="s">
        <v>132</v>
      </c>
      <c r="G960">
        <v>18</v>
      </c>
      <c r="H960" t="s">
        <v>18</v>
      </c>
      <c r="I960">
        <v>5</v>
      </c>
      <c r="J960">
        <v>31.3</v>
      </c>
      <c r="K960">
        <v>1</v>
      </c>
      <c r="L960">
        <v>1</v>
      </c>
      <c r="M960">
        <v>19</v>
      </c>
      <c r="N960" t="s">
        <v>438</v>
      </c>
    </row>
    <row r="961" spans="1:14" x14ac:dyDescent="0.35">
      <c r="A961" t="s">
        <v>735</v>
      </c>
      <c r="B961" t="s">
        <v>134</v>
      </c>
      <c r="C961" t="s">
        <v>16</v>
      </c>
      <c r="D961">
        <v>0</v>
      </c>
      <c r="E961">
        <v>18</v>
      </c>
      <c r="F961" t="s">
        <v>135</v>
      </c>
      <c r="G961">
        <v>18</v>
      </c>
      <c r="H961" t="s">
        <v>18</v>
      </c>
      <c r="I961">
        <v>4</v>
      </c>
      <c r="J961">
        <v>30.7</v>
      </c>
      <c r="K961">
        <v>2</v>
      </c>
      <c r="L961">
        <v>6</v>
      </c>
      <c r="M961">
        <v>24</v>
      </c>
      <c r="N961" t="s">
        <v>152</v>
      </c>
    </row>
    <row r="962" spans="1:14" x14ac:dyDescent="0.35">
      <c r="A962" t="s">
        <v>735</v>
      </c>
      <c r="B962" t="s">
        <v>138</v>
      </c>
      <c r="C962" t="s">
        <v>16</v>
      </c>
      <c r="D962">
        <v>0</v>
      </c>
      <c r="E962">
        <v>21</v>
      </c>
      <c r="F962" t="s">
        <v>521</v>
      </c>
      <c r="G962">
        <v>18</v>
      </c>
      <c r="H962" t="s">
        <v>18</v>
      </c>
      <c r="I962">
        <v>3</v>
      </c>
      <c r="J962">
        <v>26</v>
      </c>
      <c r="K962">
        <v>0</v>
      </c>
      <c r="L962">
        <v>0</v>
      </c>
      <c r="M962">
        <v>18</v>
      </c>
      <c r="N962" t="s">
        <v>152</v>
      </c>
    </row>
    <row r="963" spans="1:14" x14ac:dyDescent="0.35">
      <c r="A963" t="s">
        <v>735</v>
      </c>
      <c r="B963" t="s">
        <v>439</v>
      </c>
      <c r="C963" t="s">
        <v>16</v>
      </c>
      <c r="D963">
        <v>3</v>
      </c>
      <c r="E963">
        <v>23</v>
      </c>
      <c r="F963" t="s">
        <v>144</v>
      </c>
      <c r="G963">
        <v>18</v>
      </c>
      <c r="H963" t="s">
        <v>18</v>
      </c>
      <c r="I963">
        <v>3</v>
      </c>
      <c r="J963">
        <v>29.5</v>
      </c>
      <c r="K963">
        <v>1</v>
      </c>
      <c r="L963">
        <v>3</v>
      </c>
      <c r="M963">
        <v>21</v>
      </c>
      <c r="N963" t="s">
        <v>325</v>
      </c>
    </row>
    <row r="964" spans="1:14" x14ac:dyDescent="0.35">
      <c r="A964" t="s">
        <v>735</v>
      </c>
      <c r="B964" t="s">
        <v>131</v>
      </c>
      <c r="C964" t="s">
        <v>29</v>
      </c>
      <c r="D964">
        <v>2</v>
      </c>
      <c r="E964">
        <v>18</v>
      </c>
      <c r="F964" t="s">
        <v>526</v>
      </c>
      <c r="G964">
        <v>18</v>
      </c>
      <c r="H964" t="s">
        <v>18</v>
      </c>
      <c r="I964">
        <v>15</v>
      </c>
      <c r="J964">
        <v>21.7</v>
      </c>
      <c r="K964">
        <v>0</v>
      </c>
      <c r="L964">
        <v>0</v>
      </c>
      <c r="M964">
        <v>18</v>
      </c>
      <c r="N964" t="s">
        <v>152</v>
      </c>
    </row>
    <row r="965" spans="1:14" x14ac:dyDescent="0.35">
      <c r="A965" t="s">
        <v>735</v>
      </c>
      <c r="B965" t="s">
        <v>526</v>
      </c>
      <c r="C965" t="s">
        <v>16</v>
      </c>
      <c r="D965">
        <v>8</v>
      </c>
      <c r="E965">
        <v>13</v>
      </c>
      <c r="F965" t="s">
        <v>522</v>
      </c>
      <c r="G965">
        <v>18</v>
      </c>
      <c r="H965" t="s">
        <v>18</v>
      </c>
      <c r="I965">
        <v>1</v>
      </c>
      <c r="J965">
        <v>26.4</v>
      </c>
      <c r="K965">
        <v>1</v>
      </c>
      <c r="L965">
        <v>3</v>
      </c>
      <c r="M965">
        <v>21</v>
      </c>
      <c r="N965" t="s">
        <v>140</v>
      </c>
    </row>
    <row r="966" spans="1:14" x14ac:dyDescent="0.35">
      <c r="A966" t="s">
        <v>735</v>
      </c>
      <c r="B966" t="s">
        <v>145</v>
      </c>
      <c r="C966" t="s">
        <v>16</v>
      </c>
      <c r="D966">
        <v>3</v>
      </c>
      <c r="E966">
        <v>19</v>
      </c>
      <c r="F966" t="s">
        <v>524</v>
      </c>
      <c r="G966">
        <v>18</v>
      </c>
      <c r="H966" t="s">
        <v>18</v>
      </c>
      <c r="I966">
        <v>3</v>
      </c>
      <c r="J966">
        <v>30.2</v>
      </c>
      <c r="K966">
        <v>4</v>
      </c>
      <c r="L966">
        <v>5</v>
      </c>
      <c r="M966">
        <v>23</v>
      </c>
      <c r="N966" t="s">
        <v>159</v>
      </c>
    </row>
    <row r="967" spans="1:14" x14ac:dyDescent="0.35">
      <c r="A967" t="s">
        <v>735</v>
      </c>
      <c r="B967" t="s">
        <v>319</v>
      </c>
      <c r="C967" t="s">
        <v>16</v>
      </c>
      <c r="D967">
        <v>4</v>
      </c>
      <c r="E967">
        <v>16</v>
      </c>
      <c r="F967" t="s">
        <v>437</v>
      </c>
      <c r="G967">
        <v>18</v>
      </c>
      <c r="H967" t="s">
        <v>18</v>
      </c>
      <c r="I967">
        <v>8</v>
      </c>
      <c r="J967">
        <v>31.9</v>
      </c>
      <c r="K967">
        <v>1</v>
      </c>
      <c r="L967">
        <v>4</v>
      </c>
      <c r="M967">
        <v>22</v>
      </c>
      <c r="N967" t="s">
        <v>331</v>
      </c>
    </row>
    <row r="968" spans="1:14" x14ac:dyDescent="0.35">
      <c r="A968" t="s">
        <v>735</v>
      </c>
      <c r="B968" t="s">
        <v>133</v>
      </c>
      <c r="C968" t="s">
        <v>16</v>
      </c>
      <c r="D968">
        <v>2</v>
      </c>
      <c r="E968">
        <v>16</v>
      </c>
      <c r="F968" t="s">
        <v>325</v>
      </c>
      <c r="G968">
        <v>18</v>
      </c>
      <c r="H968" t="s">
        <v>18</v>
      </c>
      <c r="I968">
        <v>13</v>
      </c>
      <c r="J968">
        <v>23.7</v>
      </c>
      <c r="K968">
        <v>4</v>
      </c>
      <c r="L968">
        <v>4</v>
      </c>
      <c r="M968">
        <v>22</v>
      </c>
      <c r="N968" t="s">
        <v>168</v>
      </c>
    </row>
    <row r="969" spans="1:14" x14ac:dyDescent="0.35">
      <c r="A969" t="s">
        <v>735</v>
      </c>
      <c r="B969" t="s">
        <v>522</v>
      </c>
      <c r="C969" t="s">
        <v>29</v>
      </c>
      <c r="D969">
        <v>2</v>
      </c>
      <c r="E969">
        <v>16</v>
      </c>
      <c r="F969" t="s">
        <v>739</v>
      </c>
      <c r="G969">
        <v>18</v>
      </c>
      <c r="H969" t="s">
        <v>18</v>
      </c>
      <c r="I969">
        <v>29</v>
      </c>
      <c r="J969">
        <v>27.5</v>
      </c>
      <c r="K969">
        <v>3</v>
      </c>
      <c r="L969">
        <v>4</v>
      </c>
      <c r="M969">
        <v>22</v>
      </c>
      <c r="N969" t="s">
        <v>171</v>
      </c>
    </row>
    <row r="970" spans="1:14" x14ac:dyDescent="0.35">
      <c r="A970" t="s">
        <v>735</v>
      </c>
      <c r="B970" t="s">
        <v>739</v>
      </c>
      <c r="C970" t="s">
        <v>16</v>
      </c>
      <c r="D970">
        <v>0</v>
      </c>
      <c r="E970">
        <v>21</v>
      </c>
      <c r="F970" t="s">
        <v>444</v>
      </c>
      <c r="G970">
        <v>18</v>
      </c>
      <c r="H970" t="s">
        <v>18</v>
      </c>
      <c r="I970">
        <v>10</v>
      </c>
      <c r="J970">
        <v>26.4</v>
      </c>
      <c r="K970">
        <v>2</v>
      </c>
      <c r="L970">
        <v>3</v>
      </c>
      <c r="M970">
        <v>21</v>
      </c>
      <c r="N970" t="s">
        <v>339</v>
      </c>
    </row>
    <row r="971" spans="1:14" x14ac:dyDescent="0.35">
      <c r="A971" t="s">
        <v>735</v>
      </c>
      <c r="B971" t="s">
        <v>441</v>
      </c>
      <c r="C971" t="s">
        <v>16</v>
      </c>
      <c r="D971">
        <v>3</v>
      </c>
      <c r="E971">
        <v>15</v>
      </c>
      <c r="F971" t="s">
        <v>329</v>
      </c>
      <c r="G971">
        <v>18</v>
      </c>
      <c r="H971" t="s">
        <v>18</v>
      </c>
      <c r="I971">
        <v>3</v>
      </c>
      <c r="J971">
        <v>26.8</v>
      </c>
      <c r="K971">
        <v>3</v>
      </c>
      <c r="L971">
        <v>3</v>
      </c>
      <c r="M971">
        <v>21</v>
      </c>
      <c r="N971" t="s">
        <v>445</v>
      </c>
    </row>
    <row r="972" spans="1:14" x14ac:dyDescent="0.35">
      <c r="A972" t="s">
        <v>735</v>
      </c>
      <c r="B972" t="s">
        <v>331</v>
      </c>
      <c r="C972" t="s">
        <v>16</v>
      </c>
      <c r="D972">
        <v>0</v>
      </c>
      <c r="E972">
        <v>19</v>
      </c>
      <c r="F972" t="s">
        <v>165</v>
      </c>
      <c r="G972">
        <v>18</v>
      </c>
      <c r="H972" t="s">
        <v>18</v>
      </c>
      <c r="I972">
        <v>2</v>
      </c>
      <c r="J972">
        <v>29.6</v>
      </c>
      <c r="K972">
        <v>0</v>
      </c>
      <c r="L972">
        <v>0</v>
      </c>
      <c r="M972">
        <v>18</v>
      </c>
      <c r="N972" t="s">
        <v>164</v>
      </c>
    </row>
    <row r="973" spans="1:14" x14ac:dyDescent="0.35">
      <c r="A973" t="s">
        <v>735</v>
      </c>
      <c r="B973" t="s">
        <v>153</v>
      </c>
      <c r="C973" t="s">
        <v>16</v>
      </c>
      <c r="D973">
        <v>1</v>
      </c>
      <c r="E973">
        <v>20</v>
      </c>
      <c r="F973" t="s">
        <v>333</v>
      </c>
      <c r="G973">
        <v>18</v>
      </c>
      <c r="H973" t="s">
        <v>18</v>
      </c>
      <c r="I973">
        <v>4</v>
      </c>
      <c r="J973">
        <v>28.2</v>
      </c>
      <c r="K973">
        <v>1</v>
      </c>
      <c r="L973">
        <v>5</v>
      </c>
      <c r="M973">
        <v>23</v>
      </c>
      <c r="N973" t="s">
        <v>340</v>
      </c>
    </row>
    <row r="974" spans="1:14" x14ac:dyDescent="0.35">
      <c r="A974" t="s">
        <v>735</v>
      </c>
      <c r="B974" t="s">
        <v>150</v>
      </c>
      <c r="C974" t="s">
        <v>29</v>
      </c>
      <c r="D974">
        <v>0</v>
      </c>
      <c r="E974">
        <v>17</v>
      </c>
      <c r="F974" t="s">
        <v>448</v>
      </c>
      <c r="G974">
        <v>17</v>
      </c>
      <c r="H974" t="s">
        <v>157</v>
      </c>
      <c r="I974">
        <v>15</v>
      </c>
      <c r="J974">
        <v>16.3</v>
      </c>
      <c r="K974">
        <v>4</v>
      </c>
      <c r="L974">
        <v>5</v>
      </c>
      <c r="M974">
        <v>22</v>
      </c>
      <c r="N974" t="s">
        <v>445</v>
      </c>
    </row>
    <row r="975" spans="1:14" x14ac:dyDescent="0.35">
      <c r="A975" t="s">
        <v>735</v>
      </c>
      <c r="B975" t="s">
        <v>335</v>
      </c>
      <c r="C975" t="s">
        <v>16</v>
      </c>
      <c r="D975">
        <v>3</v>
      </c>
      <c r="E975">
        <v>18</v>
      </c>
      <c r="F975" t="s">
        <v>169</v>
      </c>
      <c r="G975">
        <v>18</v>
      </c>
      <c r="H975" t="s">
        <v>18</v>
      </c>
      <c r="I975">
        <v>3</v>
      </c>
      <c r="J975">
        <v>29.6</v>
      </c>
      <c r="K975">
        <v>0</v>
      </c>
      <c r="L975">
        <v>0</v>
      </c>
      <c r="M975">
        <v>18</v>
      </c>
      <c r="N975" t="s">
        <v>451</v>
      </c>
    </row>
    <row r="976" spans="1:14" x14ac:dyDescent="0.35">
      <c r="A976" t="s">
        <v>735</v>
      </c>
      <c r="B976" t="s">
        <v>171</v>
      </c>
      <c r="C976" t="s">
        <v>16</v>
      </c>
      <c r="D976">
        <v>3</v>
      </c>
      <c r="E976">
        <v>15</v>
      </c>
      <c r="F976" t="s">
        <v>158</v>
      </c>
      <c r="G976">
        <v>18</v>
      </c>
      <c r="H976" t="s">
        <v>18</v>
      </c>
      <c r="I976">
        <v>2</v>
      </c>
      <c r="J976">
        <v>29.5</v>
      </c>
      <c r="K976">
        <v>4</v>
      </c>
      <c r="L976">
        <v>2</v>
      </c>
      <c r="M976">
        <v>20</v>
      </c>
      <c r="N976" t="s">
        <v>174</v>
      </c>
    </row>
    <row r="977" spans="1:14" x14ac:dyDescent="0.35">
      <c r="A977" t="s">
        <v>735</v>
      </c>
      <c r="B977" t="s">
        <v>175</v>
      </c>
      <c r="C977" t="s">
        <v>16</v>
      </c>
      <c r="D977">
        <v>0</v>
      </c>
      <c r="E977">
        <v>21</v>
      </c>
      <c r="F977" t="s">
        <v>154</v>
      </c>
      <c r="G977">
        <v>18</v>
      </c>
      <c r="H977" t="s">
        <v>18</v>
      </c>
      <c r="I977">
        <v>3</v>
      </c>
      <c r="J977">
        <v>28.3</v>
      </c>
      <c r="K977">
        <v>1</v>
      </c>
      <c r="L977">
        <v>5</v>
      </c>
      <c r="M977">
        <v>23</v>
      </c>
      <c r="N977" t="s">
        <v>338</v>
      </c>
    </row>
    <row r="978" spans="1:14" x14ac:dyDescent="0.35">
      <c r="A978" t="s">
        <v>735</v>
      </c>
      <c r="B978" t="s">
        <v>176</v>
      </c>
      <c r="C978" t="s">
        <v>16</v>
      </c>
      <c r="D978">
        <v>3</v>
      </c>
      <c r="E978">
        <v>15</v>
      </c>
      <c r="F978" t="s">
        <v>529</v>
      </c>
      <c r="G978">
        <v>18</v>
      </c>
      <c r="H978" t="s">
        <v>18</v>
      </c>
      <c r="I978">
        <v>3</v>
      </c>
      <c r="J978">
        <v>30.3</v>
      </c>
      <c r="K978">
        <v>0</v>
      </c>
      <c r="L978">
        <v>0</v>
      </c>
      <c r="M978">
        <v>18</v>
      </c>
      <c r="N978" t="s">
        <v>344</v>
      </c>
    </row>
    <row r="979" spans="1:14" x14ac:dyDescent="0.35">
      <c r="A979" t="s">
        <v>735</v>
      </c>
      <c r="B979" t="s">
        <v>590</v>
      </c>
      <c r="C979" t="s">
        <v>29</v>
      </c>
      <c r="D979">
        <v>0</v>
      </c>
      <c r="E979">
        <v>15</v>
      </c>
      <c r="F979" t="s">
        <v>445</v>
      </c>
      <c r="G979">
        <v>15</v>
      </c>
      <c r="H979" t="s">
        <v>157</v>
      </c>
      <c r="I979">
        <v>15</v>
      </c>
      <c r="J979">
        <v>18.100000000000001</v>
      </c>
      <c r="K979">
        <v>3</v>
      </c>
      <c r="L979">
        <v>4</v>
      </c>
      <c r="M979">
        <v>19</v>
      </c>
      <c r="N979" t="s">
        <v>174</v>
      </c>
    </row>
    <row r="980" spans="1:14" x14ac:dyDescent="0.35">
      <c r="A980" t="s">
        <v>735</v>
      </c>
      <c r="B980" t="s">
        <v>161</v>
      </c>
      <c r="C980" t="s">
        <v>16</v>
      </c>
      <c r="D980">
        <v>0</v>
      </c>
      <c r="E980">
        <v>18</v>
      </c>
      <c r="F980" t="s">
        <v>530</v>
      </c>
      <c r="G980">
        <v>18</v>
      </c>
      <c r="H980" t="s">
        <v>18</v>
      </c>
      <c r="I980">
        <v>9</v>
      </c>
      <c r="J980">
        <v>30.4</v>
      </c>
      <c r="K980">
        <v>1</v>
      </c>
      <c r="L980">
        <v>3</v>
      </c>
      <c r="M980">
        <v>21</v>
      </c>
      <c r="N980" t="s">
        <v>658</v>
      </c>
    </row>
    <row r="981" spans="1:14" x14ac:dyDescent="0.35">
      <c r="A981" t="s">
        <v>735</v>
      </c>
      <c r="B981" t="s">
        <v>330</v>
      </c>
      <c r="C981" t="s">
        <v>29</v>
      </c>
      <c r="D981">
        <v>0</v>
      </c>
      <c r="E981">
        <v>6</v>
      </c>
      <c r="F981" t="s">
        <v>189</v>
      </c>
      <c r="G981">
        <v>6</v>
      </c>
      <c r="H981" t="s">
        <v>157</v>
      </c>
      <c r="I981">
        <v>15</v>
      </c>
      <c r="J981">
        <v>21.7</v>
      </c>
      <c r="K981">
        <v>4</v>
      </c>
      <c r="L981">
        <v>4</v>
      </c>
      <c r="M981">
        <v>10</v>
      </c>
      <c r="N981" t="s">
        <v>658</v>
      </c>
    </row>
    <row r="982" spans="1:14" x14ac:dyDescent="0.35">
      <c r="A982" t="s">
        <v>735</v>
      </c>
      <c r="B982" t="s">
        <v>181</v>
      </c>
      <c r="C982" t="s">
        <v>16</v>
      </c>
      <c r="D982">
        <v>0</v>
      </c>
      <c r="E982">
        <v>18</v>
      </c>
      <c r="F982" t="s">
        <v>337</v>
      </c>
      <c r="G982">
        <v>18</v>
      </c>
      <c r="H982" t="s">
        <v>18</v>
      </c>
      <c r="I982">
        <v>9</v>
      </c>
      <c r="J982">
        <v>25.5</v>
      </c>
      <c r="K982">
        <v>0</v>
      </c>
      <c r="L982">
        <v>0</v>
      </c>
      <c r="M982">
        <v>18</v>
      </c>
      <c r="N982" t="s">
        <v>455</v>
      </c>
    </row>
    <row r="983" spans="1:14" x14ac:dyDescent="0.35">
      <c r="A983" t="s">
        <v>735</v>
      </c>
      <c r="B983" t="s">
        <v>177</v>
      </c>
      <c r="C983" t="s">
        <v>16</v>
      </c>
      <c r="D983">
        <v>0</v>
      </c>
      <c r="E983">
        <v>14</v>
      </c>
      <c r="F983" t="s">
        <v>348</v>
      </c>
      <c r="G983">
        <v>14</v>
      </c>
      <c r="H983" t="s">
        <v>157</v>
      </c>
      <c r="I983">
        <v>15</v>
      </c>
      <c r="J983">
        <v>28.6</v>
      </c>
      <c r="K983">
        <v>2</v>
      </c>
      <c r="L983">
        <v>1</v>
      </c>
      <c r="M983">
        <v>15</v>
      </c>
      <c r="N983" t="s">
        <v>533</v>
      </c>
    </row>
    <row r="984" spans="1:14" x14ac:dyDescent="0.35">
      <c r="A984" t="s">
        <v>735</v>
      </c>
      <c r="B984" t="s">
        <v>172</v>
      </c>
      <c r="C984" t="s">
        <v>29</v>
      </c>
      <c r="D984">
        <v>0</v>
      </c>
      <c r="E984">
        <v>5</v>
      </c>
      <c r="F984" t="s">
        <v>453</v>
      </c>
      <c r="G984">
        <v>5</v>
      </c>
      <c r="H984" t="s">
        <v>157</v>
      </c>
      <c r="I984">
        <v>15</v>
      </c>
      <c r="J984">
        <v>26.8</v>
      </c>
      <c r="K984">
        <v>4</v>
      </c>
      <c r="L984">
        <v>0</v>
      </c>
      <c r="M984">
        <v>5</v>
      </c>
      <c r="N984" t="s">
        <v>740</v>
      </c>
    </row>
    <row r="985" spans="1:14" x14ac:dyDescent="0.35">
      <c r="A985" t="s">
        <v>735</v>
      </c>
      <c r="B985" t="s">
        <v>453</v>
      </c>
      <c r="C985" t="s">
        <v>16</v>
      </c>
      <c r="D985">
        <v>0</v>
      </c>
      <c r="E985">
        <v>16</v>
      </c>
      <c r="F985" t="s">
        <v>532</v>
      </c>
      <c r="G985">
        <v>16</v>
      </c>
      <c r="H985" t="s">
        <v>157</v>
      </c>
      <c r="I985">
        <v>15</v>
      </c>
      <c r="J985">
        <v>28.5</v>
      </c>
      <c r="K985">
        <v>4</v>
      </c>
      <c r="L985">
        <v>0</v>
      </c>
      <c r="M985">
        <v>16</v>
      </c>
      <c r="N985" t="s">
        <v>350</v>
      </c>
    </row>
    <row r="986" spans="1:14" x14ac:dyDescent="0.35">
      <c r="A986" t="s">
        <v>735</v>
      </c>
      <c r="B986" t="s">
        <v>457</v>
      </c>
      <c r="C986" t="s">
        <v>29</v>
      </c>
      <c r="D986">
        <v>0</v>
      </c>
      <c r="E986">
        <v>7</v>
      </c>
      <c r="F986" t="s">
        <v>188</v>
      </c>
      <c r="G986">
        <v>7</v>
      </c>
      <c r="H986" t="s">
        <v>157</v>
      </c>
      <c r="I986">
        <v>15</v>
      </c>
      <c r="J986">
        <v>24.6</v>
      </c>
      <c r="K986">
        <v>1</v>
      </c>
      <c r="L986">
        <v>0</v>
      </c>
      <c r="M986">
        <v>7</v>
      </c>
      <c r="N986" t="s">
        <v>592</v>
      </c>
    </row>
    <row r="987" spans="1:14" x14ac:dyDescent="0.35">
      <c r="A987" t="s">
        <v>735</v>
      </c>
      <c r="B987" t="s">
        <v>454</v>
      </c>
      <c r="C987" t="s">
        <v>16</v>
      </c>
      <c r="D987">
        <v>0</v>
      </c>
      <c r="E987">
        <v>16</v>
      </c>
      <c r="F987" t="s">
        <v>659</v>
      </c>
      <c r="G987">
        <v>16</v>
      </c>
      <c r="H987" t="s">
        <v>157</v>
      </c>
      <c r="I987">
        <v>15</v>
      </c>
      <c r="J987">
        <v>27.5</v>
      </c>
      <c r="K987">
        <v>3</v>
      </c>
      <c r="L987">
        <v>3</v>
      </c>
      <c r="M987">
        <v>19</v>
      </c>
      <c r="N987" t="s">
        <v>207</v>
      </c>
    </row>
    <row r="988" spans="1:14" x14ac:dyDescent="0.35">
      <c r="A988" t="s">
        <v>735</v>
      </c>
      <c r="B988" t="s">
        <v>198</v>
      </c>
      <c r="C988" t="s">
        <v>29</v>
      </c>
      <c r="D988">
        <v>0</v>
      </c>
      <c r="E988">
        <v>6</v>
      </c>
      <c r="F988" t="s">
        <v>199</v>
      </c>
      <c r="G988">
        <v>6</v>
      </c>
      <c r="H988" t="s">
        <v>157</v>
      </c>
      <c r="I988">
        <v>15</v>
      </c>
      <c r="J988">
        <v>23.1</v>
      </c>
      <c r="K988">
        <v>2</v>
      </c>
      <c r="L988">
        <v>3</v>
      </c>
      <c r="M988">
        <v>9</v>
      </c>
      <c r="N988" t="s">
        <v>205</v>
      </c>
    </row>
    <row r="989" spans="1:14" x14ac:dyDescent="0.35">
      <c r="A989" t="s">
        <v>735</v>
      </c>
      <c r="B989" t="s">
        <v>626</v>
      </c>
      <c r="C989" t="s">
        <v>16</v>
      </c>
      <c r="D989">
        <v>0</v>
      </c>
      <c r="E989">
        <v>15</v>
      </c>
      <c r="F989" t="s">
        <v>536</v>
      </c>
      <c r="G989">
        <v>15</v>
      </c>
      <c r="H989" t="s">
        <v>157</v>
      </c>
      <c r="I989">
        <v>15</v>
      </c>
      <c r="J989">
        <v>25.6</v>
      </c>
      <c r="K989">
        <v>4</v>
      </c>
      <c r="L989">
        <v>2</v>
      </c>
      <c r="M989">
        <v>17</v>
      </c>
      <c r="N989" t="s">
        <v>208</v>
      </c>
    </row>
    <row r="990" spans="1:14" x14ac:dyDescent="0.35">
      <c r="A990" t="s">
        <v>735</v>
      </c>
      <c r="B990" t="s">
        <v>460</v>
      </c>
      <c r="C990" t="s">
        <v>16</v>
      </c>
      <c r="D990">
        <v>0</v>
      </c>
      <c r="E990">
        <v>14</v>
      </c>
      <c r="F990" t="s">
        <v>539</v>
      </c>
      <c r="G990">
        <v>14</v>
      </c>
      <c r="H990" t="s">
        <v>157</v>
      </c>
      <c r="I990">
        <v>15</v>
      </c>
      <c r="J990">
        <v>30.1</v>
      </c>
      <c r="K990">
        <v>0</v>
      </c>
      <c r="L990">
        <v>0</v>
      </c>
      <c r="M990">
        <v>14</v>
      </c>
      <c r="N990" t="s">
        <v>213</v>
      </c>
    </row>
    <row r="991" spans="1:14" x14ac:dyDescent="0.35">
      <c r="A991" t="s">
        <v>735</v>
      </c>
      <c r="B991" t="s">
        <v>465</v>
      </c>
      <c r="C991" t="s">
        <v>16</v>
      </c>
      <c r="D991">
        <v>0</v>
      </c>
      <c r="E991">
        <v>9</v>
      </c>
      <c r="F991" t="s">
        <v>596</v>
      </c>
      <c r="G991">
        <v>9</v>
      </c>
      <c r="H991" t="s">
        <v>157</v>
      </c>
      <c r="I991">
        <v>15</v>
      </c>
      <c r="J991">
        <v>29.6</v>
      </c>
      <c r="K991">
        <v>3</v>
      </c>
      <c r="L991">
        <v>1</v>
      </c>
      <c r="M991">
        <v>10</v>
      </c>
      <c r="N991" t="s">
        <v>470</v>
      </c>
    </row>
    <row r="992" spans="1:14" x14ac:dyDescent="0.35">
      <c r="A992" t="s">
        <v>735</v>
      </c>
      <c r="B992" t="s">
        <v>545</v>
      </c>
      <c r="C992" t="s">
        <v>16</v>
      </c>
      <c r="D992">
        <v>0</v>
      </c>
      <c r="E992">
        <v>10</v>
      </c>
      <c r="F992" t="s">
        <v>546</v>
      </c>
      <c r="G992">
        <v>10</v>
      </c>
      <c r="H992" t="s">
        <v>157</v>
      </c>
      <c r="I992">
        <v>15</v>
      </c>
      <c r="J992">
        <v>28</v>
      </c>
      <c r="K992">
        <v>3</v>
      </c>
      <c r="L992">
        <v>3</v>
      </c>
      <c r="M992">
        <v>13</v>
      </c>
      <c r="N992" t="s">
        <v>471</v>
      </c>
    </row>
    <row r="993" spans="1:14" x14ac:dyDescent="0.35">
      <c r="A993" t="s">
        <v>735</v>
      </c>
      <c r="B993" t="s">
        <v>547</v>
      </c>
      <c r="C993" t="s">
        <v>16</v>
      </c>
      <c r="D993">
        <v>0</v>
      </c>
      <c r="E993">
        <v>12</v>
      </c>
      <c r="F993" t="s">
        <v>548</v>
      </c>
      <c r="G993">
        <v>12</v>
      </c>
      <c r="H993" t="s">
        <v>157</v>
      </c>
      <c r="I993">
        <v>15</v>
      </c>
      <c r="J993">
        <v>27.4</v>
      </c>
      <c r="K993">
        <v>3</v>
      </c>
      <c r="L993">
        <v>0</v>
      </c>
      <c r="M993">
        <v>12</v>
      </c>
      <c r="N993" t="s">
        <v>741</v>
      </c>
    </row>
    <row r="994" spans="1:14" x14ac:dyDescent="0.35">
      <c r="A994" t="s">
        <v>735</v>
      </c>
      <c r="B994" t="s">
        <v>742</v>
      </c>
      <c r="C994" t="s">
        <v>16</v>
      </c>
      <c r="D994">
        <v>0</v>
      </c>
      <c r="E994">
        <v>12</v>
      </c>
      <c r="F994" t="s">
        <v>743</v>
      </c>
      <c r="G994">
        <v>12</v>
      </c>
      <c r="H994" t="s">
        <v>157</v>
      </c>
      <c r="I994">
        <v>15</v>
      </c>
      <c r="J994">
        <v>28.9</v>
      </c>
      <c r="K994">
        <v>3</v>
      </c>
      <c r="L994">
        <v>0</v>
      </c>
      <c r="M994">
        <v>12</v>
      </c>
      <c r="N994" t="s">
        <v>475</v>
      </c>
    </row>
    <row r="995" spans="1:14" x14ac:dyDescent="0.35">
      <c r="A995" t="s">
        <v>735</v>
      </c>
      <c r="B995" t="s">
        <v>633</v>
      </c>
      <c r="C995" t="s">
        <v>16</v>
      </c>
      <c r="D995">
        <v>0</v>
      </c>
      <c r="E995">
        <v>14</v>
      </c>
      <c r="F995" t="s">
        <v>599</v>
      </c>
      <c r="G995">
        <v>14</v>
      </c>
      <c r="H995" t="s">
        <v>157</v>
      </c>
      <c r="I995">
        <v>15</v>
      </c>
      <c r="J995">
        <v>32.700000000000003</v>
      </c>
      <c r="K995">
        <v>4</v>
      </c>
      <c r="L995">
        <v>3</v>
      </c>
      <c r="M995">
        <v>17</v>
      </c>
      <c r="N995" t="s">
        <v>669</v>
      </c>
    </row>
    <row r="996" spans="1:14" x14ac:dyDescent="0.35">
      <c r="A996" t="s">
        <v>735</v>
      </c>
      <c r="B996" t="s">
        <v>218</v>
      </c>
      <c r="C996" t="s">
        <v>16</v>
      </c>
      <c r="D996">
        <v>0</v>
      </c>
      <c r="E996">
        <v>9</v>
      </c>
      <c r="F996" t="s">
        <v>374</v>
      </c>
      <c r="G996">
        <v>9</v>
      </c>
      <c r="H996" t="s">
        <v>157</v>
      </c>
      <c r="I996">
        <v>15</v>
      </c>
      <c r="J996">
        <v>31.8</v>
      </c>
      <c r="K996">
        <v>2</v>
      </c>
      <c r="L996">
        <v>3</v>
      </c>
      <c r="M996">
        <v>12</v>
      </c>
      <c r="N996" t="s">
        <v>670</v>
      </c>
    </row>
    <row r="997" spans="1:14" x14ac:dyDescent="0.35">
      <c r="A997" t="s">
        <v>735</v>
      </c>
      <c r="B997" t="s">
        <v>635</v>
      </c>
      <c r="C997" t="s">
        <v>16</v>
      </c>
      <c r="D997">
        <v>0</v>
      </c>
      <c r="E997">
        <v>17</v>
      </c>
      <c r="F997" t="s">
        <v>669</v>
      </c>
      <c r="G997">
        <v>17</v>
      </c>
      <c r="H997" t="s">
        <v>157</v>
      </c>
      <c r="I997">
        <v>15</v>
      </c>
      <c r="J997">
        <v>29.5</v>
      </c>
      <c r="K997">
        <v>3</v>
      </c>
      <c r="L997">
        <v>2</v>
      </c>
      <c r="M997">
        <v>19</v>
      </c>
      <c r="N997" t="s">
        <v>608</v>
      </c>
    </row>
    <row r="998" spans="1:14" x14ac:dyDescent="0.35">
      <c r="A998" t="s">
        <v>735</v>
      </c>
      <c r="B998" t="s">
        <v>744</v>
      </c>
      <c r="C998" t="s">
        <v>16</v>
      </c>
      <c r="D998">
        <v>0</v>
      </c>
      <c r="E998">
        <v>13</v>
      </c>
      <c r="F998" t="s">
        <v>636</v>
      </c>
      <c r="G998">
        <v>13</v>
      </c>
      <c r="H998" t="s">
        <v>157</v>
      </c>
      <c r="I998">
        <v>15</v>
      </c>
      <c r="J998">
        <v>28.9</v>
      </c>
      <c r="K998">
        <v>4</v>
      </c>
      <c r="L998">
        <v>2</v>
      </c>
      <c r="M998">
        <v>15</v>
      </c>
      <c r="N998" t="s">
        <v>484</v>
      </c>
    </row>
    <row r="999" spans="1:14" x14ac:dyDescent="0.35">
      <c r="A999" t="s">
        <v>735</v>
      </c>
      <c r="B999" t="s">
        <v>729</v>
      </c>
      <c r="C999" t="s">
        <v>16</v>
      </c>
      <c r="D999">
        <v>0</v>
      </c>
      <c r="E999">
        <v>10</v>
      </c>
      <c r="F999" t="s">
        <v>672</v>
      </c>
      <c r="G999">
        <v>10</v>
      </c>
      <c r="H999" t="s">
        <v>157</v>
      </c>
      <c r="I999">
        <v>15</v>
      </c>
      <c r="J999">
        <v>25.3</v>
      </c>
      <c r="K999">
        <v>3</v>
      </c>
      <c r="L999">
        <v>1</v>
      </c>
      <c r="M999">
        <v>11</v>
      </c>
      <c r="N999" t="s">
        <v>560</v>
      </c>
    </row>
    <row r="1000" spans="1:14" x14ac:dyDescent="0.35">
      <c r="A1000" t="s">
        <v>735</v>
      </c>
      <c r="B1000" t="s">
        <v>713</v>
      </c>
      <c r="C1000" t="s">
        <v>16</v>
      </c>
      <c r="D1000">
        <v>0</v>
      </c>
      <c r="E1000">
        <v>10</v>
      </c>
      <c r="F1000" t="s">
        <v>714</v>
      </c>
      <c r="G1000">
        <v>10</v>
      </c>
      <c r="H1000" t="s">
        <v>157</v>
      </c>
      <c r="I1000">
        <v>15</v>
      </c>
      <c r="J1000">
        <v>26.3</v>
      </c>
      <c r="K1000">
        <v>1</v>
      </c>
      <c r="L1000">
        <v>0</v>
      </c>
      <c r="M1000">
        <v>10</v>
      </c>
      <c r="N1000" t="s">
        <v>567</v>
      </c>
    </row>
    <row r="1001" spans="1:14" x14ac:dyDescent="0.35">
      <c r="A1001" t="s">
        <v>735</v>
      </c>
      <c r="B1001" t="s">
        <v>607</v>
      </c>
      <c r="C1001" t="s">
        <v>16</v>
      </c>
      <c r="D1001">
        <v>0</v>
      </c>
      <c r="E1001">
        <v>13</v>
      </c>
      <c r="F1001" t="s">
        <v>715</v>
      </c>
      <c r="G1001">
        <v>13</v>
      </c>
      <c r="H1001" t="s">
        <v>157</v>
      </c>
      <c r="I1001">
        <v>15</v>
      </c>
      <c r="J1001">
        <v>29.1</v>
      </c>
      <c r="K1001">
        <v>1</v>
      </c>
      <c r="L1001">
        <v>3</v>
      </c>
      <c r="M1001">
        <v>16</v>
      </c>
      <c r="N1001" t="s">
        <v>615</v>
      </c>
    </row>
    <row r="1002" spans="1:14" x14ac:dyDescent="0.35">
      <c r="A1002" t="s">
        <v>735</v>
      </c>
      <c r="B1002" t="s">
        <v>610</v>
      </c>
      <c r="C1002" t="s">
        <v>16</v>
      </c>
      <c r="D1002">
        <v>0</v>
      </c>
      <c r="E1002">
        <v>12</v>
      </c>
      <c r="F1002" t="s">
        <v>695</v>
      </c>
      <c r="G1002">
        <v>12</v>
      </c>
      <c r="H1002" t="s">
        <v>157</v>
      </c>
      <c r="I1002">
        <v>15</v>
      </c>
      <c r="J1002">
        <v>27.8</v>
      </c>
      <c r="K1002">
        <v>3</v>
      </c>
      <c r="L1002">
        <v>0</v>
      </c>
      <c r="M1002">
        <v>12</v>
      </c>
      <c r="N1002" t="s">
        <v>613</v>
      </c>
    </row>
    <row r="1003" spans="1:14" x14ac:dyDescent="0.35">
      <c r="A1003" t="s">
        <v>735</v>
      </c>
      <c r="B1003" t="s">
        <v>246</v>
      </c>
      <c r="C1003" t="s">
        <v>16</v>
      </c>
      <c r="D1003">
        <v>0</v>
      </c>
      <c r="E1003">
        <v>14</v>
      </c>
      <c r="F1003" t="s">
        <v>247</v>
      </c>
      <c r="G1003">
        <v>14</v>
      </c>
      <c r="H1003" t="s">
        <v>157</v>
      </c>
      <c r="I1003">
        <v>15</v>
      </c>
      <c r="J1003">
        <v>27.4</v>
      </c>
      <c r="K1003">
        <v>0</v>
      </c>
      <c r="L1003">
        <v>0</v>
      </c>
      <c r="M1003">
        <v>14</v>
      </c>
      <c r="N1003" t="s">
        <v>614</v>
      </c>
    </row>
    <row r="1004" spans="1:14" x14ac:dyDescent="0.35">
      <c r="A1004" t="s">
        <v>735</v>
      </c>
      <c r="B1004" t="s">
        <v>717</v>
      </c>
      <c r="C1004" t="s">
        <v>16</v>
      </c>
      <c r="D1004">
        <v>0</v>
      </c>
      <c r="E1004">
        <v>14</v>
      </c>
      <c r="F1004" t="s">
        <v>571</v>
      </c>
      <c r="G1004">
        <v>14</v>
      </c>
      <c r="H1004" t="s">
        <v>157</v>
      </c>
      <c r="I1004">
        <v>15</v>
      </c>
      <c r="J1004">
        <v>28.8</v>
      </c>
      <c r="K1004">
        <v>4</v>
      </c>
      <c r="L1004">
        <v>3</v>
      </c>
      <c r="M1004">
        <v>17</v>
      </c>
      <c r="N1004" t="s">
        <v>570</v>
      </c>
    </row>
    <row r="1005" spans="1:14" x14ac:dyDescent="0.35">
      <c r="A1005" t="s">
        <v>735</v>
      </c>
      <c r="B1005" t="s">
        <v>493</v>
      </c>
      <c r="C1005" t="s">
        <v>16</v>
      </c>
      <c r="D1005">
        <v>0</v>
      </c>
      <c r="E1005">
        <v>11</v>
      </c>
      <c r="F1005" t="s">
        <v>494</v>
      </c>
      <c r="G1005">
        <v>11</v>
      </c>
      <c r="H1005" t="s">
        <v>157</v>
      </c>
      <c r="I1005">
        <v>15</v>
      </c>
      <c r="J1005">
        <v>31.5</v>
      </c>
      <c r="K1005">
        <v>4</v>
      </c>
      <c r="L1005">
        <v>2</v>
      </c>
      <c r="M1005">
        <v>13</v>
      </c>
      <c r="N1005" t="s">
        <v>719</v>
      </c>
    </row>
    <row r="1006" spans="1:14" x14ac:dyDescent="0.35">
      <c r="A1006" t="s">
        <v>745</v>
      </c>
      <c r="B1006" t="s">
        <v>15</v>
      </c>
      <c r="C1006" t="s">
        <v>16</v>
      </c>
      <c r="D1006">
        <v>0</v>
      </c>
      <c r="E1006">
        <v>19</v>
      </c>
      <c r="F1006" t="s">
        <v>20</v>
      </c>
      <c r="G1006">
        <v>18</v>
      </c>
      <c r="H1006" t="s">
        <v>18</v>
      </c>
      <c r="I1006">
        <v>4</v>
      </c>
      <c r="J1006">
        <v>30.5</v>
      </c>
      <c r="K1006">
        <v>2</v>
      </c>
      <c r="L1006">
        <v>3</v>
      </c>
      <c r="M1006">
        <v>21</v>
      </c>
      <c r="N1006" t="s">
        <v>22</v>
      </c>
    </row>
    <row r="1007" spans="1:14" x14ac:dyDescent="0.35">
      <c r="A1007" t="s">
        <v>745</v>
      </c>
      <c r="B1007" t="s">
        <v>15</v>
      </c>
      <c r="C1007" t="s">
        <v>29</v>
      </c>
      <c r="D1007">
        <v>0</v>
      </c>
      <c r="E1007">
        <v>18</v>
      </c>
      <c r="F1007" t="s">
        <v>575</v>
      </c>
      <c r="G1007">
        <v>18</v>
      </c>
      <c r="H1007" t="s">
        <v>18</v>
      </c>
      <c r="I1007">
        <v>8</v>
      </c>
      <c r="J1007">
        <v>22.9</v>
      </c>
      <c r="K1007">
        <v>1</v>
      </c>
      <c r="L1007">
        <v>4</v>
      </c>
      <c r="M1007">
        <v>22</v>
      </c>
      <c r="N1007" t="s">
        <v>41</v>
      </c>
    </row>
    <row r="1008" spans="1:14" x14ac:dyDescent="0.35">
      <c r="A1008" t="s">
        <v>745</v>
      </c>
      <c r="B1008" t="s">
        <v>254</v>
      </c>
      <c r="C1008" t="s">
        <v>16</v>
      </c>
      <c r="D1008">
        <v>1</v>
      </c>
      <c r="E1008">
        <v>23</v>
      </c>
      <c r="F1008" t="s">
        <v>404</v>
      </c>
      <c r="G1008">
        <v>18</v>
      </c>
      <c r="H1008" t="s">
        <v>18</v>
      </c>
      <c r="I1008">
        <v>4</v>
      </c>
      <c r="J1008">
        <v>27.2</v>
      </c>
      <c r="K1008">
        <v>0</v>
      </c>
      <c r="L1008">
        <v>0</v>
      </c>
      <c r="M1008">
        <v>18</v>
      </c>
      <c r="N1008" t="s">
        <v>503</v>
      </c>
    </row>
    <row r="1009" spans="1:14" x14ac:dyDescent="0.35">
      <c r="A1009" t="s">
        <v>745</v>
      </c>
      <c r="B1009" t="s">
        <v>24</v>
      </c>
      <c r="C1009" t="s">
        <v>16</v>
      </c>
      <c r="D1009">
        <v>6</v>
      </c>
      <c r="E1009">
        <v>15</v>
      </c>
      <c r="F1009" t="s">
        <v>407</v>
      </c>
      <c r="G1009">
        <v>18</v>
      </c>
      <c r="H1009" t="s">
        <v>18</v>
      </c>
      <c r="I1009">
        <v>2</v>
      </c>
      <c r="J1009">
        <v>27.1</v>
      </c>
      <c r="K1009">
        <v>2</v>
      </c>
      <c r="L1009">
        <v>4</v>
      </c>
      <c r="M1009">
        <v>22</v>
      </c>
      <c r="N1009" t="s">
        <v>264</v>
      </c>
    </row>
    <row r="1010" spans="1:14" x14ac:dyDescent="0.35">
      <c r="A1010" t="s">
        <v>745</v>
      </c>
      <c r="B1010" t="s">
        <v>256</v>
      </c>
      <c r="C1010" t="s">
        <v>16</v>
      </c>
      <c r="D1010">
        <v>3</v>
      </c>
      <c r="E1010">
        <v>19</v>
      </c>
      <c r="F1010" t="s">
        <v>27</v>
      </c>
      <c r="G1010">
        <v>18</v>
      </c>
      <c r="H1010" t="s">
        <v>18</v>
      </c>
      <c r="I1010">
        <v>3</v>
      </c>
      <c r="J1010">
        <v>27.1</v>
      </c>
      <c r="K1010">
        <v>2</v>
      </c>
      <c r="L1010">
        <v>2</v>
      </c>
      <c r="M1010">
        <v>20</v>
      </c>
      <c r="N1010" t="s">
        <v>408</v>
      </c>
    </row>
    <row r="1011" spans="1:14" x14ac:dyDescent="0.35">
      <c r="A1011" t="s">
        <v>745</v>
      </c>
      <c r="B1011" t="s">
        <v>30</v>
      </c>
      <c r="C1011" t="s">
        <v>16</v>
      </c>
      <c r="D1011">
        <v>4</v>
      </c>
      <c r="E1011">
        <v>17</v>
      </c>
      <c r="F1011" t="s">
        <v>31</v>
      </c>
      <c r="G1011">
        <v>18</v>
      </c>
      <c r="H1011" t="s">
        <v>18</v>
      </c>
      <c r="I1011">
        <v>3</v>
      </c>
      <c r="J1011">
        <v>29.6</v>
      </c>
      <c r="K1011">
        <v>2</v>
      </c>
      <c r="L1011">
        <v>3</v>
      </c>
      <c r="M1011">
        <v>21</v>
      </c>
      <c r="N1011" t="s">
        <v>37</v>
      </c>
    </row>
    <row r="1012" spans="1:14" x14ac:dyDescent="0.35">
      <c r="A1012" t="s">
        <v>745</v>
      </c>
      <c r="B1012" t="s">
        <v>33</v>
      </c>
      <c r="C1012" t="s">
        <v>16</v>
      </c>
      <c r="D1012">
        <v>3</v>
      </c>
      <c r="E1012">
        <v>17</v>
      </c>
      <c r="F1012" t="s">
        <v>261</v>
      </c>
      <c r="G1012">
        <v>18</v>
      </c>
      <c r="H1012" t="s">
        <v>18</v>
      </c>
      <c r="I1012">
        <v>3</v>
      </c>
      <c r="J1012">
        <v>25.8</v>
      </c>
      <c r="K1012">
        <v>2</v>
      </c>
      <c r="L1012">
        <v>5</v>
      </c>
      <c r="M1012">
        <v>23</v>
      </c>
      <c r="N1012" t="s">
        <v>37</v>
      </c>
    </row>
    <row r="1013" spans="1:14" x14ac:dyDescent="0.35">
      <c r="A1013" t="s">
        <v>745</v>
      </c>
      <c r="B1013" t="s">
        <v>24</v>
      </c>
      <c r="C1013" t="s">
        <v>29</v>
      </c>
      <c r="D1013">
        <v>0</v>
      </c>
      <c r="E1013">
        <v>18</v>
      </c>
      <c r="F1013" t="s">
        <v>38</v>
      </c>
      <c r="G1013">
        <v>18</v>
      </c>
      <c r="H1013" t="s">
        <v>18</v>
      </c>
      <c r="I1013">
        <v>16</v>
      </c>
      <c r="J1013">
        <v>23.5</v>
      </c>
      <c r="K1013">
        <v>4</v>
      </c>
      <c r="L1013">
        <v>3</v>
      </c>
      <c r="M1013">
        <v>21</v>
      </c>
      <c r="N1013" t="s">
        <v>37</v>
      </c>
    </row>
    <row r="1014" spans="1:14" x14ac:dyDescent="0.35">
      <c r="A1014" t="s">
        <v>745</v>
      </c>
      <c r="B1014" t="s">
        <v>34</v>
      </c>
      <c r="C1014" t="s">
        <v>16</v>
      </c>
      <c r="D1014">
        <v>2</v>
      </c>
      <c r="E1014">
        <v>18</v>
      </c>
      <c r="F1014" t="s">
        <v>36</v>
      </c>
      <c r="G1014">
        <v>18</v>
      </c>
      <c r="H1014" t="s">
        <v>18</v>
      </c>
      <c r="I1014">
        <v>2</v>
      </c>
      <c r="J1014">
        <v>32.1</v>
      </c>
      <c r="K1014">
        <v>4</v>
      </c>
      <c r="L1014">
        <v>3</v>
      </c>
      <c r="M1014">
        <v>21</v>
      </c>
      <c r="N1014" t="s">
        <v>409</v>
      </c>
    </row>
    <row r="1015" spans="1:14" x14ac:dyDescent="0.35">
      <c r="A1015" t="s">
        <v>745</v>
      </c>
      <c r="B1015" t="s">
        <v>50</v>
      </c>
      <c r="C1015" t="s">
        <v>16</v>
      </c>
      <c r="D1015">
        <v>2</v>
      </c>
      <c r="E1015">
        <v>18</v>
      </c>
      <c r="F1015" t="s">
        <v>403</v>
      </c>
      <c r="G1015">
        <v>18</v>
      </c>
      <c r="H1015" t="s">
        <v>18</v>
      </c>
      <c r="I1015">
        <v>5</v>
      </c>
      <c r="J1015">
        <v>30</v>
      </c>
      <c r="K1015">
        <v>3</v>
      </c>
      <c r="L1015">
        <v>3</v>
      </c>
      <c r="M1015">
        <v>21</v>
      </c>
      <c r="N1015" t="s">
        <v>48</v>
      </c>
    </row>
    <row r="1016" spans="1:14" x14ac:dyDescent="0.35">
      <c r="A1016" t="s">
        <v>745</v>
      </c>
      <c r="B1016" t="s">
        <v>22</v>
      </c>
      <c r="C1016" t="s">
        <v>16</v>
      </c>
      <c r="D1016">
        <v>2</v>
      </c>
      <c r="E1016">
        <v>16</v>
      </c>
      <c r="F1016" t="s">
        <v>259</v>
      </c>
      <c r="G1016">
        <v>18</v>
      </c>
      <c r="H1016" t="s">
        <v>18</v>
      </c>
      <c r="I1016">
        <v>11</v>
      </c>
      <c r="J1016">
        <v>26.6</v>
      </c>
      <c r="K1016">
        <v>4</v>
      </c>
      <c r="L1016">
        <v>5</v>
      </c>
      <c r="M1016">
        <v>23</v>
      </c>
      <c r="N1016" t="s">
        <v>273</v>
      </c>
    </row>
    <row r="1017" spans="1:14" x14ac:dyDescent="0.35">
      <c r="A1017" t="s">
        <v>745</v>
      </c>
      <c r="B1017" t="s">
        <v>36</v>
      </c>
      <c r="C1017" t="s">
        <v>29</v>
      </c>
      <c r="D1017">
        <v>0</v>
      </c>
      <c r="E1017">
        <v>18</v>
      </c>
      <c r="F1017" t="s">
        <v>500</v>
      </c>
      <c r="G1017">
        <v>18</v>
      </c>
      <c r="H1017" t="s">
        <v>18</v>
      </c>
      <c r="I1017">
        <v>27</v>
      </c>
      <c r="J1017">
        <v>23.2</v>
      </c>
      <c r="K1017">
        <v>1</v>
      </c>
      <c r="L1017">
        <v>5</v>
      </c>
      <c r="M1017">
        <v>23</v>
      </c>
      <c r="N1017" t="s">
        <v>61</v>
      </c>
    </row>
    <row r="1018" spans="1:14" x14ac:dyDescent="0.35">
      <c r="A1018" t="s">
        <v>745</v>
      </c>
      <c r="B1018" t="s">
        <v>618</v>
      </c>
      <c r="C1018" t="s">
        <v>16</v>
      </c>
      <c r="D1018">
        <v>0</v>
      </c>
      <c r="E1018">
        <v>18</v>
      </c>
      <c r="F1018" t="s">
        <v>498</v>
      </c>
      <c r="G1018">
        <v>18</v>
      </c>
      <c r="H1018" t="s">
        <v>18</v>
      </c>
      <c r="I1018">
        <v>10</v>
      </c>
      <c r="J1018">
        <v>30.4</v>
      </c>
      <c r="K1018">
        <v>0</v>
      </c>
      <c r="L1018">
        <v>0</v>
      </c>
      <c r="M1018">
        <v>18</v>
      </c>
      <c r="N1018" t="s">
        <v>68</v>
      </c>
    </row>
    <row r="1019" spans="1:14" x14ac:dyDescent="0.35">
      <c r="A1019" t="s">
        <v>745</v>
      </c>
      <c r="B1019" t="s">
        <v>45</v>
      </c>
      <c r="C1019" t="s">
        <v>16</v>
      </c>
      <c r="D1019">
        <v>0</v>
      </c>
      <c r="E1019">
        <v>18</v>
      </c>
      <c r="F1019" t="s">
        <v>48</v>
      </c>
      <c r="G1019">
        <v>18</v>
      </c>
      <c r="H1019" t="s">
        <v>18</v>
      </c>
      <c r="I1019">
        <v>6</v>
      </c>
      <c r="J1019">
        <v>31.9</v>
      </c>
      <c r="K1019">
        <v>1</v>
      </c>
      <c r="L1019">
        <v>4</v>
      </c>
      <c r="M1019">
        <v>22</v>
      </c>
      <c r="N1019" t="s">
        <v>70</v>
      </c>
    </row>
    <row r="1020" spans="1:14" x14ac:dyDescent="0.35">
      <c r="A1020" t="s">
        <v>745</v>
      </c>
      <c r="B1020" t="s">
        <v>52</v>
      </c>
      <c r="C1020" t="s">
        <v>16</v>
      </c>
      <c r="D1020">
        <v>0</v>
      </c>
      <c r="E1020">
        <v>19</v>
      </c>
      <c r="F1020" t="s">
        <v>270</v>
      </c>
      <c r="G1020">
        <v>18</v>
      </c>
      <c r="H1020" t="s">
        <v>18</v>
      </c>
      <c r="I1020">
        <v>3</v>
      </c>
      <c r="J1020">
        <v>29.5</v>
      </c>
      <c r="K1020">
        <v>4</v>
      </c>
      <c r="L1020">
        <v>4</v>
      </c>
      <c r="M1020">
        <v>22</v>
      </c>
      <c r="N1020" t="s">
        <v>271</v>
      </c>
    </row>
    <row r="1021" spans="1:14" x14ac:dyDescent="0.35">
      <c r="A1021" t="s">
        <v>745</v>
      </c>
      <c r="B1021" t="s">
        <v>272</v>
      </c>
      <c r="C1021" t="s">
        <v>16</v>
      </c>
      <c r="D1021">
        <v>1</v>
      </c>
      <c r="E1021">
        <v>17</v>
      </c>
      <c r="F1021" t="s">
        <v>273</v>
      </c>
      <c r="G1021">
        <v>18</v>
      </c>
      <c r="H1021" t="s">
        <v>18</v>
      </c>
      <c r="I1021">
        <v>3</v>
      </c>
      <c r="J1021">
        <v>33</v>
      </c>
      <c r="K1021">
        <v>4</v>
      </c>
      <c r="L1021">
        <v>2</v>
      </c>
      <c r="M1021">
        <v>20</v>
      </c>
      <c r="N1021" t="s">
        <v>283</v>
      </c>
    </row>
    <row r="1022" spans="1:14" x14ac:dyDescent="0.35">
      <c r="A1022" t="s">
        <v>745</v>
      </c>
      <c r="B1022" t="s">
        <v>56</v>
      </c>
      <c r="C1022" t="s">
        <v>16</v>
      </c>
      <c r="D1022">
        <v>0</v>
      </c>
      <c r="E1022">
        <v>19</v>
      </c>
      <c r="F1022" t="s">
        <v>504</v>
      </c>
      <c r="G1022">
        <v>18</v>
      </c>
      <c r="H1022" t="s">
        <v>18</v>
      </c>
      <c r="I1022">
        <v>6</v>
      </c>
      <c r="J1022">
        <v>29.8</v>
      </c>
      <c r="K1022">
        <v>2</v>
      </c>
      <c r="L1022">
        <v>4</v>
      </c>
      <c r="M1022">
        <v>22</v>
      </c>
      <c r="N1022" t="s">
        <v>413</v>
      </c>
    </row>
    <row r="1023" spans="1:14" x14ac:dyDescent="0.35">
      <c r="A1023" t="s">
        <v>745</v>
      </c>
      <c r="B1023" t="s">
        <v>62</v>
      </c>
      <c r="C1023" t="s">
        <v>16</v>
      </c>
      <c r="D1023">
        <v>1</v>
      </c>
      <c r="E1023">
        <v>23</v>
      </c>
      <c r="F1023" t="s">
        <v>51</v>
      </c>
      <c r="G1023">
        <v>18</v>
      </c>
      <c r="H1023" t="s">
        <v>18</v>
      </c>
      <c r="I1023">
        <v>3</v>
      </c>
      <c r="J1023">
        <v>31.1</v>
      </c>
      <c r="K1023">
        <v>4</v>
      </c>
      <c r="L1023">
        <v>5</v>
      </c>
      <c r="M1023">
        <v>23</v>
      </c>
      <c r="N1023" t="s">
        <v>69</v>
      </c>
    </row>
    <row r="1024" spans="1:14" x14ac:dyDescent="0.35">
      <c r="A1024" t="s">
        <v>745</v>
      </c>
      <c r="B1024" t="s">
        <v>47</v>
      </c>
      <c r="C1024" t="s">
        <v>29</v>
      </c>
      <c r="D1024">
        <v>0</v>
      </c>
      <c r="E1024">
        <v>20</v>
      </c>
      <c r="F1024" t="s">
        <v>51</v>
      </c>
      <c r="G1024">
        <v>18</v>
      </c>
      <c r="H1024" t="s">
        <v>18</v>
      </c>
      <c r="I1024">
        <v>24</v>
      </c>
      <c r="J1024">
        <v>27.2</v>
      </c>
      <c r="K1024">
        <v>4</v>
      </c>
      <c r="L1024">
        <v>3</v>
      </c>
      <c r="M1024">
        <v>21</v>
      </c>
      <c r="N1024" t="s">
        <v>66</v>
      </c>
    </row>
    <row r="1025" spans="1:14" x14ac:dyDescent="0.35">
      <c r="A1025" t="s">
        <v>745</v>
      </c>
      <c r="B1025" t="s">
        <v>46</v>
      </c>
      <c r="C1025" t="s">
        <v>16</v>
      </c>
      <c r="D1025">
        <v>6</v>
      </c>
      <c r="E1025">
        <v>14</v>
      </c>
      <c r="F1025" t="s">
        <v>65</v>
      </c>
      <c r="G1025">
        <v>18</v>
      </c>
      <c r="H1025" t="s">
        <v>18</v>
      </c>
      <c r="I1025">
        <v>2</v>
      </c>
      <c r="J1025">
        <v>29.4</v>
      </c>
      <c r="K1025">
        <v>1</v>
      </c>
      <c r="L1025">
        <v>4</v>
      </c>
      <c r="M1025">
        <v>22</v>
      </c>
      <c r="N1025" t="s">
        <v>578</v>
      </c>
    </row>
    <row r="1026" spans="1:14" x14ac:dyDescent="0.35">
      <c r="A1026" t="s">
        <v>745</v>
      </c>
      <c r="B1026" t="s">
        <v>68</v>
      </c>
      <c r="C1026" t="s">
        <v>16</v>
      </c>
      <c r="D1026">
        <v>2</v>
      </c>
      <c r="E1026">
        <v>16</v>
      </c>
      <c r="F1026" t="s">
        <v>280</v>
      </c>
      <c r="G1026">
        <v>18</v>
      </c>
      <c r="H1026" t="s">
        <v>18</v>
      </c>
      <c r="I1026">
        <v>4</v>
      </c>
      <c r="J1026">
        <v>32.6</v>
      </c>
      <c r="K1026">
        <v>1</v>
      </c>
      <c r="L1026">
        <v>6</v>
      </c>
      <c r="M1026">
        <v>24</v>
      </c>
      <c r="N1026" t="s">
        <v>90</v>
      </c>
    </row>
    <row r="1027" spans="1:14" x14ac:dyDescent="0.35">
      <c r="A1027" t="s">
        <v>745</v>
      </c>
      <c r="B1027" t="s">
        <v>268</v>
      </c>
      <c r="C1027" t="s">
        <v>16</v>
      </c>
      <c r="D1027">
        <v>0</v>
      </c>
      <c r="E1027">
        <v>18</v>
      </c>
      <c r="F1027" t="s">
        <v>507</v>
      </c>
      <c r="G1027">
        <v>18</v>
      </c>
      <c r="H1027" t="s">
        <v>18</v>
      </c>
      <c r="I1027">
        <v>7</v>
      </c>
      <c r="J1027">
        <v>25</v>
      </c>
      <c r="K1027">
        <v>2</v>
      </c>
      <c r="L1027">
        <v>4</v>
      </c>
      <c r="M1027">
        <v>22</v>
      </c>
      <c r="N1027" t="s">
        <v>417</v>
      </c>
    </row>
    <row r="1028" spans="1:14" x14ac:dyDescent="0.35">
      <c r="A1028" t="s">
        <v>745</v>
      </c>
      <c r="B1028" t="s">
        <v>46</v>
      </c>
      <c r="C1028" t="s">
        <v>29</v>
      </c>
      <c r="D1028">
        <v>2</v>
      </c>
      <c r="E1028">
        <v>16</v>
      </c>
      <c r="F1028" t="s">
        <v>275</v>
      </c>
      <c r="G1028">
        <v>18</v>
      </c>
      <c r="H1028" t="s">
        <v>18</v>
      </c>
      <c r="I1028">
        <v>23</v>
      </c>
      <c r="J1028">
        <v>24.3</v>
      </c>
      <c r="K1028">
        <v>3</v>
      </c>
      <c r="L1028">
        <v>3</v>
      </c>
      <c r="M1028">
        <v>21</v>
      </c>
      <c r="N1028" t="s">
        <v>82</v>
      </c>
    </row>
    <row r="1029" spans="1:14" x14ac:dyDescent="0.35">
      <c r="A1029" t="s">
        <v>745</v>
      </c>
      <c r="B1029" t="s">
        <v>54</v>
      </c>
      <c r="C1029" t="s">
        <v>16</v>
      </c>
      <c r="D1029">
        <v>0</v>
      </c>
      <c r="E1029">
        <v>18</v>
      </c>
      <c r="F1029" t="s">
        <v>64</v>
      </c>
      <c r="G1029">
        <v>18</v>
      </c>
      <c r="H1029" t="s">
        <v>18</v>
      </c>
      <c r="I1029">
        <v>12</v>
      </c>
      <c r="J1029">
        <v>27.9</v>
      </c>
      <c r="K1029">
        <v>0</v>
      </c>
      <c r="L1029">
        <v>0</v>
      </c>
      <c r="M1029">
        <v>18</v>
      </c>
      <c r="N1029" t="s">
        <v>87</v>
      </c>
    </row>
    <row r="1030" spans="1:14" x14ac:dyDescent="0.35">
      <c r="A1030" t="s">
        <v>745</v>
      </c>
      <c r="B1030" t="s">
        <v>506</v>
      </c>
      <c r="C1030" t="s">
        <v>16</v>
      </c>
      <c r="D1030">
        <v>0</v>
      </c>
      <c r="E1030">
        <v>20</v>
      </c>
      <c r="F1030" t="s">
        <v>75</v>
      </c>
      <c r="G1030">
        <v>18</v>
      </c>
      <c r="H1030" t="s">
        <v>18</v>
      </c>
      <c r="I1030">
        <v>9</v>
      </c>
      <c r="J1030">
        <v>27.8</v>
      </c>
      <c r="K1030">
        <v>0</v>
      </c>
      <c r="L1030">
        <v>0</v>
      </c>
      <c r="M1030">
        <v>18</v>
      </c>
      <c r="N1030" t="s">
        <v>295</v>
      </c>
    </row>
    <row r="1031" spans="1:14" x14ac:dyDescent="0.35">
      <c r="A1031" t="s">
        <v>745</v>
      </c>
      <c r="B1031" t="s">
        <v>90</v>
      </c>
      <c r="C1031" t="s">
        <v>16</v>
      </c>
      <c r="D1031">
        <v>2</v>
      </c>
      <c r="E1031">
        <v>18</v>
      </c>
      <c r="F1031" t="s">
        <v>79</v>
      </c>
      <c r="G1031">
        <v>18</v>
      </c>
      <c r="H1031" t="s">
        <v>18</v>
      </c>
      <c r="I1031">
        <v>4</v>
      </c>
      <c r="J1031">
        <v>30.7</v>
      </c>
      <c r="K1031">
        <v>3</v>
      </c>
      <c r="L1031">
        <v>4</v>
      </c>
      <c r="M1031">
        <v>22</v>
      </c>
      <c r="N1031" t="s">
        <v>81</v>
      </c>
    </row>
    <row r="1032" spans="1:14" x14ac:dyDescent="0.35">
      <c r="A1032" t="s">
        <v>745</v>
      </c>
      <c r="B1032" t="s">
        <v>644</v>
      </c>
      <c r="C1032" t="s">
        <v>16</v>
      </c>
      <c r="D1032">
        <v>2</v>
      </c>
      <c r="E1032">
        <v>21</v>
      </c>
      <c r="F1032" t="s">
        <v>282</v>
      </c>
      <c r="G1032">
        <v>18</v>
      </c>
      <c r="H1032" t="s">
        <v>18</v>
      </c>
      <c r="I1032">
        <v>4</v>
      </c>
      <c r="J1032">
        <v>29.4</v>
      </c>
      <c r="K1032">
        <v>1</v>
      </c>
      <c r="L1032">
        <v>3</v>
      </c>
      <c r="M1032">
        <v>21</v>
      </c>
      <c r="N1032" t="s">
        <v>103</v>
      </c>
    </row>
    <row r="1033" spans="1:14" x14ac:dyDescent="0.35">
      <c r="A1033" t="s">
        <v>745</v>
      </c>
      <c r="B1033" t="s">
        <v>290</v>
      </c>
      <c r="C1033" t="s">
        <v>16</v>
      </c>
      <c r="D1033">
        <v>5</v>
      </c>
      <c r="E1033">
        <v>17</v>
      </c>
      <c r="F1033" t="s">
        <v>292</v>
      </c>
      <c r="G1033">
        <v>18</v>
      </c>
      <c r="H1033" t="s">
        <v>18</v>
      </c>
      <c r="I1033">
        <v>3</v>
      </c>
      <c r="J1033">
        <v>29.6</v>
      </c>
      <c r="K1033">
        <v>2</v>
      </c>
      <c r="L1033">
        <v>1</v>
      </c>
      <c r="M1033">
        <v>19</v>
      </c>
      <c r="N1033" t="s">
        <v>299</v>
      </c>
    </row>
    <row r="1034" spans="1:14" x14ac:dyDescent="0.35">
      <c r="A1034" t="s">
        <v>745</v>
      </c>
      <c r="B1034" t="s">
        <v>419</v>
      </c>
      <c r="C1034" t="s">
        <v>16</v>
      </c>
      <c r="D1034">
        <v>4</v>
      </c>
      <c r="E1034">
        <v>20</v>
      </c>
      <c r="F1034" t="s">
        <v>293</v>
      </c>
      <c r="G1034">
        <v>18</v>
      </c>
      <c r="H1034" t="s">
        <v>18</v>
      </c>
      <c r="I1034">
        <v>3</v>
      </c>
      <c r="J1034">
        <v>27.3</v>
      </c>
      <c r="K1034">
        <v>4</v>
      </c>
      <c r="L1034">
        <v>4</v>
      </c>
      <c r="M1034">
        <v>22</v>
      </c>
      <c r="N1034" t="s">
        <v>92</v>
      </c>
    </row>
    <row r="1035" spans="1:14" x14ac:dyDescent="0.35">
      <c r="A1035" t="s">
        <v>745</v>
      </c>
      <c r="B1035" t="s">
        <v>66</v>
      </c>
      <c r="C1035" t="s">
        <v>29</v>
      </c>
      <c r="D1035">
        <v>0</v>
      </c>
      <c r="E1035">
        <v>19</v>
      </c>
      <c r="F1035" t="s">
        <v>293</v>
      </c>
      <c r="G1035">
        <v>18</v>
      </c>
      <c r="H1035" t="s">
        <v>18</v>
      </c>
      <c r="I1035">
        <v>30</v>
      </c>
      <c r="J1035">
        <v>20.7</v>
      </c>
      <c r="K1035">
        <v>4</v>
      </c>
      <c r="L1035">
        <v>4</v>
      </c>
      <c r="M1035">
        <v>22</v>
      </c>
      <c r="N1035" t="s">
        <v>99</v>
      </c>
    </row>
    <row r="1036" spans="1:14" x14ac:dyDescent="0.35">
      <c r="A1036" t="s">
        <v>745</v>
      </c>
      <c r="B1036" t="s">
        <v>88</v>
      </c>
      <c r="C1036" t="s">
        <v>16</v>
      </c>
      <c r="D1036">
        <v>6</v>
      </c>
      <c r="E1036">
        <v>17</v>
      </c>
      <c r="F1036" t="s">
        <v>91</v>
      </c>
      <c r="G1036">
        <v>18</v>
      </c>
      <c r="H1036" t="s">
        <v>18</v>
      </c>
      <c r="I1036">
        <v>3</v>
      </c>
      <c r="J1036">
        <v>31.6</v>
      </c>
      <c r="K1036">
        <v>1</v>
      </c>
      <c r="L1036">
        <v>2</v>
      </c>
      <c r="M1036">
        <v>20</v>
      </c>
      <c r="N1036" t="s">
        <v>97</v>
      </c>
    </row>
    <row r="1037" spans="1:14" x14ac:dyDescent="0.35">
      <c r="A1037" t="s">
        <v>745</v>
      </c>
      <c r="B1037" t="s">
        <v>76</v>
      </c>
      <c r="C1037" t="s">
        <v>16</v>
      </c>
      <c r="D1037">
        <v>5</v>
      </c>
      <c r="E1037">
        <v>14</v>
      </c>
      <c r="F1037" t="s">
        <v>94</v>
      </c>
      <c r="G1037">
        <v>18</v>
      </c>
      <c r="H1037" t="s">
        <v>18</v>
      </c>
      <c r="I1037">
        <v>2</v>
      </c>
      <c r="J1037">
        <v>27.2</v>
      </c>
      <c r="K1037">
        <v>0</v>
      </c>
      <c r="L1037">
        <v>0</v>
      </c>
      <c r="M1037">
        <v>18</v>
      </c>
      <c r="N1037" t="s">
        <v>95</v>
      </c>
    </row>
    <row r="1038" spans="1:14" x14ac:dyDescent="0.35">
      <c r="A1038" t="s">
        <v>745</v>
      </c>
      <c r="B1038" t="s">
        <v>88</v>
      </c>
      <c r="C1038" t="s">
        <v>29</v>
      </c>
      <c r="D1038">
        <v>1</v>
      </c>
      <c r="E1038">
        <v>17</v>
      </c>
      <c r="F1038" t="s">
        <v>580</v>
      </c>
      <c r="G1038">
        <v>18</v>
      </c>
      <c r="H1038" t="s">
        <v>18</v>
      </c>
      <c r="I1038">
        <v>14</v>
      </c>
      <c r="J1038">
        <v>23.6</v>
      </c>
      <c r="K1038">
        <v>3</v>
      </c>
      <c r="L1038">
        <v>6</v>
      </c>
      <c r="M1038">
        <v>24</v>
      </c>
      <c r="N1038" t="s">
        <v>106</v>
      </c>
    </row>
    <row r="1039" spans="1:14" x14ac:dyDescent="0.35">
      <c r="A1039" t="s">
        <v>745</v>
      </c>
      <c r="B1039" t="s">
        <v>96</v>
      </c>
      <c r="C1039" t="s">
        <v>16</v>
      </c>
      <c r="D1039">
        <v>1</v>
      </c>
      <c r="E1039">
        <v>18</v>
      </c>
      <c r="F1039" t="s">
        <v>81</v>
      </c>
      <c r="G1039">
        <v>18</v>
      </c>
      <c r="H1039" t="s">
        <v>18</v>
      </c>
      <c r="I1039">
        <v>9</v>
      </c>
      <c r="J1039">
        <v>28.6</v>
      </c>
      <c r="K1039">
        <v>1</v>
      </c>
      <c r="L1039">
        <v>4</v>
      </c>
      <c r="M1039">
        <v>22</v>
      </c>
      <c r="N1039" t="s">
        <v>302</v>
      </c>
    </row>
    <row r="1040" spans="1:14" x14ac:dyDescent="0.35">
      <c r="A1040" t="s">
        <v>745</v>
      </c>
      <c r="B1040" t="s">
        <v>289</v>
      </c>
      <c r="C1040" t="s">
        <v>16</v>
      </c>
      <c r="D1040">
        <v>1</v>
      </c>
      <c r="E1040">
        <v>17</v>
      </c>
      <c r="F1040" t="s">
        <v>645</v>
      </c>
      <c r="G1040">
        <v>18</v>
      </c>
      <c r="H1040" t="s">
        <v>18</v>
      </c>
      <c r="I1040">
        <v>14</v>
      </c>
      <c r="J1040">
        <v>28.4</v>
      </c>
      <c r="K1040">
        <v>4</v>
      </c>
      <c r="L1040">
        <v>2</v>
      </c>
      <c r="M1040">
        <v>20</v>
      </c>
      <c r="N1040" t="s">
        <v>111</v>
      </c>
    </row>
    <row r="1041" spans="1:14" x14ac:dyDescent="0.35">
      <c r="A1041" t="s">
        <v>745</v>
      </c>
      <c r="B1041" t="s">
        <v>579</v>
      </c>
      <c r="C1041" t="s">
        <v>16</v>
      </c>
      <c r="D1041">
        <v>0</v>
      </c>
      <c r="E1041">
        <v>20</v>
      </c>
      <c r="F1041" t="s">
        <v>315</v>
      </c>
      <c r="G1041">
        <v>18</v>
      </c>
      <c r="H1041" t="s">
        <v>18</v>
      </c>
      <c r="I1041">
        <v>21</v>
      </c>
      <c r="J1041">
        <v>26.9</v>
      </c>
      <c r="K1041">
        <v>3</v>
      </c>
      <c r="L1041">
        <v>2</v>
      </c>
      <c r="M1041">
        <v>20</v>
      </c>
      <c r="N1041" t="s">
        <v>123</v>
      </c>
    </row>
    <row r="1042" spans="1:14" x14ac:dyDescent="0.35">
      <c r="A1042" t="s">
        <v>745</v>
      </c>
      <c r="B1042" t="s">
        <v>721</v>
      </c>
      <c r="C1042" t="s">
        <v>16</v>
      </c>
      <c r="D1042">
        <v>2</v>
      </c>
      <c r="E1042">
        <v>16</v>
      </c>
      <c r="F1042" t="s">
        <v>746</v>
      </c>
      <c r="G1042">
        <v>18</v>
      </c>
      <c r="H1042" t="s">
        <v>18</v>
      </c>
      <c r="I1042">
        <v>21</v>
      </c>
      <c r="J1042">
        <v>30.4</v>
      </c>
      <c r="K1042">
        <v>3</v>
      </c>
      <c r="L1042">
        <v>3</v>
      </c>
      <c r="M1042">
        <v>21</v>
      </c>
      <c r="N1042" t="s">
        <v>747</v>
      </c>
    </row>
    <row r="1043" spans="1:14" x14ac:dyDescent="0.35">
      <c r="A1043" t="s">
        <v>745</v>
      </c>
      <c r="B1043" t="s">
        <v>81</v>
      </c>
      <c r="C1043" t="s">
        <v>29</v>
      </c>
      <c r="D1043">
        <v>0</v>
      </c>
      <c r="E1043">
        <v>18</v>
      </c>
      <c r="F1043" t="s">
        <v>426</v>
      </c>
      <c r="G1043">
        <v>18</v>
      </c>
      <c r="H1043" t="s">
        <v>18</v>
      </c>
      <c r="I1043">
        <v>74</v>
      </c>
      <c r="J1043">
        <v>26.2</v>
      </c>
      <c r="K1043">
        <v>4</v>
      </c>
      <c r="L1043">
        <v>0</v>
      </c>
      <c r="M1043">
        <v>18</v>
      </c>
      <c r="N1043" t="s">
        <v>427</v>
      </c>
    </row>
    <row r="1044" spans="1:14" x14ac:dyDescent="0.35">
      <c r="A1044" t="s">
        <v>745</v>
      </c>
      <c r="B1044" t="s">
        <v>649</v>
      </c>
      <c r="C1044" t="s">
        <v>16</v>
      </c>
      <c r="D1044">
        <v>0</v>
      </c>
      <c r="E1044">
        <v>18</v>
      </c>
      <c r="F1044" t="s">
        <v>110</v>
      </c>
      <c r="G1044">
        <v>18</v>
      </c>
      <c r="H1044" t="s">
        <v>18</v>
      </c>
      <c r="I1044">
        <v>21</v>
      </c>
      <c r="J1044">
        <v>26.7</v>
      </c>
      <c r="K1044">
        <v>0</v>
      </c>
      <c r="L1044">
        <v>0</v>
      </c>
      <c r="M1044">
        <v>18</v>
      </c>
      <c r="N1044" t="s">
        <v>520</v>
      </c>
    </row>
    <row r="1045" spans="1:14" x14ac:dyDescent="0.35">
      <c r="A1045" t="s">
        <v>745</v>
      </c>
      <c r="B1045" t="s">
        <v>650</v>
      </c>
      <c r="C1045" t="s">
        <v>16</v>
      </c>
      <c r="D1045">
        <v>0</v>
      </c>
      <c r="E1045">
        <v>18</v>
      </c>
      <c r="F1045" t="s">
        <v>432</v>
      </c>
      <c r="G1045">
        <v>18</v>
      </c>
      <c r="H1045" t="s">
        <v>18</v>
      </c>
      <c r="I1045">
        <v>18</v>
      </c>
      <c r="J1045">
        <v>27.4</v>
      </c>
      <c r="K1045">
        <v>3</v>
      </c>
      <c r="L1045">
        <v>1</v>
      </c>
      <c r="M1045">
        <v>19</v>
      </c>
      <c r="N1045" t="s">
        <v>323</v>
      </c>
    </row>
    <row r="1046" spans="1:14" x14ac:dyDescent="0.35">
      <c r="A1046" t="s">
        <v>745</v>
      </c>
      <c r="B1046" t="s">
        <v>737</v>
      </c>
      <c r="C1046" t="s">
        <v>16</v>
      </c>
      <c r="D1046">
        <v>0</v>
      </c>
      <c r="E1046">
        <v>19</v>
      </c>
      <c r="F1046" t="s">
        <v>121</v>
      </c>
      <c r="G1046">
        <v>18</v>
      </c>
      <c r="H1046" t="s">
        <v>18</v>
      </c>
      <c r="I1046">
        <v>28</v>
      </c>
      <c r="J1046">
        <v>31.1</v>
      </c>
      <c r="K1046">
        <v>3</v>
      </c>
      <c r="L1046">
        <v>1</v>
      </c>
      <c r="M1046">
        <v>19</v>
      </c>
      <c r="N1046" t="s">
        <v>439</v>
      </c>
    </row>
    <row r="1047" spans="1:14" x14ac:dyDescent="0.35">
      <c r="A1047" t="s">
        <v>745</v>
      </c>
      <c r="B1047" t="s">
        <v>748</v>
      </c>
      <c r="C1047" t="s">
        <v>29</v>
      </c>
      <c r="D1047">
        <v>0</v>
      </c>
      <c r="E1047">
        <v>18</v>
      </c>
      <c r="F1047" t="s">
        <v>726</v>
      </c>
      <c r="G1047">
        <v>18</v>
      </c>
      <c r="H1047" t="s">
        <v>18</v>
      </c>
      <c r="I1047">
        <v>64</v>
      </c>
      <c r="J1047">
        <v>26.1</v>
      </c>
      <c r="K1047">
        <v>1</v>
      </c>
      <c r="L1047">
        <v>1</v>
      </c>
      <c r="M1047">
        <v>19</v>
      </c>
      <c r="N1047" t="s">
        <v>142</v>
      </c>
    </row>
    <row r="1048" spans="1:14" x14ac:dyDescent="0.35">
      <c r="A1048" t="s">
        <v>745</v>
      </c>
      <c r="B1048" t="s">
        <v>125</v>
      </c>
      <c r="C1048" t="s">
        <v>16</v>
      </c>
      <c r="D1048">
        <v>1</v>
      </c>
      <c r="E1048">
        <v>18</v>
      </c>
      <c r="F1048" t="s">
        <v>128</v>
      </c>
      <c r="G1048">
        <v>18</v>
      </c>
      <c r="H1048" t="s">
        <v>18</v>
      </c>
      <c r="I1048">
        <v>14</v>
      </c>
      <c r="J1048">
        <v>25.8</v>
      </c>
      <c r="K1048">
        <v>1</v>
      </c>
      <c r="L1048">
        <v>4</v>
      </c>
      <c r="M1048">
        <v>22</v>
      </c>
      <c r="N1048" t="s">
        <v>524</v>
      </c>
    </row>
    <row r="1049" spans="1:14" x14ac:dyDescent="0.35">
      <c r="A1049" t="s">
        <v>745</v>
      </c>
      <c r="B1049" t="s">
        <v>435</v>
      </c>
      <c r="C1049" t="s">
        <v>16</v>
      </c>
      <c r="D1049">
        <v>1</v>
      </c>
      <c r="E1049">
        <v>21</v>
      </c>
      <c r="F1049" t="s">
        <v>129</v>
      </c>
      <c r="G1049">
        <v>18</v>
      </c>
      <c r="H1049" t="s">
        <v>18</v>
      </c>
      <c r="I1049">
        <v>3</v>
      </c>
      <c r="J1049">
        <v>28.6</v>
      </c>
      <c r="K1049">
        <v>1</v>
      </c>
      <c r="L1049">
        <v>3</v>
      </c>
      <c r="M1049">
        <v>21</v>
      </c>
      <c r="N1049" t="s">
        <v>321</v>
      </c>
    </row>
    <row r="1050" spans="1:14" x14ac:dyDescent="0.35">
      <c r="A1050" t="s">
        <v>745</v>
      </c>
      <c r="B1050" t="s">
        <v>131</v>
      </c>
      <c r="C1050" t="s">
        <v>16</v>
      </c>
      <c r="D1050">
        <v>4</v>
      </c>
      <c r="E1050">
        <v>15</v>
      </c>
      <c r="F1050" t="s">
        <v>324</v>
      </c>
      <c r="G1050">
        <v>18</v>
      </c>
      <c r="H1050" t="s">
        <v>18</v>
      </c>
      <c r="I1050">
        <v>4</v>
      </c>
      <c r="J1050">
        <v>30.8</v>
      </c>
      <c r="K1050">
        <v>2</v>
      </c>
      <c r="L1050">
        <v>3</v>
      </c>
      <c r="M1050">
        <v>21</v>
      </c>
      <c r="N1050" t="s">
        <v>656</v>
      </c>
    </row>
    <row r="1051" spans="1:14" x14ac:dyDescent="0.35">
      <c r="A1051" t="s">
        <v>745</v>
      </c>
      <c r="B1051" t="s">
        <v>137</v>
      </c>
      <c r="C1051" t="s">
        <v>29</v>
      </c>
      <c r="D1051">
        <v>0</v>
      </c>
      <c r="E1051">
        <v>19</v>
      </c>
      <c r="F1051" t="s">
        <v>135</v>
      </c>
      <c r="G1051">
        <v>18</v>
      </c>
      <c r="H1051" t="s">
        <v>18</v>
      </c>
      <c r="I1051">
        <v>13</v>
      </c>
      <c r="J1051">
        <v>22.2</v>
      </c>
      <c r="K1051">
        <v>1</v>
      </c>
      <c r="L1051">
        <v>3</v>
      </c>
      <c r="M1051">
        <v>21</v>
      </c>
      <c r="N1051" t="s">
        <v>130</v>
      </c>
    </row>
    <row r="1052" spans="1:14" x14ac:dyDescent="0.35">
      <c r="A1052" t="s">
        <v>745</v>
      </c>
      <c r="B1052" t="s">
        <v>525</v>
      </c>
      <c r="C1052" t="s">
        <v>16</v>
      </c>
      <c r="D1052">
        <v>1</v>
      </c>
      <c r="E1052">
        <v>20</v>
      </c>
      <c r="F1052" t="s">
        <v>141</v>
      </c>
      <c r="G1052">
        <v>18</v>
      </c>
      <c r="H1052" t="s">
        <v>18</v>
      </c>
      <c r="I1052">
        <v>4</v>
      </c>
      <c r="J1052">
        <v>26.4</v>
      </c>
      <c r="K1052">
        <v>3</v>
      </c>
      <c r="L1052">
        <v>2</v>
      </c>
      <c r="M1052">
        <v>20</v>
      </c>
      <c r="N1052" t="s">
        <v>136</v>
      </c>
    </row>
    <row r="1053" spans="1:14" x14ac:dyDescent="0.35">
      <c r="A1053" t="s">
        <v>745</v>
      </c>
      <c r="B1053" t="s">
        <v>521</v>
      </c>
      <c r="C1053" t="s">
        <v>16</v>
      </c>
      <c r="D1053">
        <v>3</v>
      </c>
      <c r="E1053">
        <v>15</v>
      </c>
      <c r="F1053" t="s">
        <v>142</v>
      </c>
      <c r="G1053">
        <v>18</v>
      </c>
      <c r="H1053" t="s">
        <v>18</v>
      </c>
      <c r="I1053">
        <v>3</v>
      </c>
      <c r="J1053">
        <v>27.8</v>
      </c>
      <c r="K1053">
        <v>4</v>
      </c>
      <c r="L1053">
        <v>3</v>
      </c>
      <c r="M1053">
        <v>21</v>
      </c>
      <c r="N1053" t="s">
        <v>326</v>
      </c>
    </row>
    <row r="1054" spans="1:14" x14ac:dyDescent="0.35">
      <c r="A1054" t="s">
        <v>745</v>
      </c>
      <c r="B1054" t="s">
        <v>144</v>
      </c>
      <c r="C1054" t="s">
        <v>16</v>
      </c>
      <c r="D1054">
        <v>0</v>
      </c>
      <c r="E1054">
        <v>19</v>
      </c>
      <c r="F1054" t="s">
        <v>145</v>
      </c>
      <c r="G1054">
        <v>18</v>
      </c>
      <c r="H1054" t="s">
        <v>18</v>
      </c>
      <c r="I1054">
        <v>3</v>
      </c>
      <c r="J1054">
        <v>30.3</v>
      </c>
      <c r="K1054">
        <v>3</v>
      </c>
      <c r="L1054">
        <v>4</v>
      </c>
      <c r="M1054">
        <v>22</v>
      </c>
      <c r="N1054" t="s">
        <v>686</v>
      </c>
    </row>
    <row r="1055" spans="1:14" x14ac:dyDescent="0.35">
      <c r="A1055" t="s">
        <v>745</v>
      </c>
      <c r="B1055" t="s">
        <v>138</v>
      </c>
      <c r="C1055" t="s">
        <v>29</v>
      </c>
      <c r="D1055">
        <v>1</v>
      </c>
      <c r="E1055">
        <v>18</v>
      </c>
      <c r="F1055" t="s">
        <v>524</v>
      </c>
      <c r="G1055">
        <v>18</v>
      </c>
      <c r="H1055" t="s">
        <v>18</v>
      </c>
      <c r="I1055">
        <v>13</v>
      </c>
      <c r="J1055">
        <v>20.5</v>
      </c>
      <c r="K1055">
        <v>1</v>
      </c>
      <c r="L1055">
        <v>3</v>
      </c>
      <c r="M1055">
        <v>21</v>
      </c>
      <c r="N1055" t="s">
        <v>326</v>
      </c>
    </row>
    <row r="1056" spans="1:14" x14ac:dyDescent="0.35">
      <c r="A1056" t="s">
        <v>745</v>
      </c>
      <c r="B1056" t="s">
        <v>147</v>
      </c>
      <c r="C1056" t="s">
        <v>16</v>
      </c>
      <c r="D1056">
        <v>1</v>
      </c>
      <c r="E1056">
        <v>18</v>
      </c>
      <c r="F1056" t="s">
        <v>127</v>
      </c>
      <c r="G1056">
        <v>18</v>
      </c>
      <c r="H1056" t="s">
        <v>18</v>
      </c>
      <c r="I1056">
        <v>5</v>
      </c>
      <c r="J1056">
        <v>25.4</v>
      </c>
      <c r="K1056">
        <v>0</v>
      </c>
      <c r="L1056">
        <v>0</v>
      </c>
      <c r="M1056">
        <v>18</v>
      </c>
      <c r="N1056" t="s">
        <v>143</v>
      </c>
    </row>
    <row r="1057" spans="1:14" x14ac:dyDescent="0.35">
      <c r="A1057" t="s">
        <v>745</v>
      </c>
      <c r="B1057" t="s">
        <v>327</v>
      </c>
      <c r="C1057" t="s">
        <v>16</v>
      </c>
      <c r="D1057">
        <v>1</v>
      </c>
      <c r="E1057">
        <v>17</v>
      </c>
      <c r="F1057" t="s">
        <v>136</v>
      </c>
      <c r="G1057">
        <v>18</v>
      </c>
      <c r="H1057" t="s">
        <v>18</v>
      </c>
      <c r="I1057">
        <v>11</v>
      </c>
      <c r="J1057">
        <v>23.8</v>
      </c>
      <c r="K1057">
        <v>2</v>
      </c>
      <c r="L1057">
        <v>1</v>
      </c>
      <c r="M1057">
        <v>19</v>
      </c>
      <c r="N1057" t="s">
        <v>162</v>
      </c>
    </row>
    <row r="1058" spans="1:14" x14ac:dyDescent="0.35">
      <c r="A1058" t="s">
        <v>745</v>
      </c>
      <c r="B1058" t="s">
        <v>148</v>
      </c>
      <c r="C1058" t="s">
        <v>16</v>
      </c>
      <c r="D1058">
        <v>0</v>
      </c>
      <c r="E1058">
        <v>18</v>
      </c>
      <c r="F1058" t="s">
        <v>143</v>
      </c>
      <c r="G1058">
        <v>18</v>
      </c>
      <c r="H1058" t="s">
        <v>18</v>
      </c>
      <c r="I1058">
        <v>11</v>
      </c>
      <c r="J1058">
        <v>26.3</v>
      </c>
      <c r="K1058">
        <v>1</v>
      </c>
      <c r="L1058">
        <v>3</v>
      </c>
      <c r="M1058">
        <v>21</v>
      </c>
      <c r="N1058" t="s">
        <v>158</v>
      </c>
    </row>
    <row r="1059" spans="1:14" x14ac:dyDescent="0.35">
      <c r="A1059" t="s">
        <v>745</v>
      </c>
      <c r="B1059" t="s">
        <v>319</v>
      </c>
      <c r="C1059" t="s">
        <v>29</v>
      </c>
      <c r="D1059">
        <v>1</v>
      </c>
      <c r="E1059">
        <v>14</v>
      </c>
      <c r="F1059" t="s">
        <v>156</v>
      </c>
      <c r="G1059">
        <v>15</v>
      </c>
      <c r="H1059" t="s">
        <v>157</v>
      </c>
      <c r="I1059">
        <v>31</v>
      </c>
      <c r="J1059">
        <v>22.4</v>
      </c>
      <c r="K1059">
        <v>2</v>
      </c>
      <c r="L1059">
        <v>3</v>
      </c>
      <c r="M1059">
        <v>18</v>
      </c>
      <c r="N1059" t="s">
        <v>158</v>
      </c>
    </row>
    <row r="1060" spans="1:14" x14ac:dyDescent="0.35">
      <c r="A1060" t="s">
        <v>745</v>
      </c>
      <c r="B1060" t="s">
        <v>159</v>
      </c>
      <c r="C1060" t="s">
        <v>16</v>
      </c>
      <c r="D1060">
        <v>0</v>
      </c>
      <c r="E1060">
        <v>20</v>
      </c>
      <c r="F1060" t="s">
        <v>444</v>
      </c>
      <c r="G1060">
        <v>18</v>
      </c>
      <c r="H1060" t="s">
        <v>18</v>
      </c>
      <c r="I1060">
        <v>5</v>
      </c>
      <c r="J1060">
        <v>27.9</v>
      </c>
      <c r="K1060">
        <v>0</v>
      </c>
      <c r="L1060">
        <v>0</v>
      </c>
      <c r="M1060">
        <v>18</v>
      </c>
      <c r="N1060" t="s">
        <v>529</v>
      </c>
    </row>
    <row r="1061" spans="1:14" x14ac:dyDescent="0.35">
      <c r="A1061" t="s">
        <v>745</v>
      </c>
      <c r="B1061" t="s">
        <v>441</v>
      </c>
      <c r="C1061" t="s">
        <v>16</v>
      </c>
      <c r="D1061">
        <v>2</v>
      </c>
      <c r="E1061">
        <v>17</v>
      </c>
      <c r="F1061" t="s">
        <v>329</v>
      </c>
      <c r="G1061">
        <v>18</v>
      </c>
      <c r="H1061" t="s">
        <v>18</v>
      </c>
      <c r="I1061">
        <v>3</v>
      </c>
      <c r="J1061">
        <v>26.3</v>
      </c>
      <c r="K1061">
        <v>1</v>
      </c>
      <c r="L1061">
        <v>4</v>
      </c>
      <c r="M1061">
        <v>22</v>
      </c>
      <c r="N1061" t="s">
        <v>445</v>
      </c>
    </row>
    <row r="1062" spans="1:14" x14ac:dyDescent="0.35">
      <c r="A1062" t="s">
        <v>745</v>
      </c>
      <c r="B1062" t="s">
        <v>331</v>
      </c>
      <c r="C1062" t="s">
        <v>16</v>
      </c>
      <c r="D1062">
        <v>1</v>
      </c>
      <c r="E1062">
        <v>17</v>
      </c>
      <c r="F1062" t="s">
        <v>165</v>
      </c>
      <c r="G1062">
        <v>18</v>
      </c>
      <c r="H1062" t="s">
        <v>18</v>
      </c>
      <c r="I1062">
        <v>2</v>
      </c>
      <c r="J1062">
        <v>27.5</v>
      </c>
      <c r="K1062">
        <v>2</v>
      </c>
      <c r="L1062">
        <v>5</v>
      </c>
      <c r="M1062">
        <v>23</v>
      </c>
      <c r="N1062" t="s">
        <v>183</v>
      </c>
    </row>
    <row r="1063" spans="1:14" x14ac:dyDescent="0.35">
      <c r="A1063" t="s">
        <v>745</v>
      </c>
      <c r="B1063" t="s">
        <v>153</v>
      </c>
      <c r="C1063" t="s">
        <v>16</v>
      </c>
      <c r="D1063">
        <v>0</v>
      </c>
      <c r="E1063">
        <v>19</v>
      </c>
      <c r="F1063" t="s">
        <v>335</v>
      </c>
      <c r="G1063">
        <v>18</v>
      </c>
      <c r="H1063" t="s">
        <v>18</v>
      </c>
      <c r="I1063">
        <v>5</v>
      </c>
      <c r="J1063">
        <v>32.200000000000003</v>
      </c>
      <c r="K1063">
        <v>2</v>
      </c>
      <c r="L1063">
        <v>3</v>
      </c>
      <c r="M1063">
        <v>21</v>
      </c>
      <c r="N1063" t="s">
        <v>451</v>
      </c>
    </row>
    <row r="1064" spans="1:14" x14ac:dyDescent="0.35">
      <c r="A1064" t="s">
        <v>745</v>
      </c>
      <c r="B1064" t="s">
        <v>328</v>
      </c>
      <c r="C1064" t="s">
        <v>29</v>
      </c>
      <c r="D1064">
        <v>0</v>
      </c>
      <c r="E1064">
        <v>17</v>
      </c>
      <c r="F1064" t="s">
        <v>335</v>
      </c>
      <c r="G1064">
        <v>17</v>
      </c>
      <c r="H1064" t="s">
        <v>157</v>
      </c>
      <c r="I1064">
        <v>15</v>
      </c>
      <c r="J1064">
        <v>22.4</v>
      </c>
      <c r="K1064">
        <v>2</v>
      </c>
      <c r="L1064">
        <v>4</v>
      </c>
      <c r="M1064">
        <v>21</v>
      </c>
      <c r="N1064" t="s">
        <v>446</v>
      </c>
    </row>
    <row r="1065" spans="1:14" x14ac:dyDescent="0.35">
      <c r="A1065" t="s">
        <v>745</v>
      </c>
      <c r="B1065" t="s">
        <v>448</v>
      </c>
      <c r="C1065" t="s">
        <v>16</v>
      </c>
      <c r="D1065">
        <v>1</v>
      </c>
      <c r="E1065">
        <v>20</v>
      </c>
      <c r="F1065" t="s">
        <v>528</v>
      </c>
      <c r="G1065">
        <v>18</v>
      </c>
      <c r="H1065" t="s">
        <v>18</v>
      </c>
      <c r="I1065">
        <v>4</v>
      </c>
      <c r="J1065">
        <v>29.9</v>
      </c>
      <c r="K1065">
        <v>3</v>
      </c>
      <c r="L1065">
        <v>4</v>
      </c>
      <c r="M1065">
        <v>22</v>
      </c>
      <c r="N1065" t="s">
        <v>337</v>
      </c>
    </row>
    <row r="1066" spans="1:14" x14ac:dyDescent="0.35">
      <c r="A1066" t="s">
        <v>745</v>
      </c>
      <c r="B1066" t="s">
        <v>158</v>
      </c>
      <c r="C1066" t="s">
        <v>16</v>
      </c>
      <c r="D1066">
        <v>3</v>
      </c>
      <c r="E1066">
        <v>17</v>
      </c>
      <c r="F1066" t="s">
        <v>154</v>
      </c>
      <c r="G1066">
        <v>18</v>
      </c>
      <c r="H1066" t="s">
        <v>18</v>
      </c>
      <c r="I1066">
        <v>4</v>
      </c>
      <c r="J1066">
        <v>33.299999999999997</v>
      </c>
      <c r="K1066">
        <v>4</v>
      </c>
      <c r="L1066">
        <v>2</v>
      </c>
      <c r="M1066">
        <v>20</v>
      </c>
      <c r="N1066" t="s">
        <v>447</v>
      </c>
    </row>
    <row r="1067" spans="1:14" x14ac:dyDescent="0.35">
      <c r="A1067" t="s">
        <v>745</v>
      </c>
      <c r="B1067" t="s">
        <v>176</v>
      </c>
      <c r="C1067" t="s">
        <v>16</v>
      </c>
      <c r="D1067">
        <v>2</v>
      </c>
      <c r="E1067">
        <v>16</v>
      </c>
      <c r="F1067" t="s">
        <v>339</v>
      </c>
      <c r="G1067">
        <v>18</v>
      </c>
      <c r="H1067" t="s">
        <v>18</v>
      </c>
      <c r="I1067">
        <v>2</v>
      </c>
      <c r="J1067">
        <v>26</v>
      </c>
      <c r="K1067">
        <v>0</v>
      </c>
      <c r="L1067">
        <v>0</v>
      </c>
      <c r="M1067">
        <v>18</v>
      </c>
      <c r="N1067" t="s">
        <v>531</v>
      </c>
    </row>
    <row r="1068" spans="1:14" x14ac:dyDescent="0.35">
      <c r="A1068" t="s">
        <v>745</v>
      </c>
      <c r="B1068" t="s">
        <v>448</v>
      </c>
      <c r="C1068" t="s">
        <v>29</v>
      </c>
      <c r="D1068">
        <v>0</v>
      </c>
      <c r="E1068">
        <v>18</v>
      </c>
      <c r="F1068" t="s">
        <v>529</v>
      </c>
      <c r="G1068">
        <v>18</v>
      </c>
      <c r="H1068" t="s">
        <v>18</v>
      </c>
      <c r="I1068">
        <v>13</v>
      </c>
      <c r="J1068">
        <v>23</v>
      </c>
      <c r="K1068">
        <v>4</v>
      </c>
      <c r="L1068">
        <v>3</v>
      </c>
      <c r="M1068">
        <v>21</v>
      </c>
      <c r="N1068" t="s">
        <v>172</v>
      </c>
    </row>
    <row r="1069" spans="1:14" x14ac:dyDescent="0.35">
      <c r="A1069" t="s">
        <v>745</v>
      </c>
      <c r="B1069" t="s">
        <v>529</v>
      </c>
      <c r="C1069" t="s">
        <v>16</v>
      </c>
      <c r="D1069">
        <v>0</v>
      </c>
      <c r="E1069">
        <v>19</v>
      </c>
      <c r="F1069" t="s">
        <v>530</v>
      </c>
      <c r="G1069">
        <v>18</v>
      </c>
      <c r="H1069" t="s">
        <v>18</v>
      </c>
      <c r="I1069">
        <v>10</v>
      </c>
      <c r="J1069">
        <v>28</v>
      </c>
      <c r="K1069">
        <v>2</v>
      </c>
      <c r="L1069">
        <v>2</v>
      </c>
      <c r="M1069">
        <v>20</v>
      </c>
      <c r="N1069" t="s">
        <v>453</v>
      </c>
    </row>
    <row r="1070" spans="1:14" x14ac:dyDescent="0.35">
      <c r="A1070" t="s">
        <v>745</v>
      </c>
      <c r="B1070" t="s">
        <v>181</v>
      </c>
      <c r="C1070" t="s">
        <v>16</v>
      </c>
      <c r="D1070">
        <v>1</v>
      </c>
      <c r="E1070">
        <v>19</v>
      </c>
      <c r="F1070" t="s">
        <v>170</v>
      </c>
      <c r="G1070">
        <v>18</v>
      </c>
      <c r="H1070" t="s">
        <v>18</v>
      </c>
      <c r="I1070">
        <v>6</v>
      </c>
      <c r="J1070">
        <v>28.8</v>
      </c>
      <c r="K1070">
        <v>2</v>
      </c>
      <c r="L1070">
        <v>3</v>
      </c>
      <c r="M1070">
        <v>21</v>
      </c>
      <c r="N1070" t="s">
        <v>455</v>
      </c>
    </row>
    <row r="1071" spans="1:14" x14ac:dyDescent="0.35">
      <c r="A1071" t="s">
        <v>745</v>
      </c>
      <c r="B1071" t="s">
        <v>167</v>
      </c>
      <c r="C1071" t="s">
        <v>29</v>
      </c>
      <c r="D1071">
        <v>0</v>
      </c>
      <c r="E1071">
        <v>14</v>
      </c>
      <c r="F1071" t="s">
        <v>337</v>
      </c>
      <c r="G1071">
        <v>14</v>
      </c>
      <c r="H1071" t="s">
        <v>157</v>
      </c>
      <c r="I1071">
        <v>15</v>
      </c>
      <c r="J1071">
        <v>18.8</v>
      </c>
      <c r="K1071">
        <v>1</v>
      </c>
      <c r="L1071">
        <v>5</v>
      </c>
      <c r="M1071">
        <v>19</v>
      </c>
      <c r="N1071" t="s">
        <v>453</v>
      </c>
    </row>
    <row r="1072" spans="1:14" x14ac:dyDescent="0.35">
      <c r="A1072" t="s">
        <v>745</v>
      </c>
      <c r="B1072" t="s">
        <v>451</v>
      </c>
      <c r="C1072" t="s">
        <v>16</v>
      </c>
      <c r="D1072">
        <v>2</v>
      </c>
      <c r="E1072">
        <v>16</v>
      </c>
      <c r="F1072" t="s">
        <v>344</v>
      </c>
      <c r="G1072">
        <v>18</v>
      </c>
      <c r="H1072" t="s">
        <v>18</v>
      </c>
      <c r="I1072">
        <v>12</v>
      </c>
      <c r="J1072">
        <v>26.2</v>
      </c>
      <c r="K1072">
        <v>2</v>
      </c>
      <c r="L1072">
        <v>2</v>
      </c>
      <c r="M1072">
        <v>20</v>
      </c>
      <c r="N1072" t="s">
        <v>351</v>
      </c>
    </row>
    <row r="1073" spans="1:14" x14ac:dyDescent="0.35">
      <c r="A1073" t="s">
        <v>745</v>
      </c>
      <c r="B1073" t="s">
        <v>172</v>
      </c>
      <c r="C1073" t="s">
        <v>29</v>
      </c>
      <c r="D1073">
        <v>0</v>
      </c>
      <c r="E1073">
        <v>5</v>
      </c>
      <c r="F1073" t="s">
        <v>453</v>
      </c>
      <c r="G1073">
        <v>5</v>
      </c>
      <c r="H1073" t="s">
        <v>157</v>
      </c>
      <c r="I1073">
        <v>15</v>
      </c>
      <c r="J1073">
        <v>28.2</v>
      </c>
      <c r="K1073">
        <v>4</v>
      </c>
      <c r="L1073">
        <v>3</v>
      </c>
      <c r="M1073">
        <v>8</v>
      </c>
      <c r="N1073" t="s">
        <v>196</v>
      </c>
    </row>
    <row r="1074" spans="1:14" x14ac:dyDescent="0.35">
      <c r="A1074" t="s">
        <v>745</v>
      </c>
      <c r="B1074" t="s">
        <v>190</v>
      </c>
      <c r="C1074" t="s">
        <v>16</v>
      </c>
      <c r="D1074">
        <v>0</v>
      </c>
      <c r="E1074">
        <v>12</v>
      </c>
      <c r="F1074" t="s">
        <v>347</v>
      </c>
      <c r="G1074">
        <v>12</v>
      </c>
      <c r="H1074" t="s">
        <v>157</v>
      </c>
      <c r="I1074">
        <v>15</v>
      </c>
      <c r="J1074">
        <v>27.7</v>
      </c>
      <c r="K1074">
        <v>0</v>
      </c>
      <c r="L1074">
        <v>0</v>
      </c>
      <c r="M1074">
        <v>12</v>
      </c>
      <c r="N1074" t="s">
        <v>591</v>
      </c>
    </row>
    <row r="1075" spans="1:14" x14ac:dyDescent="0.35">
      <c r="A1075" t="s">
        <v>745</v>
      </c>
      <c r="B1075" t="s">
        <v>658</v>
      </c>
      <c r="C1075" t="s">
        <v>29</v>
      </c>
      <c r="D1075">
        <v>0</v>
      </c>
      <c r="E1075">
        <v>7</v>
      </c>
      <c r="F1075" t="s">
        <v>461</v>
      </c>
      <c r="G1075">
        <v>7</v>
      </c>
      <c r="H1075" t="s">
        <v>157</v>
      </c>
      <c r="I1075">
        <v>15</v>
      </c>
      <c r="J1075">
        <v>16.8</v>
      </c>
      <c r="K1075">
        <v>4</v>
      </c>
      <c r="L1075">
        <v>1</v>
      </c>
      <c r="M1075">
        <v>8</v>
      </c>
      <c r="N1075" t="s">
        <v>193</v>
      </c>
    </row>
    <row r="1076" spans="1:14" x14ac:dyDescent="0.35">
      <c r="A1076" t="s">
        <v>745</v>
      </c>
      <c r="B1076" t="s">
        <v>342</v>
      </c>
      <c r="C1076" t="s">
        <v>16</v>
      </c>
      <c r="D1076">
        <v>0</v>
      </c>
      <c r="E1076">
        <v>8</v>
      </c>
      <c r="F1076" t="s">
        <v>740</v>
      </c>
      <c r="G1076">
        <v>8</v>
      </c>
      <c r="H1076" t="s">
        <v>157</v>
      </c>
      <c r="I1076">
        <v>15</v>
      </c>
      <c r="J1076">
        <v>32.9</v>
      </c>
      <c r="K1076">
        <v>4</v>
      </c>
      <c r="L1076">
        <v>3</v>
      </c>
      <c r="M1076">
        <v>11</v>
      </c>
      <c r="N1076" t="s">
        <v>197</v>
      </c>
    </row>
    <row r="1077" spans="1:14" x14ac:dyDescent="0.35">
      <c r="A1077" t="s">
        <v>745</v>
      </c>
      <c r="B1077" t="s">
        <v>537</v>
      </c>
      <c r="C1077" t="s">
        <v>29</v>
      </c>
      <c r="D1077">
        <v>0</v>
      </c>
      <c r="E1077">
        <v>5</v>
      </c>
      <c r="F1077" t="s">
        <v>592</v>
      </c>
      <c r="G1077">
        <v>5</v>
      </c>
      <c r="H1077" t="s">
        <v>157</v>
      </c>
      <c r="I1077">
        <v>15</v>
      </c>
      <c r="J1077">
        <v>22.8</v>
      </c>
      <c r="K1077">
        <v>1</v>
      </c>
      <c r="L1077">
        <v>1</v>
      </c>
      <c r="M1077">
        <v>6</v>
      </c>
      <c r="N1077" t="s">
        <v>207</v>
      </c>
    </row>
    <row r="1078" spans="1:14" x14ac:dyDescent="0.35">
      <c r="A1078" t="s">
        <v>745</v>
      </c>
      <c r="B1078" t="s">
        <v>533</v>
      </c>
      <c r="C1078" t="s">
        <v>16</v>
      </c>
      <c r="D1078">
        <v>0</v>
      </c>
      <c r="E1078">
        <v>8</v>
      </c>
      <c r="F1078" t="s">
        <v>458</v>
      </c>
      <c r="G1078">
        <v>8</v>
      </c>
      <c r="H1078" t="s">
        <v>157</v>
      </c>
      <c r="I1078">
        <v>15</v>
      </c>
      <c r="J1078">
        <v>27.8</v>
      </c>
      <c r="K1078">
        <v>3</v>
      </c>
      <c r="L1078">
        <v>1</v>
      </c>
      <c r="M1078">
        <v>9</v>
      </c>
      <c r="N1078" t="s">
        <v>749</v>
      </c>
    </row>
    <row r="1079" spans="1:14" x14ac:dyDescent="0.35">
      <c r="A1079" t="s">
        <v>745</v>
      </c>
      <c r="B1079" t="s">
        <v>627</v>
      </c>
      <c r="C1079" t="s">
        <v>16</v>
      </c>
      <c r="D1079">
        <v>0</v>
      </c>
      <c r="E1079">
        <v>14</v>
      </c>
      <c r="F1079" t="s">
        <v>661</v>
      </c>
      <c r="G1079">
        <v>14</v>
      </c>
      <c r="H1079" t="s">
        <v>157</v>
      </c>
      <c r="I1079">
        <v>15</v>
      </c>
      <c r="J1079">
        <v>28.9</v>
      </c>
      <c r="K1079">
        <v>3</v>
      </c>
      <c r="L1079">
        <v>3</v>
      </c>
      <c r="M1079">
        <v>17</v>
      </c>
      <c r="N1079" t="s">
        <v>466</v>
      </c>
    </row>
    <row r="1080" spans="1:14" x14ac:dyDescent="0.35">
      <c r="A1080" t="s">
        <v>745</v>
      </c>
      <c r="B1080" t="s">
        <v>207</v>
      </c>
      <c r="C1080" t="s">
        <v>16</v>
      </c>
      <c r="D1080">
        <v>0</v>
      </c>
      <c r="E1080">
        <v>14</v>
      </c>
      <c r="F1080" t="s">
        <v>208</v>
      </c>
      <c r="G1080">
        <v>14</v>
      </c>
      <c r="H1080" t="s">
        <v>157</v>
      </c>
      <c r="I1080">
        <v>15</v>
      </c>
      <c r="J1080">
        <v>29</v>
      </c>
      <c r="K1080">
        <v>2</v>
      </c>
      <c r="L1080">
        <v>1</v>
      </c>
      <c r="M1080">
        <v>15</v>
      </c>
      <c r="N1080" t="s">
        <v>546</v>
      </c>
    </row>
    <row r="1081" spans="1:14" x14ac:dyDescent="0.35">
      <c r="A1081" t="s">
        <v>745</v>
      </c>
      <c r="B1081" t="s">
        <v>210</v>
      </c>
      <c r="C1081" t="s">
        <v>16</v>
      </c>
      <c r="D1081">
        <v>0</v>
      </c>
      <c r="E1081">
        <v>16</v>
      </c>
      <c r="F1081" t="s">
        <v>211</v>
      </c>
      <c r="G1081">
        <v>16</v>
      </c>
      <c r="H1081" t="s">
        <v>157</v>
      </c>
      <c r="I1081">
        <v>15</v>
      </c>
      <c r="J1081">
        <v>27.5</v>
      </c>
      <c r="K1081">
        <v>3</v>
      </c>
      <c r="L1081">
        <v>3</v>
      </c>
      <c r="M1081">
        <v>19</v>
      </c>
      <c r="N1081" t="s">
        <v>665</v>
      </c>
    </row>
    <row r="1082" spans="1:14" x14ac:dyDescent="0.35">
      <c r="A1082" t="s">
        <v>745</v>
      </c>
      <c r="B1082" t="s">
        <v>541</v>
      </c>
      <c r="C1082" t="s">
        <v>16</v>
      </c>
      <c r="D1082">
        <v>0</v>
      </c>
      <c r="E1082">
        <v>11</v>
      </c>
      <c r="F1082" t="s">
        <v>214</v>
      </c>
      <c r="G1082">
        <v>11</v>
      </c>
      <c r="H1082" t="s">
        <v>157</v>
      </c>
      <c r="I1082">
        <v>15</v>
      </c>
      <c r="J1082">
        <v>26.8</v>
      </c>
      <c r="K1082">
        <v>0</v>
      </c>
      <c r="L1082">
        <v>0</v>
      </c>
      <c r="M1082">
        <v>11</v>
      </c>
      <c r="N1082" t="s">
        <v>666</v>
      </c>
    </row>
    <row r="1083" spans="1:14" x14ac:dyDescent="0.35">
      <c r="A1083" t="s">
        <v>745</v>
      </c>
      <c r="B1083" t="s">
        <v>216</v>
      </c>
      <c r="C1083" t="s">
        <v>16</v>
      </c>
      <c r="D1083">
        <v>0</v>
      </c>
      <c r="E1083">
        <v>15</v>
      </c>
      <c r="F1083" t="s">
        <v>217</v>
      </c>
      <c r="G1083">
        <v>15</v>
      </c>
      <c r="H1083" t="s">
        <v>157</v>
      </c>
      <c r="I1083">
        <v>15</v>
      </c>
      <c r="J1083">
        <v>29.2</v>
      </c>
      <c r="K1083">
        <v>0</v>
      </c>
      <c r="L1083">
        <v>0</v>
      </c>
      <c r="M1083">
        <v>15</v>
      </c>
      <c r="N1083" t="s">
        <v>599</v>
      </c>
    </row>
    <row r="1084" spans="1:14" x14ac:dyDescent="0.35">
      <c r="A1084" t="s">
        <v>745</v>
      </c>
      <c r="B1084" t="s">
        <v>750</v>
      </c>
      <c r="C1084" t="s">
        <v>16</v>
      </c>
      <c r="D1084">
        <v>0</v>
      </c>
      <c r="E1084">
        <v>10</v>
      </c>
      <c r="F1084" t="s">
        <v>469</v>
      </c>
      <c r="G1084">
        <v>10</v>
      </c>
      <c r="H1084" t="s">
        <v>157</v>
      </c>
      <c r="I1084">
        <v>15</v>
      </c>
      <c r="J1084">
        <v>26.5</v>
      </c>
      <c r="K1084">
        <v>4</v>
      </c>
      <c r="L1084">
        <v>3</v>
      </c>
      <c r="M1084">
        <v>13</v>
      </c>
      <c r="N1084" t="s">
        <v>477</v>
      </c>
    </row>
    <row r="1085" spans="1:14" x14ac:dyDescent="0.35">
      <c r="A1085" t="s">
        <v>745</v>
      </c>
      <c r="B1085" t="s">
        <v>222</v>
      </c>
      <c r="C1085" t="s">
        <v>16</v>
      </c>
      <c r="D1085">
        <v>0</v>
      </c>
      <c r="E1085">
        <v>16</v>
      </c>
      <c r="F1085" t="s">
        <v>223</v>
      </c>
      <c r="G1085">
        <v>16</v>
      </c>
      <c r="H1085" t="s">
        <v>157</v>
      </c>
      <c r="I1085">
        <v>15</v>
      </c>
      <c r="J1085">
        <v>31</v>
      </c>
      <c r="K1085">
        <v>0</v>
      </c>
      <c r="L1085">
        <v>0</v>
      </c>
      <c r="M1085">
        <v>16</v>
      </c>
      <c r="N1085" t="s">
        <v>728</v>
      </c>
    </row>
    <row r="1086" spans="1:14" x14ac:dyDescent="0.35">
      <c r="A1086" t="s">
        <v>745</v>
      </c>
      <c r="B1086" t="s">
        <v>378</v>
      </c>
      <c r="C1086" t="s">
        <v>16</v>
      </c>
      <c r="D1086">
        <v>0</v>
      </c>
      <c r="E1086">
        <v>16</v>
      </c>
      <c r="F1086" t="s">
        <v>379</v>
      </c>
      <c r="G1086">
        <v>16</v>
      </c>
      <c r="H1086" t="s">
        <v>157</v>
      </c>
      <c r="I1086">
        <v>15</v>
      </c>
      <c r="J1086">
        <v>27</v>
      </c>
      <c r="K1086">
        <v>0</v>
      </c>
      <c r="L1086">
        <v>0</v>
      </c>
      <c r="M1086">
        <v>16</v>
      </c>
      <c r="N1086" t="s">
        <v>636</v>
      </c>
    </row>
    <row r="1087" spans="1:14" x14ac:dyDescent="0.35">
      <c r="A1087" t="s">
        <v>745</v>
      </c>
      <c r="B1087" t="s">
        <v>603</v>
      </c>
      <c r="C1087" t="s">
        <v>16</v>
      </c>
      <c r="D1087">
        <v>0</v>
      </c>
      <c r="E1087">
        <v>9</v>
      </c>
      <c r="F1087" t="s">
        <v>383</v>
      </c>
      <c r="G1087">
        <v>9</v>
      </c>
      <c r="H1087" t="s">
        <v>157</v>
      </c>
      <c r="I1087">
        <v>15</v>
      </c>
      <c r="J1087">
        <v>27.6</v>
      </c>
      <c r="K1087">
        <v>4</v>
      </c>
      <c r="L1087">
        <v>3</v>
      </c>
      <c r="M1087">
        <v>12</v>
      </c>
      <c r="N1087" t="s">
        <v>731</v>
      </c>
    </row>
    <row r="1088" spans="1:14" x14ac:dyDescent="0.35">
      <c r="A1088" t="s">
        <v>745</v>
      </c>
      <c r="B1088" t="s">
        <v>751</v>
      </c>
      <c r="C1088" t="s">
        <v>16</v>
      </c>
      <c r="D1088">
        <v>0</v>
      </c>
      <c r="E1088">
        <v>11</v>
      </c>
      <c r="F1088" t="s">
        <v>556</v>
      </c>
      <c r="G1088">
        <v>11</v>
      </c>
      <c r="H1088" t="s">
        <v>157</v>
      </c>
      <c r="I1088">
        <v>15</v>
      </c>
      <c r="J1088">
        <v>28.8</v>
      </c>
      <c r="K1088">
        <v>3</v>
      </c>
      <c r="L1088">
        <v>0</v>
      </c>
      <c r="M1088">
        <v>11</v>
      </c>
      <c r="N1088" t="s">
        <v>752</v>
      </c>
    </row>
    <row r="1089" spans="1:14" x14ac:dyDescent="0.35">
      <c r="A1089" t="s">
        <v>745</v>
      </c>
      <c r="B1089" t="s">
        <v>604</v>
      </c>
      <c r="C1089" t="s">
        <v>16</v>
      </c>
      <c r="D1089">
        <v>0</v>
      </c>
      <c r="E1089">
        <v>18</v>
      </c>
      <c r="F1089" t="s">
        <v>235</v>
      </c>
      <c r="G1089">
        <v>18</v>
      </c>
      <c r="H1089" t="s">
        <v>18</v>
      </c>
      <c r="I1089">
        <v>12</v>
      </c>
      <c r="J1089">
        <v>26.6</v>
      </c>
      <c r="K1089">
        <v>4</v>
      </c>
      <c r="L1089">
        <v>0</v>
      </c>
      <c r="M1089">
        <v>18</v>
      </c>
      <c r="N1089" t="s">
        <v>387</v>
      </c>
    </row>
    <row r="1090" spans="1:14" x14ac:dyDescent="0.35">
      <c r="A1090" t="s">
        <v>745</v>
      </c>
      <c r="B1090" t="s">
        <v>237</v>
      </c>
      <c r="C1090" t="s">
        <v>16</v>
      </c>
      <c r="D1090">
        <v>0</v>
      </c>
      <c r="E1090">
        <v>16</v>
      </c>
      <c r="F1090" t="s">
        <v>238</v>
      </c>
      <c r="G1090">
        <v>16</v>
      </c>
      <c r="H1090" t="s">
        <v>157</v>
      </c>
      <c r="I1090">
        <v>15</v>
      </c>
      <c r="J1090">
        <v>29.6</v>
      </c>
      <c r="K1090">
        <v>0</v>
      </c>
      <c r="L1090">
        <v>0</v>
      </c>
      <c r="M1090">
        <v>16</v>
      </c>
      <c r="N1090" t="s">
        <v>244</v>
      </c>
    </row>
    <row r="1091" spans="1:14" x14ac:dyDescent="0.35">
      <c r="A1091" t="s">
        <v>745</v>
      </c>
      <c r="B1091" t="s">
        <v>753</v>
      </c>
      <c r="C1091" t="s">
        <v>16</v>
      </c>
      <c r="D1091">
        <v>0</v>
      </c>
      <c r="E1091">
        <v>11</v>
      </c>
      <c r="F1091" t="s">
        <v>754</v>
      </c>
      <c r="G1091">
        <v>11</v>
      </c>
      <c r="H1091" t="s">
        <v>157</v>
      </c>
      <c r="I1091">
        <v>15</v>
      </c>
      <c r="J1091">
        <v>27.4</v>
      </c>
      <c r="K1091">
        <v>0</v>
      </c>
      <c r="L1091">
        <v>0</v>
      </c>
      <c r="M1091">
        <v>11</v>
      </c>
      <c r="N1091" t="s">
        <v>392</v>
      </c>
    </row>
    <row r="1092" spans="1:14" x14ac:dyDescent="0.35">
      <c r="A1092" t="s">
        <v>745</v>
      </c>
      <c r="B1092" t="s">
        <v>393</v>
      </c>
      <c r="C1092" t="s">
        <v>16</v>
      </c>
      <c r="D1092">
        <v>0</v>
      </c>
      <c r="E1092">
        <v>8</v>
      </c>
      <c r="F1092" t="s">
        <v>394</v>
      </c>
      <c r="G1092">
        <v>8</v>
      </c>
      <c r="H1092" t="s">
        <v>157</v>
      </c>
      <c r="I1092">
        <v>15</v>
      </c>
      <c r="J1092">
        <v>28.7</v>
      </c>
      <c r="K1092">
        <v>0</v>
      </c>
      <c r="L1092">
        <v>0</v>
      </c>
      <c r="M1092">
        <v>8</v>
      </c>
      <c r="N1092" t="s">
        <v>571</v>
      </c>
    </row>
    <row r="1093" spans="1:14" x14ac:dyDescent="0.35">
      <c r="A1093" t="s">
        <v>745</v>
      </c>
      <c r="B1093" t="s">
        <v>487</v>
      </c>
      <c r="C1093" t="s">
        <v>16</v>
      </c>
      <c r="D1093">
        <v>0</v>
      </c>
      <c r="E1093">
        <v>11</v>
      </c>
      <c r="F1093" t="s">
        <v>733</v>
      </c>
      <c r="G1093">
        <v>11</v>
      </c>
      <c r="H1093" t="s">
        <v>157</v>
      </c>
      <c r="I1093">
        <v>15</v>
      </c>
      <c r="J1093">
        <v>29.9</v>
      </c>
      <c r="K1093">
        <v>3</v>
      </c>
      <c r="L1093">
        <v>0</v>
      </c>
      <c r="M1093">
        <v>11</v>
      </c>
      <c r="N1093" t="s">
        <v>755</v>
      </c>
    </row>
    <row r="1094" spans="1:14" x14ac:dyDescent="0.35">
      <c r="A1094" t="s">
        <v>745</v>
      </c>
      <c r="B1094" t="s">
        <v>399</v>
      </c>
      <c r="C1094" t="s">
        <v>16</v>
      </c>
      <c r="D1094">
        <v>0</v>
      </c>
      <c r="E1094">
        <v>15</v>
      </c>
      <c r="F1094" t="s">
        <v>568</v>
      </c>
      <c r="G1094">
        <v>15</v>
      </c>
      <c r="H1094" t="s">
        <v>157</v>
      </c>
      <c r="I1094">
        <v>15</v>
      </c>
      <c r="J1094">
        <v>28.5</v>
      </c>
      <c r="K1094">
        <v>1</v>
      </c>
      <c r="L1094">
        <v>0</v>
      </c>
      <c r="M1094">
        <v>15</v>
      </c>
      <c r="N1094" t="s">
        <v>756</v>
      </c>
    </row>
    <row r="1095" spans="1:14" x14ac:dyDescent="0.35">
      <c r="A1095" t="s">
        <v>757</v>
      </c>
      <c r="B1095" t="s">
        <v>15</v>
      </c>
      <c r="C1095" t="s">
        <v>16</v>
      </c>
      <c r="D1095">
        <v>0</v>
      </c>
      <c r="E1095">
        <v>23</v>
      </c>
      <c r="F1095" t="s">
        <v>254</v>
      </c>
      <c r="G1095">
        <v>18</v>
      </c>
      <c r="H1095" t="s">
        <v>18</v>
      </c>
      <c r="I1095">
        <v>5</v>
      </c>
      <c r="J1095">
        <v>29.9</v>
      </c>
      <c r="K1095">
        <v>4</v>
      </c>
      <c r="L1095">
        <v>4</v>
      </c>
      <c r="M1095">
        <v>22</v>
      </c>
      <c r="N1095" t="s">
        <v>22</v>
      </c>
    </row>
    <row r="1096" spans="1:14" x14ac:dyDescent="0.35">
      <c r="A1096" t="s">
        <v>757</v>
      </c>
      <c r="B1096" t="s">
        <v>21</v>
      </c>
      <c r="C1096" t="s">
        <v>16</v>
      </c>
      <c r="D1096">
        <v>5</v>
      </c>
      <c r="E1096">
        <v>15</v>
      </c>
      <c r="F1096" t="s">
        <v>404</v>
      </c>
      <c r="G1096">
        <v>18</v>
      </c>
      <c r="H1096" t="s">
        <v>18</v>
      </c>
      <c r="I1096">
        <v>3</v>
      </c>
      <c r="J1096">
        <v>26.4</v>
      </c>
      <c r="K1096">
        <v>0</v>
      </c>
      <c r="L1096">
        <v>0</v>
      </c>
      <c r="M1096">
        <v>18</v>
      </c>
      <c r="N1096" t="s">
        <v>257</v>
      </c>
    </row>
    <row r="1097" spans="1:14" x14ac:dyDescent="0.35">
      <c r="A1097" t="s">
        <v>757</v>
      </c>
      <c r="B1097" t="s">
        <v>15</v>
      </c>
      <c r="C1097" t="s">
        <v>29</v>
      </c>
      <c r="D1097">
        <v>0</v>
      </c>
      <c r="E1097">
        <v>18</v>
      </c>
      <c r="F1097" t="s">
        <v>407</v>
      </c>
      <c r="G1097">
        <v>18</v>
      </c>
      <c r="H1097" t="s">
        <v>18</v>
      </c>
      <c r="I1097">
        <v>12</v>
      </c>
      <c r="J1097">
        <v>28</v>
      </c>
      <c r="K1097">
        <v>3</v>
      </c>
      <c r="L1097">
        <v>3</v>
      </c>
      <c r="M1097">
        <v>21</v>
      </c>
      <c r="N1097" t="s">
        <v>255</v>
      </c>
    </row>
    <row r="1098" spans="1:14" x14ac:dyDescent="0.35">
      <c r="A1098" t="s">
        <v>757</v>
      </c>
      <c r="B1098" t="s">
        <v>24</v>
      </c>
      <c r="C1098" t="s">
        <v>16</v>
      </c>
      <c r="D1098">
        <v>2</v>
      </c>
      <c r="E1098">
        <v>19</v>
      </c>
      <c r="F1098" t="s">
        <v>256</v>
      </c>
      <c r="G1098">
        <v>18</v>
      </c>
      <c r="H1098" t="s">
        <v>18</v>
      </c>
      <c r="I1098">
        <v>3</v>
      </c>
      <c r="J1098">
        <v>29.5</v>
      </c>
      <c r="K1098">
        <v>2</v>
      </c>
      <c r="L1098">
        <v>5</v>
      </c>
      <c r="M1098">
        <v>23</v>
      </c>
      <c r="N1098" t="s">
        <v>497</v>
      </c>
    </row>
    <row r="1099" spans="1:14" x14ac:dyDescent="0.35">
      <c r="A1099" t="s">
        <v>757</v>
      </c>
      <c r="B1099" t="s">
        <v>263</v>
      </c>
      <c r="C1099" t="s">
        <v>16</v>
      </c>
      <c r="D1099">
        <v>3</v>
      </c>
      <c r="E1099">
        <v>21</v>
      </c>
      <c r="F1099" t="s">
        <v>499</v>
      </c>
      <c r="G1099">
        <v>18</v>
      </c>
      <c r="H1099" t="s">
        <v>18</v>
      </c>
      <c r="I1099">
        <v>4</v>
      </c>
      <c r="J1099">
        <v>34.200000000000003</v>
      </c>
      <c r="K1099">
        <v>2</v>
      </c>
      <c r="L1099">
        <v>4</v>
      </c>
      <c r="M1099">
        <v>22</v>
      </c>
      <c r="N1099" t="s">
        <v>266</v>
      </c>
    </row>
    <row r="1100" spans="1:14" x14ac:dyDescent="0.35">
      <c r="A1100" t="s">
        <v>757</v>
      </c>
      <c r="B1100" t="s">
        <v>260</v>
      </c>
      <c r="C1100" t="s">
        <v>16</v>
      </c>
      <c r="D1100">
        <v>6</v>
      </c>
      <c r="E1100">
        <v>18</v>
      </c>
      <c r="F1100" t="s">
        <v>33</v>
      </c>
      <c r="G1100">
        <v>18</v>
      </c>
      <c r="H1100" t="s">
        <v>18</v>
      </c>
      <c r="I1100">
        <v>2</v>
      </c>
      <c r="J1100">
        <v>31.9</v>
      </c>
      <c r="K1100">
        <v>2</v>
      </c>
      <c r="L1100">
        <v>4</v>
      </c>
      <c r="M1100">
        <v>22</v>
      </c>
      <c r="N1100" t="s">
        <v>266</v>
      </c>
    </row>
    <row r="1101" spans="1:14" x14ac:dyDescent="0.35">
      <c r="A1101" t="s">
        <v>757</v>
      </c>
      <c r="B1101" t="s">
        <v>701</v>
      </c>
      <c r="C1101" t="s">
        <v>16</v>
      </c>
      <c r="D1101">
        <v>6</v>
      </c>
      <c r="E1101">
        <v>12</v>
      </c>
      <c r="F1101" t="s">
        <v>406</v>
      </c>
      <c r="G1101">
        <v>18</v>
      </c>
      <c r="H1101" t="s">
        <v>18</v>
      </c>
      <c r="I1101">
        <v>1</v>
      </c>
      <c r="J1101">
        <v>30.3</v>
      </c>
      <c r="K1101">
        <v>4</v>
      </c>
      <c r="L1101">
        <v>4</v>
      </c>
      <c r="M1101">
        <v>22</v>
      </c>
      <c r="N1101" t="s">
        <v>35</v>
      </c>
    </row>
    <row r="1102" spans="1:14" x14ac:dyDescent="0.35">
      <c r="A1102" t="s">
        <v>757</v>
      </c>
      <c r="B1102" t="s">
        <v>261</v>
      </c>
      <c r="C1102" t="s">
        <v>16</v>
      </c>
      <c r="D1102">
        <v>0</v>
      </c>
      <c r="E1102">
        <v>21</v>
      </c>
      <c r="F1102" t="s">
        <v>36</v>
      </c>
      <c r="G1102">
        <v>18</v>
      </c>
      <c r="H1102" t="s">
        <v>18</v>
      </c>
      <c r="I1102">
        <v>3</v>
      </c>
      <c r="J1102">
        <v>23</v>
      </c>
      <c r="K1102">
        <v>0</v>
      </c>
      <c r="L1102">
        <v>0</v>
      </c>
      <c r="M1102">
        <v>18</v>
      </c>
      <c r="N1102" t="s">
        <v>262</v>
      </c>
    </row>
    <row r="1103" spans="1:14" x14ac:dyDescent="0.35">
      <c r="A1103" t="s">
        <v>757</v>
      </c>
      <c r="B1103" t="s">
        <v>263</v>
      </c>
      <c r="C1103" t="s">
        <v>29</v>
      </c>
      <c r="D1103">
        <v>0</v>
      </c>
      <c r="E1103">
        <v>19</v>
      </c>
      <c r="F1103" t="s">
        <v>39</v>
      </c>
      <c r="G1103">
        <v>18</v>
      </c>
      <c r="H1103" t="s">
        <v>18</v>
      </c>
      <c r="I1103">
        <v>15</v>
      </c>
      <c r="J1103">
        <v>21.8</v>
      </c>
      <c r="K1103">
        <v>2</v>
      </c>
      <c r="L1103">
        <v>5</v>
      </c>
      <c r="M1103">
        <v>23</v>
      </c>
      <c r="N1103" t="s">
        <v>262</v>
      </c>
    </row>
    <row r="1104" spans="1:14" x14ac:dyDescent="0.35">
      <c r="A1104" t="s">
        <v>757</v>
      </c>
      <c r="B1104" t="s">
        <v>50</v>
      </c>
      <c r="C1104" t="s">
        <v>16</v>
      </c>
      <c r="D1104">
        <v>3</v>
      </c>
      <c r="E1104">
        <v>17</v>
      </c>
      <c r="F1104" t="s">
        <v>25</v>
      </c>
      <c r="G1104">
        <v>18</v>
      </c>
      <c r="H1104" t="s">
        <v>18</v>
      </c>
      <c r="I1104">
        <v>9</v>
      </c>
      <c r="J1104">
        <v>26.8</v>
      </c>
      <c r="K1104">
        <v>1</v>
      </c>
      <c r="L1104">
        <v>3</v>
      </c>
      <c r="M1104">
        <v>21</v>
      </c>
      <c r="N1104" t="s">
        <v>48</v>
      </c>
    </row>
    <row r="1105" spans="1:14" x14ac:dyDescent="0.35">
      <c r="A1105" t="s">
        <v>757</v>
      </c>
      <c r="B1105" t="s">
        <v>501</v>
      </c>
      <c r="C1105" t="s">
        <v>16</v>
      </c>
      <c r="D1105">
        <v>2</v>
      </c>
      <c r="E1105">
        <v>16</v>
      </c>
      <c r="F1105" t="s">
        <v>37</v>
      </c>
      <c r="G1105">
        <v>18</v>
      </c>
      <c r="H1105" t="s">
        <v>18</v>
      </c>
      <c r="I1105">
        <v>11</v>
      </c>
      <c r="J1105">
        <v>27.6</v>
      </c>
      <c r="K1105">
        <v>4</v>
      </c>
      <c r="L1105">
        <v>4</v>
      </c>
      <c r="M1105">
        <v>22</v>
      </c>
      <c r="N1105" t="s">
        <v>59</v>
      </c>
    </row>
    <row r="1106" spans="1:14" x14ac:dyDescent="0.35">
      <c r="A1106" t="s">
        <v>757</v>
      </c>
      <c r="B1106" t="s">
        <v>262</v>
      </c>
      <c r="C1106" t="s">
        <v>16</v>
      </c>
      <c r="D1106">
        <v>0</v>
      </c>
      <c r="E1106">
        <v>18</v>
      </c>
      <c r="F1106" t="s">
        <v>47</v>
      </c>
      <c r="G1106">
        <v>18</v>
      </c>
      <c r="H1106" t="s">
        <v>18</v>
      </c>
      <c r="I1106">
        <v>8</v>
      </c>
      <c r="J1106">
        <v>26.4</v>
      </c>
      <c r="K1106">
        <v>4</v>
      </c>
      <c r="L1106">
        <v>3</v>
      </c>
      <c r="M1106">
        <v>21</v>
      </c>
      <c r="N1106" t="s">
        <v>67</v>
      </c>
    </row>
    <row r="1107" spans="1:14" x14ac:dyDescent="0.35">
      <c r="A1107" t="s">
        <v>757</v>
      </c>
      <c r="B1107" t="s">
        <v>41</v>
      </c>
      <c r="C1107" t="s">
        <v>29</v>
      </c>
      <c r="D1107">
        <v>1</v>
      </c>
      <c r="E1107">
        <v>18</v>
      </c>
      <c r="F1107" t="s">
        <v>48</v>
      </c>
      <c r="G1107">
        <v>18</v>
      </c>
      <c r="H1107" t="s">
        <v>18</v>
      </c>
      <c r="I1107">
        <v>33</v>
      </c>
      <c r="J1107">
        <v>22.2</v>
      </c>
      <c r="K1107">
        <v>0</v>
      </c>
      <c r="L1107">
        <v>0</v>
      </c>
      <c r="M1107">
        <v>18</v>
      </c>
      <c r="N1107" t="s">
        <v>65</v>
      </c>
    </row>
    <row r="1108" spans="1:14" x14ac:dyDescent="0.35">
      <c r="A1108" t="s">
        <v>757</v>
      </c>
      <c r="B1108" t="s">
        <v>409</v>
      </c>
      <c r="C1108" t="s">
        <v>16</v>
      </c>
      <c r="D1108">
        <v>0</v>
      </c>
      <c r="E1108">
        <v>21</v>
      </c>
      <c r="F1108" t="s">
        <v>411</v>
      </c>
      <c r="G1108">
        <v>18</v>
      </c>
      <c r="H1108" t="s">
        <v>18</v>
      </c>
      <c r="I1108">
        <v>7</v>
      </c>
      <c r="J1108">
        <v>29.3</v>
      </c>
      <c r="K1108">
        <v>1</v>
      </c>
      <c r="L1108">
        <v>5</v>
      </c>
      <c r="M1108">
        <v>23</v>
      </c>
      <c r="N1108" t="s">
        <v>58</v>
      </c>
    </row>
    <row r="1109" spans="1:14" x14ac:dyDescent="0.35">
      <c r="A1109" t="s">
        <v>757</v>
      </c>
      <c r="B1109" t="s">
        <v>270</v>
      </c>
      <c r="C1109" t="s">
        <v>16</v>
      </c>
      <c r="D1109">
        <v>3</v>
      </c>
      <c r="E1109">
        <v>15</v>
      </c>
      <c r="F1109" t="s">
        <v>56</v>
      </c>
      <c r="G1109">
        <v>18</v>
      </c>
      <c r="H1109" t="s">
        <v>18</v>
      </c>
      <c r="I1109">
        <v>5</v>
      </c>
      <c r="J1109">
        <v>23.3</v>
      </c>
      <c r="K1109">
        <v>2</v>
      </c>
      <c r="L1109">
        <v>2</v>
      </c>
      <c r="M1109">
        <v>20</v>
      </c>
      <c r="N1109" t="s">
        <v>58</v>
      </c>
    </row>
    <row r="1110" spans="1:14" x14ac:dyDescent="0.35">
      <c r="A1110" t="s">
        <v>757</v>
      </c>
      <c r="B1110" t="s">
        <v>52</v>
      </c>
      <c r="C1110" t="s">
        <v>29</v>
      </c>
      <c r="D1110">
        <v>1</v>
      </c>
      <c r="E1110">
        <v>17</v>
      </c>
      <c r="F1110" t="s">
        <v>274</v>
      </c>
      <c r="G1110">
        <v>18</v>
      </c>
      <c r="H1110" t="s">
        <v>18</v>
      </c>
      <c r="I1110">
        <v>11</v>
      </c>
      <c r="J1110">
        <v>22.1</v>
      </c>
      <c r="K1110">
        <v>1</v>
      </c>
      <c r="L1110">
        <v>3</v>
      </c>
      <c r="M1110">
        <v>21</v>
      </c>
      <c r="N1110" t="s">
        <v>412</v>
      </c>
    </row>
    <row r="1111" spans="1:14" x14ac:dyDescent="0.35">
      <c r="A1111" t="s">
        <v>757</v>
      </c>
      <c r="B1111" t="s">
        <v>414</v>
      </c>
      <c r="C1111" t="s">
        <v>16</v>
      </c>
      <c r="D1111">
        <v>0</v>
      </c>
      <c r="E1111">
        <v>22</v>
      </c>
      <c r="F1111" t="s">
        <v>61</v>
      </c>
      <c r="G1111">
        <v>18</v>
      </c>
      <c r="H1111" t="s">
        <v>18</v>
      </c>
      <c r="I1111">
        <v>3</v>
      </c>
      <c r="J1111">
        <v>31.8</v>
      </c>
      <c r="K1111">
        <v>0</v>
      </c>
      <c r="L1111">
        <v>0</v>
      </c>
      <c r="M1111">
        <v>18</v>
      </c>
      <c r="N1111" t="s">
        <v>60</v>
      </c>
    </row>
    <row r="1112" spans="1:14" x14ac:dyDescent="0.35">
      <c r="A1112" t="s">
        <v>757</v>
      </c>
      <c r="B1112" t="s">
        <v>504</v>
      </c>
      <c r="C1112" t="s">
        <v>16</v>
      </c>
      <c r="D1112">
        <v>4</v>
      </c>
      <c r="E1112">
        <v>15</v>
      </c>
      <c r="F1112" t="s">
        <v>51</v>
      </c>
      <c r="G1112">
        <v>18</v>
      </c>
      <c r="H1112" t="s">
        <v>18</v>
      </c>
      <c r="I1112">
        <v>4</v>
      </c>
      <c r="J1112">
        <v>28.9</v>
      </c>
      <c r="K1112">
        <v>0</v>
      </c>
      <c r="L1112">
        <v>0</v>
      </c>
      <c r="M1112">
        <v>18</v>
      </c>
      <c r="N1112" t="s">
        <v>276</v>
      </c>
    </row>
    <row r="1113" spans="1:14" x14ac:dyDescent="0.35">
      <c r="A1113" t="s">
        <v>757</v>
      </c>
      <c r="B1113" t="s">
        <v>46</v>
      </c>
      <c r="C1113" t="s">
        <v>16</v>
      </c>
      <c r="D1113">
        <v>1</v>
      </c>
      <c r="E1113">
        <v>18</v>
      </c>
      <c r="F1113" t="s">
        <v>49</v>
      </c>
      <c r="G1113">
        <v>18</v>
      </c>
      <c r="H1113" t="s">
        <v>18</v>
      </c>
      <c r="I1113">
        <v>4</v>
      </c>
      <c r="J1113">
        <v>24.5</v>
      </c>
      <c r="K1113">
        <v>1</v>
      </c>
      <c r="L1113">
        <v>3</v>
      </c>
      <c r="M1113">
        <v>21</v>
      </c>
      <c r="N1113" t="s">
        <v>64</v>
      </c>
    </row>
    <row r="1114" spans="1:14" x14ac:dyDescent="0.35">
      <c r="A1114" t="s">
        <v>757</v>
      </c>
      <c r="B1114" t="s">
        <v>415</v>
      </c>
      <c r="C1114" t="s">
        <v>16</v>
      </c>
      <c r="D1114">
        <v>1</v>
      </c>
      <c r="E1114">
        <v>18</v>
      </c>
      <c r="F1114" t="s">
        <v>70</v>
      </c>
      <c r="G1114">
        <v>18</v>
      </c>
      <c r="H1114" t="s">
        <v>18</v>
      </c>
      <c r="I1114">
        <v>6</v>
      </c>
      <c r="J1114">
        <v>27.6</v>
      </c>
      <c r="K1114">
        <v>3</v>
      </c>
      <c r="L1114">
        <v>4</v>
      </c>
      <c r="M1114">
        <v>22</v>
      </c>
      <c r="N1114" t="s">
        <v>75</v>
      </c>
    </row>
    <row r="1115" spans="1:14" x14ac:dyDescent="0.35">
      <c r="A1115" t="s">
        <v>757</v>
      </c>
      <c r="B1115" t="s">
        <v>58</v>
      </c>
      <c r="C1115" t="s">
        <v>16</v>
      </c>
      <c r="D1115">
        <v>1</v>
      </c>
      <c r="E1115">
        <v>17</v>
      </c>
      <c r="F1115" t="s">
        <v>577</v>
      </c>
      <c r="G1115">
        <v>18</v>
      </c>
      <c r="H1115" t="s">
        <v>18</v>
      </c>
      <c r="I1115">
        <v>6</v>
      </c>
      <c r="J1115">
        <v>33.6</v>
      </c>
      <c r="K1115">
        <v>4</v>
      </c>
      <c r="L1115">
        <v>5</v>
      </c>
      <c r="M1115">
        <v>23</v>
      </c>
      <c r="N1115" t="s">
        <v>85</v>
      </c>
    </row>
    <row r="1116" spans="1:14" x14ac:dyDescent="0.35">
      <c r="A1116" t="s">
        <v>757</v>
      </c>
      <c r="B1116" t="s">
        <v>59</v>
      </c>
      <c r="C1116" t="s">
        <v>29</v>
      </c>
      <c r="D1116">
        <v>0</v>
      </c>
      <c r="E1116">
        <v>18</v>
      </c>
      <c r="F1116" t="s">
        <v>577</v>
      </c>
      <c r="G1116">
        <v>18</v>
      </c>
      <c r="H1116" t="s">
        <v>18</v>
      </c>
      <c r="I1116">
        <v>25</v>
      </c>
      <c r="J1116">
        <v>17.600000000000001</v>
      </c>
      <c r="K1116">
        <v>3</v>
      </c>
      <c r="L1116">
        <v>4</v>
      </c>
      <c r="M1116">
        <v>22</v>
      </c>
      <c r="N1116" t="s">
        <v>619</v>
      </c>
    </row>
    <row r="1117" spans="1:14" x14ac:dyDescent="0.35">
      <c r="A1117" t="s">
        <v>757</v>
      </c>
      <c r="B1117" t="s">
        <v>505</v>
      </c>
      <c r="C1117" t="s">
        <v>16</v>
      </c>
      <c r="D1117">
        <v>0</v>
      </c>
      <c r="E1117">
        <v>19</v>
      </c>
      <c r="F1117" t="s">
        <v>416</v>
      </c>
      <c r="G1117">
        <v>18</v>
      </c>
      <c r="H1117" t="s">
        <v>18</v>
      </c>
      <c r="I1117">
        <v>13</v>
      </c>
      <c r="J1117">
        <v>29.9</v>
      </c>
      <c r="K1117">
        <v>3</v>
      </c>
      <c r="L1117">
        <v>3</v>
      </c>
      <c r="M1117">
        <v>21</v>
      </c>
      <c r="N1117" t="s">
        <v>76</v>
      </c>
    </row>
    <row r="1118" spans="1:14" x14ac:dyDescent="0.35">
      <c r="A1118" t="s">
        <v>757</v>
      </c>
      <c r="B1118" t="s">
        <v>284</v>
      </c>
      <c r="C1118" t="s">
        <v>16</v>
      </c>
      <c r="D1118">
        <v>1</v>
      </c>
      <c r="E1118">
        <v>17</v>
      </c>
      <c r="F1118" t="s">
        <v>75</v>
      </c>
      <c r="G1118">
        <v>18</v>
      </c>
      <c r="H1118" t="s">
        <v>18</v>
      </c>
      <c r="I1118">
        <v>5</v>
      </c>
      <c r="J1118">
        <v>27.3</v>
      </c>
      <c r="K1118">
        <v>1</v>
      </c>
      <c r="L1118">
        <v>1</v>
      </c>
      <c r="M1118">
        <v>19</v>
      </c>
      <c r="N1118" t="s">
        <v>295</v>
      </c>
    </row>
    <row r="1119" spans="1:14" x14ac:dyDescent="0.35">
      <c r="A1119" t="s">
        <v>757</v>
      </c>
      <c r="B1119" t="s">
        <v>90</v>
      </c>
      <c r="C1119" t="s">
        <v>16</v>
      </c>
      <c r="D1119">
        <v>0</v>
      </c>
      <c r="E1119">
        <v>21</v>
      </c>
      <c r="F1119" t="s">
        <v>77</v>
      </c>
      <c r="G1119">
        <v>18</v>
      </c>
      <c r="H1119" t="s">
        <v>18</v>
      </c>
      <c r="I1119">
        <v>3</v>
      </c>
      <c r="J1119">
        <v>31.9</v>
      </c>
      <c r="K1119">
        <v>2</v>
      </c>
      <c r="L1119">
        <v>5</v>
      </c>
      <c r="M1119">
        <v>23</v>
      </c>
      <c r="N1119" t="s">
        <v>81</v>
      </c>
    </row>
    <row r="1120" spans="1:14" x14ac:dyDescent="0.35">
      <c r="A1120" t="s">
        <v>757</v>
      </c>
      <c r="B1120" t="s">
        <v>79</v>
      </c>
      <c r="C1120" t="s">
        <v>16</v>
      </c>
      <c r="D1120">
        <v>3</v>
      </c>
      <c r="E1120">
        <v>16</v>
      </c>
      <c r="F1120" t="s">
        <v>80</v>
      </c>
      <c r="G1120">
        <v>18</v>
      </c>
      <c r="H1120" t="s">
        <v>18</v>
      </c>
      <c r="I1120">
        <v>3</v>
      </c>
      <c r="J1120">
        <v>27.8</v>
      </c>
      <c r="K1120">
        <v>3</v>
      </c>
      <c r="L1120">
        <v>3</v>
      </c>
      <c r="M1120">
        <v>21</v>
      </c>
      <c r="N1120" t="s">
        <v>81</v>
      </c>
    </row>
    <row r="1121" spans="1:14" x14ac:dyDescent="0.35">
      <c r="A1121" t="s">
        <v>757</v>
      </c>
      <c r="B1121" t="s">
        <v>281</v>
      </c>
      <c r="C1121" t="s">
        <v>29</v>
      </c>
      <c r="D1121">
        <v>0</v>
      </c>
      <c r="E1121">
        <v>18</v>
      </c>
      <c r="F1121" t="s">
        <v>82</v>
      </c>
      <c r="G1121">
        <v>18</v>
      </c>
      <c r="H1121" t="s">
        <v>18</v>
      </c>
      <c r="I1121">
        <v>27</v>
      </c>
      <c r="J1121">
        <v>19.5</v>
      </c>
      <c r="K1121">
        <v>4</v>
      </c>
      <c r="L1121">
        <v>2</v>
      </c>
      <c r="M1121">
        <v>20</v>
      </c>
      <c r="N1121" t="s">
        <v>74</v>
      </c>
    </row>
    <row r="1122" spans="1:14" x14ac:dyDescent="0.35">
      <c r="A1122" t="s">
        <v>757</v>
      </c>
      <c r="B1122" t="s">
        <v>82</v>
      </c>
      <c r="C1122" t="s">
        <v>16</v>
      </c>
      <c r="D1122">
        <v>1</v>
      </c>
      <c r="E1122">
        <v>18</v>
      </c>
      <c r="F1122" t="s">
        <v>85</v>
      </c>
      <c r="G1122">
        <v>18</v>
      </c>
      <c r="H1122" t="s">
        <v>18</v>
      </c>
      <c r="I1122">
        <v>4</v>
      </c>
      <c r="J1122">
        <v>26.5</v>
      </c>
      <c r="K1122">
        <v>2</v>
      </c>
      <c r="L1122">
        <v>2</v>
      </c>
      <c r="M1122">
        <v>20</v>
      </c>
      <c r="N1122" t="s">
        <v>103</v>
      </c>
    </row>
    <row r="1123" spans="1:14" x14ac:dyDescent="0.35">
      <c r="A1123" t="s">
        <v>757</v>
      </c>
      <c r="B1123" t="s">
        <v>292</v>
      </c>
      <c r="C1123" t="s">
        <v>16</v>
      </c>
      <c r="D1123">
        <v>1</v>
      </c>
      <c r="E1123">
        <v>23</v>
      </c>
      <c r="F1123" t="s">
        <v>293</v>
      </c>
      <c r="G1123">
        <v>18</v>
      </c>
      <c r="H1123" t="s">
        <v>18</v>
      </c>
      <c r="I1123">
        <v>4</v>
      </c>
      <c r="J1123">
        <v>29.8</v>
      </c>
      <c r="K1123">
        <v>1</v>
      </c>
      <c r="L1123">
        <v>4</v>
      </c>
      <c r="M1123">
        <v>22</v>
      </c>
      <c r="N1123" t="s">
        <v>702</v>
      </c>
    </row>
    <row r="1124" spans="1:14" x14ac:dyDescent="0.35">
      <c r="A1124" t="s">
        <v>757</v>
      </c>
      <c r="B1124" t="s">
        <v>88</v>
      </c>
      <c r="C1124" t="s">
        <v>16</v>
      </c>
      <c r="D1124">
        <v>6</v>
      </c>
      <c r="E1124">
        <v>18</v>
      </c>
      <c r="F1124" t="s">
        <v>285</v>
      </c>
      <c r="G1124">
        <v>18</v>
      </c>
      <c r="H1124" t="s">
        <v>18</v>
      </c>
      <c r="I1124">
        <v>2</v>
      </c>
      <c r="J1124">
        <v>29.7</v>
      </c>
      <c r="K1124">
        <v>2</v>
      </c>
      <c r="L1124">
        <v>4</v>
      </c>
      <c r="M1124">
        <v>22</v>
      </c>
      <c r="N1124" t="s">
        <v>645</v>
      </c>
    </row>
    <row r="1125" spans="1:14" x14ac:dyDescent="0.35">
      <c r="A1125" t="s">
        <v>757</v>
      </c>
      <c r="B1125" t="s">
        <v>91</v>
      </c>
      <c r="C1125" t="s">
        <v>16</v>
      </c>
      <c r="D1125">
        <v>6</v>
      </c>
      <c r="E1125">
        <v>13</v>
      </c>
      <c r="F1125" t="s">
        <v>94</v>
      </c>
      <c r="G1125">
        <v>18</v>
      </c>
      <c r="H1125" t="s">
        <v>18</v>
      </c>
      <c r="I1125">
        <v>3</v>
      </c>
      <c r="J1125">
        <v>26.1</v>
      </c>
      <c r="K1125">
        <v>4</v>
      </c>
      <c r="L1125">
        <v>2</v>
      </c>
      <c r="M1125">
        <v>20</v>
      </c>
      <c r="N1125" t="s">
        <v>579</v>
      </c>
    </row>
    <row r="1126" spans="1:14" x14ac:dyDescent="0.35">
      <c r="A1126" t="s">
        <v>757</v>
      </c>
      <c r="B1126" t="s">
        <v>96</v>
      </c>
      <c r="C1126" t="s">
        <v>16</v>
      </c>
      <c r="D1126">
        <v>1</v>
      </c>
      <c r="E1126">
        <v>20</v>
      </c>
      <c r="F1126" t="s">
        <v>74</v>
      </c>
      <c r="G1126">
        <v>18</v>
      </c>
      <c r="H1126" t="s">
        <v>18</v>
      </c>
      <c r="I1126">
        <v>2</v>
      </c>
      <c r="J1126">
        <v>25.9</v>
      </c>
      <c r="K1126">
        <v>1</v>
      </c>
      <c r="L1126">
        <v>3</v>
      </c>
      <c r="M1126">
        <v>21</v>
      </c>
      <c r="N1126" t="s">
        <v>97</v>
      </c>
    </row>
    <row r="1127" spans="1:14" x14ac:dyDescent="0.35">
      <c r="A1127" t="s">
        <v>757</v>
      </c>
      <c r="B1127" t="s">
        <v>282</v>
      </c>
      <c r="C1127" t="s">
        <v>29</v>
      </c>
      <c r="D1127">
        <v>0</v>
      </c>
      <c r="E1127">
        <v>18</v>
      </c>
      <c r="F1127" t="s">
        <v>74</v>
      </c>
      <c r="G1127">
        <v>18</v>
      </c>
      <c r="H1127" t="s">
        <v>18</v>
      </c>
      <c r="I1127">
        <v>18</v>
      </c>
      <c r="J1127">
        <v>21.8</v>
      </c>
      <c r="K1127">
        <v>0</v>
      </c>
      <c r="L1127">
        <v>0</v>
      </c>
      <c r="M1127">
        <v>18</v>
      </c>
      <c r="N1127" t="s">
        <v>86</v>
      </c>
    </row>
    <row r="1128" spans="1:14" x14ac:dyDescent="0.35">
      <c r="A1128" t="s">
        <v>757</v>
      </c>
      <c r="B1128" t="s">
        <v>98</v>
      </c>
      <c r="C1128" t="s">
        <v>16</v>
      </c>
      <c r="D1128">
        <v>3</v>
      </c>
      <c r="E1128">
        <v>17</v>
      </c>
      <c r="F1128" t="s">
        <v>103</v>
      </c>
      <c r="G1128">
        <v>18</v>
      </c>
      <c r="H1128" t="s">
        <v>18</v>
      </c>
      <c r="I1128">
        <v>10</v>
      </c>
      <c r="J1128">
        <v>34.799999999999997</v>
      </c>
      <c r="K1128">
        <v>1</v>
      </c>
      <c r="L1128">
        <v>3</v>
      </c>
      <c r="M1128">
        <v>21</v>
      </c>
      <c r="N1128" t="s">
        <v>721</v>
      </c>
    </row>
    <row r="1129" spans="1:14" x14ac:dyDescent="0.35">
      <c r="A1129" t="s">
        <v>757</v>
      </c>
      <c r="B1129" t="s">
        <v>291</v>
      </c>
      <c r="C1129" t="s">
        <v>16</v>
      </c>
      <c r="D1129">
        <v>2</v>
      </c>
      <c r="E1129">
        <v>18</v>
      </c>
      <c r="F1129" t="s">
        <v>579</v>
      </c>
      <c r="G1129">
        <v>18</v>
      </c>
      <c r="H1129" t="s">
        <v>18</v>
      </c>
      <c r="I1129">
        <v>11</v>
      </c>
      <c r="J1129">
        <v>30.6</v>
      </c>
      <c r="K1129">
        <v>3</v>
      </c>
      <c r="L1129">
        <v>3</v>
      </c>
      <c r="M1129">
        <v>21</v>
      </c>
      <c r="N1129" t="s">
        <v>304</v>
      </c>
    </row>
    <row r="1130" spans="1:14" x14ac:dyDescent="0.35">
      <c r="A1130" t="s">
        <v>757</v>
      </c>
      <c r="B1130" t="s">
        <v>95</v>
      </c>
      <c r="C1130" t="s">
        <v>16</v>
      </c>
      <c r="D1130">
        <v>2</v>
      </c>
      <c r="E1130">
        <v>17</v>
      </c>
      <c r="F1130" t="s">
        <v>513</v>
      </c>
      <c r="G1130">
        <v>18</v>
      </c>
      <c r="H1130" t="s">
        <v>18</v>
      </c>
      <c r="I1130">
        <v>23</v>
      </c>
      <c r="J1130">
        <v>29.3</v>
      </c>
      <c r="K1130">
        <v>1</v>
      </c>
      <c r="L1130">
        <v>3</v>
      </c>
      <c r="M1130">
        <v>21</v>
      </c>
      <c r="N1130" t="s">
        <v>309</v>
      </c>
    </row>
    <row r="1131" spans="1:14" x14ac:dyDescent="0.35">
      <c r="A1131" t="s">
        <v>757</v>
      </c>
      <c r="B1131" t="s">
        <v>580</v>
      </c>
      <c r="C1131" t="s">
        <v>29</v>
      </c>
      <c r="D1131">
        <v>0</v>
      </c>
      <c r="E1131">
        <v>18</v>
      </c>
      <c r="F1131" t="s">
        <v>105</v>
      </c>
      <c r="G1131">
        <v>18</v>
      </c>
      <c r="H1131" t="s">
        <v>18</v>
      </c>
      <c r="I1131">
        <v>47</v>
      </c>
      <c r="J1131">
        <v>23.6</v>
      </c>
      <c r="K1131">
        <v>1</v>
      </c>
      <c r="L1131">
        <v>3</v>
      </c>
      <c r="M1131">
        <v>21</v>
      </c>
      <c r="N1131" t="s">
        <v>307</v>
      </c>
    </row>
    <row r="1132" spans="1:14" x14ac:dyDescent="0.35">
      <c r="A1132" t="s">
        <v>757</v>
      </c>
      <c r="B1132" t="s">
        <v>514</v>
      </c>
      <c r="C1132" t="s">
        <v>16</v>
      </c>
      <c r="D1132">
        <v>1</v>
      </c>
      <c r="E1132">
        <v>18</v>
      </c>
      <c r="F1132" t="s">
        <v>723</v>
      </c>
      <c r="G1132">
        <v>18</v>
      </c>
      <c r="H1132" t="s">
        <v>18</v>
      </c>
      <c r="I1132">
        <v>14</v>
      </c>
      <c r="J1132">
        <v>28.1</v>
      </c>
      <c r="K1132">
        <v>0</v>
      </c>
      <c r="L1132">
        <v>0</v>
      </c>
      <c r="M1132">
        <v>18</v>
      </c>
      <c r="N1132" t="s">
        <v>115</v>
      </c>
    </row>
    <row r="1133" spans="1:14" x14ac:dyDescent="0.35">
      <c r="A1133" t="s">
        <v>757</v>
      </c>
      <c r="B1133" t="s">
        <v>303</v>
      </c>
      <c r="C1133" t="s">
        <v>16</v>
      </c>
      <c r="D1133">
        <v>1</v>
      </c>
      <c r="E1133">
        <v>17</v>
      </c>
      <c r="F1133" t="s">
        <v>758</v>
      </c>
      <c r="G1133">
        <v>18</v>
      </c>
      <c r="H1133" t="s">
        <v>18</v>
      </c>
      <c r="I1133">
        <v>22</v>
      </c>
      <c r="J1133">
        <v>29.2</v>
      </c>
      <c r="K1133">
        <v>3</v>
      </c>
      <c r="L1133">
        <v>1</v>
      </c>
      <c r="M1133">
        <v>19</v>
      </c>
      <c r="N1133" t="s">
        <v>523</v>
      </c>
    </row>
    <row r="1134" spans="1:14" x14ac:dyDescent="0.35">
      <c r="A1134" t="s">
        <v>757</v>
      </c>
      <c r="B1134" t="s">
        <v>110</v>
      </c>
      <c r="C1134" t="s">
        <v>16</v>
      </c>
      <c r="D1134">
        <v>0</v>
      </c>
      <c r="E1134">
        <v>18</v>
      </c>
      <c r="F1134" t="s">
        <v>118</v>
      </c>
      <c r="G1134">
        <v>18</v>
      </c>
      <c r="H1134" t="s">
        <v>18</v>
      </c>
      <c r="I1134">
        <v>28</v>
      </c>
      <c r="J1134">
        <v>31.7</v>
      </c>
      <c r="K1134">
        <v>3</v>
      </c>
      <c r="L1134">
        <v>0</v>
      </c>
      <c r="M1134">
        <v>18</v>
      </c>
      <c r="N1134" t="s">
        <v>119</v>
      </c>
    </row>
    <row r="1135" spans="1:14" x14ac:dyDescent="0.35">
      <c r="A1135" t="s">
        <v>757</v>
      </c>
      <c r="B1135" t="s">
        <v>723</v>
      </c>
      <c r="C1135" t="s">
        <v>29</v>
      </c>
      <c r="D1135">
        <v>0</v>
      </c>
      <c r="E1135">
        <v>18</v>
      </c>
      <c r="F1135" t="s">
        <v>316</v>
      </c>
      <c r="G1135">
        <v>18</v>
      </c>
      <c r="H1135" t="s">
        <v>18</v>
      </c>
      <c r="I1135">
        <v>67</v>
      </c>
      <c r="J1135">
        <v>27.8</v>
      </c>
      <c r="K1135">
        <v>3</v>
      </c>
      <c r="L1135">
        <v>0</v>
      </c>
      <c r="M1135">
        <v>18</v>
      </c>
      <c r="N1135" t="s">
        <v>436</v>
      </c>
    </row>
    <row r="1136" spans="1:14" x14ac:dyDescent="0.35">
      <c r="A1136" t="s">
        <v>757</v>
      </c>
      <c r="B1136" t="s">
        <v>313</v>
      </c>
      <c r="C1136" t="s">
        <v>16</v>
      </c>
      <c r="D1136">
        <v>0</v>
      </c>
      <c r="E1136">
        <v>18</v>
      </c>
      <c r="F1136" t="s">
        <v>121</v>
      </c>
      <c r="G1136">
        <v>18</v>
      </c>
      <c r="H1136" t="s">
        <v>18</v>
      </c>
      <c r="I1136">
        <v>20</v>
      </c>
      <c r="J1136">
        <v>26.7</v>
      </c>
      <c r="K1136">
        <v>3</v>
      </c>
      <c r="L1136">
        <v>0</v>
      </c>
      <c r="M1136">
        <v>18</v>
      </c>
      <c r="N1136" t="s">
        <v>135</v>
      </c>
    </row>
    <row r="1137" spans="1:14" x14ac:dyDescent="0.35">
      <c r="A1137" t="s">
        <v>757</v>
      </c>
      <c r="B1137" t="s">
        <v>317</v>
      </c>
      <c r="C1137" t="s">
        <v>16</v>
      </c>
      <c r="D1137">
        <v>0</v>
      </c>
      <c r="E1137">
        <v>18</v>
      </c>
      <c r="F1137" t="s">
        <v>128</v>
      </c>
      <c r="G1137">
        <v>18</v>
      </c>
      <c r="H1137" t="s">
        <v>18</v>
      </c>
      <c r="I1137">
        <v>13</v>
      </c>
      <c r="J1137">
        <v>27.4</v>
      </c>
      <c r="K1137">
        <v>3</v>
      </c>
      <c r="L1137">
        <v>3</v>
      </c>
      <c r="M1137">
        <v>21</v>
      </c>
      <c r="N1137" t="s">
        <v>149</v>
      </c>
    </row>
    <row r="1138" spans="1:14" x14ac:dyDescent="0.35">
      <c r="A1138" t="s">
        <v>757</v>
      </c>
      <c r="B1138" t="s">
        <v>433</v>
      </c>
      <c r="C1138" t="s">
        <v>29</v>
      </c>
      <c r="D1138">
        <v>0</v>
      </c>
      <c r="E1138">
        <v>18</v>
      </c>
      <c r="F1138" t="s">
        <v>436</v>
      </c>
      <c r="G1138">
        <v>18</v>
      </c>
      <c r="H1138" t="s">
        <v>18</v>
      </c>
      <c r="I1138">
        <v>23</v>
      </c>
      <c r="J1138">
        <v>22.4</v>
      </c>
      <c r="K1138">
        <v>3</v>
      </c>
      <c r="L1138">
        <v>2</v>
      </c>
      <c r="M1138">
        <v>20</v>
      </c>
      <c r="N1138" t="s">
        <v>155</v>
      </c>
    </row>
    <row r="1139" spans="1:14" x14ac:dyDescent="0.35">
      <c r="A1139" t="s">
        <v>757</v>
      </c>
      <c r="B1139" t="s">
        <v>435</v>
      </c>
      <c r="C1139" t="s">
        <v>16</v>
      </c>
      <c r="D1139">
        <v>0</v>
      </c>
      <c r="E1139">
        <v>21</v>
      </c>
      <c r="F1139" t="s">
        <v>129</v>
      </c>
      <c r="G1139">
        <v>18</v>
      </c>
      <c r="H1139" t="s">
        <v>18</v>
      </c>
      <c r="I1139">
        <v>3</v>
      </c>
      <c r="J1139">
        <v>31.2</v>
      </c>
      <c r="K1139">
        <v>4</v>
      </c>
      <c r="L1139">
        <v>4</v>
      </c>
      <c r="M1139">
        <v>22</v>
      </c>
      <c r="N1139" t="s">
        <v>133</v>
      </c>
    </row>
    <row r="1140" spans="1:14" x14ac:dyDescent="0.35">
      <c r="A1140" t="s">
        <v>757</v>
      </c>
      <c r="B1140" t="s">
        <v>131</v>
      </c>
      <c r="C1140" t="s">
        <v>16</v>
      </c>
      <c r="D1140">
        <v>3</v>
      </c>
      <c r="E1140">
        <v>15</v>
      </c>
      <c r="F1140" t="s">
        <v>134</v>
      </c>
      <c r="G1140">
        <v>18</v>
      </c>
      <c r="H1140" t="s">
        <v>18</v>
      </c>
      <c r="I1140">
        <v>2</v>
      </c>
      <c r="J1140">
        <v>28.9</v>
      </c>
      <c r="K1140">
        <v>1</v>
      </c>
      <c r="L1140">
        <v>3</v>
      </c>
      <c r="M1140">
        <v>21</v>
      </c>
      <c r="N1140" t="s">
        <v>133</v>
      </c>
    </row>
    <row r="1141" spans="1:14" x14ac:dyDescent="0.35">
      <c r="A1141" t="s">
        <v>757</v>
      </c>
      <c r="B1141" t="s">
        <v>322</v>
      </c>
      <c r="C1141" t="s">
        <v>16</v>
      </c>
      <c r="D1141">
        <v>0</v>
      </c>
      <c r="E1141">
        <v>18</v>
      </c>
      <c r="F1141" t="s">
        <v>138</v>
      </c>
      <c r="G1141">
        <v>18</v>
      </c>
      <c r="H1141" t="s">
        <v>18</v>
      </c>
      <c r="I1141">
        <v>4</v>
      </c>
      <c r="J1141">
        <v>27</v>
      </c>
      <c r="K1141">
        <v>0</v>
      </c>
      <c r="L1141">
        <v>0</v>
      </c>
      <c r="M1141">
        <v>18</v>
      </c>
      <c r="N1141" t="s">
        <v>656</v>
      </c>
    </row>
    <row r="1142" spans="1:14" x14ac:dyDescent="0.35">
      <c r="A1142" t="s">
        <v>757</v>
      </c>
      <c r="B1142" t="s">
        <v>129</v>
      </c>
      <c r="C1142" t="s">
        <v>29</v>
      </c>
      <c r="D1142">
        <v>0</v>
      </c>
      <c r="E1142">
        <v>21</v>
      </c>
      <c r="F1142" t="s">
        <v>439</v>
      </c>
      <c r="G1142">
        <v>18</v>
      </c>
      <c r="H1142" t="s">
        <v>18</v>
      </c>
      <c r="I1142">
        <v>12</v>
      </c>
      <c r="J1142">
        <v>21.3</v>
      </c>
      <c r="K1142">
        <v>3</v>
      </c>
      <c r="L1142">
        <v>3</v>
      </c>
      <c r="M1142">
        <v>21</v>
      </c>
      <c r="N1142" t="s">
        <v>438</v>
      </c>
    </row>
    <row r="1143" spans="1:14" x14ac:dyDescent="0.35">
      <c r="A1143" t="s">
        <v>757</v>
      </c>
      <c r="B1143" t="s">
        <v>139</v>
      </c>
      <c r="C1143" t="s">
        <v>16</v>
      </c>
      <c r="D1143">
        <v>0</v>
      </c>
      <c r="E1143">
        <v>22</v>
      </c>
      <c r="F1143" t="s">
        <v>122</v>
      </c>
      <c r="G1143">
        <v>18</v>
      </c>
      <c r="H1143" t="s">
        <v>18</v>
      </c>
      <c r="I1143">
        <v>4</v>
      </c>
      <c r="J1143">
        <v>28.6</v>
      </c>
      <c r="K1143">
        <v>3</v>
      </c>
      <c r="L1143">
        <v>6</v>
      </c>
      <c r="M1143">
        <v>24</v>
      </c>
      <c r="N1143" t="s">
        <v>326</v>
      </c>
    </row>
    <row r="1144" spans="1:14" x14ac:dyDescent="0.35">
      <c r="A1144" t="s">
        <v>757</v>
      </c>
      <c r="B1144" t="s">
        <v>142</v>
      </c>
      <c r="C1144" t="s">
        <v>16</v>
      </c>
      <c r="D1144">
        <v>4</v>
      </c>
      <c r="E1144">
        <v>14</v>
      </c>
      <c r="F1144" t="s">
        <v>522</v>
      </c>
      <c r="G1144">
        <v>18</v>
      </c>
      <c r="H1144" t="s">
        <v>18</v>
      </c>
      <c r="I1144">
        <v>3</v>
      </c>
      <c r="J1144">
        <v>32</v>
      </c>
      <c r="K1144">
        <v>4</v>
      </c>
      <c r="L1144">
        <v>5</v>
      </c>
      <c r="M1144">
        <v>23</v>
      </c>
      <c r="N1144" t="s">
        <v>143</v>
      </c>
    </row>
    <row r="1145" spans="1:14" x14ac:dyDescent="0.35">
      <c r="A1145" t="s">
        <v>757</v>
      </c>
      <c r="B1145" t="s">
        <v>122</v>
      </c>
      <c r="C1145" t="s">
        <v>29</v>
      </c>
      <c r="D1145">
        <v>3</v>
      </c>
      <c r="E1145">
        <v>15</v>
      </c>
      <c r="F1145" t="s">
        <v>155</v>
      </c>
      <c r="G1145">
        <v>18</v>
      </c>
      <c r="H1145" t="s">
        <v>18</v>
      </c>
      <c r="I1145">
        <v>7</v>
      </c>
      <c r="J1145">
        <v>21.7</v>
      </c>
      <c r="K1145">
        <v>4</v>
      </c>
      <c r="L1145">
        <v>3</v>
      </c>
      <c r="M1145">
        <v>21</v>
      </c>
      <c r="N1145" t="s">
        <v>326</v>
      </c>
    </row>
    <row r="1146" spans="1:14" x14ac:dyDescent="0.35">
      <c r="A1146" t="s">
        <v>757</v>
      </c>
      <c r="B1146" t="s">
        <v>145</v>
      </c>
      <c r="C1146" t="s">
        <v>16</v>
      </c>
      <c r="D1146">
        <v>0</v>
      </c>
      <c r="E1146">
        <v>18</v>
      </c>
      <c r="F1146" t="s">
        <v>149</v>
      </c>
      <c r="G1146">
        <v>18</v>
      </c>
      <c r="H1146" t="s">
        <v>18</v>
      </c>
      <c r="I1146">
        <v>5</v>
      </c>
      <c r="J1146">
        <v>35.200000000000003</v>
      </c>
      <c r="K1146">
        <v>2</v>
      </c>
      <c r="L1146">
        <v>3</v>
      </c>
      <c r="M1146">
        <v>21</v>
      </c>
      <c r="N1146" t="s">
        <v>160</v>
      </c>
    </row>
    <row r="1147" spans="1:14" x14ac:dyDescent="0.35">
      <c r="A1147" t="s">
        <v>757</v>
      </c>
      <c r="B1147" t="s">
        <v>127</v>
      </c>
      <c r="C1147" t="s">
        <v>16</v>
      </c>
      <c r="D1147">
        <v>0</v>
      </c>
      <c r="E1147">
        <v>18</v>
      </c>
      <c r="F1147" t="s">
        <v>438</v>
      </c>
      <c r="G1147">
        <v>18</v>
      </c>
      <c r="H1147" t="s">
        <v>18</v>
      </c>
      <c r="I1147">
        <v>9</v>
      </c>
      <c r="J1147">
        <v>28</v>
      </c>
      <c r="K1147">
        <v>1</v>
      </c>
      <c r="L1147">
        <v>4</v>
      </c>
      <c r="M1147">
        <v>22</v>
      </c>
      <c r="N1147" t="s">
        <v>331</v>
      </c>
    </row>
    <row r="1148" spans="1:14" x14ac:dyDescent="0.35">
      <c r="A1148" t="s">
        <v>757</v>
      </c>
      <c r="B1148" t="s">
        <v>524</v>
      </c>
      <c r="C1148" t="s">
        <v>29</v>
      </c>
      <c r="D1148">
        <v>0</v>
      </c>
      <c r="E1148">
        <v>18</v>
      </c>
      <c r="F1148" t="s">
        <v>140</v>
      </c>
      <c r="G1148">
        <v>18</v>
      </c>
      <c r="H1148" t="s">
        <v>18</v>
      </c>
      <c r="I1148">
        <v>22</v>
      </c>
      <c r="J1148">
        <v>23.9</v>
      </c>
      <c r="K1148">
        <v>4</v>
      </c>
      <c r="L1148">
        <v>3</v>
      </c>
      <c r="M1148">
        <v>21</v>
      </c>
      <c r="N1148" t="s">
        <v>166</v>
      </c>
    </row>
    <row r="1149" spans="1:14" x14ac:dyDescent="0.35">
      <c r="A1149" t="s">
        <v>757</v>
      </c>
      <c r="B1149" t="s">
        <v>623</v>
      </c>
      <c r="C1149" t="s">
        <v>16</v>
      </c>
      <c r="D1149">
        <v>0</v>
      </c>
      <c r="E1149">
        <v>19</v>
      </c>
      <c r="F1149" t="s">
        <v>686</v>
      </c>
      <c r="G1149">
        <v>18</v>
      </c>
      <c r="H1149" t="s">
        <v>18</v>
      </c>
      <c r="I1149">
        <v>14</v>
      </c>
      <c r="J1149">
        <v>32.299999999999997</v>
      </c>
      <c r="K1149">
        <v>2</v>
      </c>
      <c r="L1149">
        <v>5</v>
      </c>
      <c r="M1149">
        <v>23</v>
      </c>
      <c r="N1149" t="s">
        <v>176</v>
      </c>
    </row>
    <row r="1150" spans="1:14" x14ac:dyDescent="0.35">
      <c r="A1150" t="s">
        <v>757</v>
      </c>
      <c r="B1150" t="s">
        <v>143</v>
      </c>
      <c r="C1150" t="s">
        <v>16</v>
      </c>
      <c r="D1150">
        <v>1</v>
      </c>
      <c r="E1150">
        <v>17</v>
      </c>
      <c r="F1150" t="s">
        <v>443</v>
      </c>
      <c r="G1150">
        <v>18</v>
      </c>
      <c r="H1150" t="s">
        <v>18</v>
      </c>
      <c r="I1150">
        <v>3</v>
      </c>
      <c r="J1150">
        <v>27.5</v>
      </c>
      <c r="K1150">
        <v>4</v>
      </c>
      <c r="L1150">
        <v>6</v>
      </c>
      <c r="M1150">
        <v>24</v>
      </c>
      <c r="N1150" t="s">
        <v>154</v>
      </c>
    </row>
    <row r="1151" spans="1:14" x14ac:dyDescent="0.35">
      <c r="A1151" t="s">
        <v>757</v>
      </c>
      <c r="B1151" t="s">
        <v>156</v>
      </c>
      <c r="C1151" t="s">
        <v>16</v>
      </c>
      <c r="D1151">
        <v>0</v>
      </c>
      <c r="E1151">
        <v>20</v>
      </c>
      <c r="F1151" t="s">
        <v>444</v>
      </c>
      <c r="G1151">
        <v>18</v>
      </c>
      <c r="H1151" t="s">
        <v>18</v>
      </c>
      <c r="I1151">
        <v>3</v>
      </c>
      <c r="J1151">
        <v>27.9</v>
      </c>
      <c r="K1151">
        <v>4</v>
      </c>
      <c r="L1151">
        <v>3</v>
      </c>
      <c r="M1151">
        <v>21</v>
      </c>
      <c r="N1151" t="s">
        <v>529</v>
      </c>
    </row>
    <row r="1152" spans="1:14" x14ac:dyDescent="0.35">
      <c r="A1152" t="s">
        <v>757</v>
      </c>
      <c r="B1152" t="s">
        <v>527</v>
      </c>
      <c r="C1152" t="s">
        <v>29</v>
      </c>
      <c r="D1152">
        <v>0</v>
      </c>
      <c r="E1152">
        <v>18</v>
      </c>
      <c r="F1152" t="s">
        <v>162</v>
      </c>
      <c r="G1152">
        <v>18</v>
      </c>
      <c r="H1152" t="s">
        <v>18</v>
      </c>
      <c r="I1152">
        <v>14</v>
      </c>
      <c r="J1152">
        <v>20.100000000000001</v>
      </c>
      <c r="K1152">
        <v>0</v>
      </c>
      <c r="L1152">
        <v>0</v>
      </c>
      <c r="M1152">
        <v>18</v>
      </c>
      <c r="N1152" t="s">
        <v>154</v>
      </c>
    </row>
    <row r="1153" spans="1:14" x14ac:dyDescent="0.35">
      <c r="A1153" t="s">
        <v>757</v>
      </c>
      <c r="B1153" t="s">
        <v>441</v>
      </c>
      <c r="C1153" t="s">
        <v>16</v>
      </c>
      <c r="D1153">
        <v>2</v>
      </c>
      <c r="E1153">
        <v>17</v>
      </c>
      <c r="F1153" t="s">
        <v>329</v>
      </c>
      <c r="G1153">
        <v>18</v>
      </c>
      <c r="H1153" t="s">
        <v>18</v>
      </c>
      <c r="I1153">
        <v>3</v>
      </c>
      <c r="J1153">
        <v>31.4</v>
      </c>
      <c r="K1153">
        <v>3</v>
      </c>
      <c r="L1153">
        <v>3</v>
      </c>
      <c r="M1153">
        <v>21</v>
      </c>
      <c r="N1153" t="s">
        <v>446</v>
      </c>
    </row>
    <row r="1154" spans="1:14" x14ac:dyDescent="0.35">
      <c r="A1154" t="s">
        <v>757</v>
      </c>
      <c r="B1154" t="s">
        <v>331</v>
      </c>
      <c r="C1154" t="s">
        <v>16</v>
      </c>
      <c r="D1154">
        <v>1</v>
      </c>
      <c r="E1154">
        <v>24</v>
      </c>
      <c r="F1154" t="s">
        <v>153</v>
      </c>
      <c r="G1154">
        <v>18</v>
      </c>
      <c r="H1154" t="s">
        <v>18</v>
      </c>
      <c r="I1154">
        <v>3</v>
      </c>
      <c r="J1154">
        <v>34.200000000000003</v>
      </c>
      <c r="K1154">
        <v>1</v>
      </c>
      <c r="L1154">
        <v>3</v>
      </c>
      <c r="M1154">
        <v>21</v>
      </c>
      <c r="N1154" t="s">
        <v>343</v>
      </c>
    </row>
    <row r="1155" spans="1:14" x14ac:dyDescent="0.35">
      <c r="A1155" t="s">
        <v>757</v>
      </c>
      <c r="B1155" t="s">
        <v>332</v>
      </c>
      <c r="C1155" t="s">
        <v>16</v>
      </c>
      <c r="D1155">
        <v>7</v>
      </c>
      <c r="E1155">
        <v>13</v>
      </c>
      <c r="F1155" t="s">
        <v>166</v>
      </c>
      <c r="G1155">
        <v>18</v>
      </c>
      <c r="H1155" t="s">
        <v>18</v>
      </c>
      <c r="I1155">
        <v>1</v>
      </c>
      <c r="J1155">
        <v>28.6</v>
      </c>
      <c r="K1155">
        <v>1</v>
      </c>
      <c r="L1155">
        <v>4</v>
      </c>
      <c r="M1155">
        <v>22</v>
      </c>
      <c r="N1155" t="s">
        <v>181</v>
      </c>
    </row>
    <row r="1156" spans="1:14" x14ac:dyDescent="0.35">
      <c r="A1156" t="s">
        <v>757</v>
      </c>
      <c r="B1156" t="s">
        <v>168</v>
      </c>
      <c r="C1156" t="s">
        <v>16</v>
      </c>
      <c r="D1156">
        <v>2</v>
      </c>
      <c r="E1156">
        <v>18</v>
      </c>
      <c r="F1156" t="s">
        <v>335</v>
      </c>
      <c r="G1156">
        <v>18</v>
      </c>
      <c r="H1156" t="s">
        <v>18</v>
      </c>
      <c r="I1156">
        <v>2</v>
      </c>
      <c r="J1156">
        <v>29.1</v>
      </c>
      <c r="K1156">
        <v>1</v>
      </c>
      <c r="L1156">
        <v>2</v>
      </c>
      <c r="M1156">
        <v>20</v>
      </c>
      <c r="N1156" t="s">
        <v>343</v>
      </c>
    </row>
    <row r="1157" spans="1:14" x14ac:dyDescent="0.35">
      <c r="A1157" t="s">
        <v>757</v>
      </c>
      <c r="B1157" t="s">
        <v>448</v>
      </c>
      <c r="C1157" t="s">
        <v>16</v>
      </c>
      <c r="D1157">
        <v>2</v>
      </c>
      <c r="E1157">
        <v>17</v>
      </c>
      <c r="F1157" t="s">
        <v>171</v>
      </c>
      <c r="G1157">
        <v>18</v>
      </c>
      <c r="H1157" t="s">
        <v>18</v>
      </c>
      <c r="I1157">
        <v>3</v>
      </c>
      <c r="J1157">
        <v>29.4</v>
      </c>
      <c r="K1157">
        <v>1</v>
      </c>
      <c r="L1157">
        <v>4</v>
      </c>
      <c r="M1157">
        <v>22</v>
      </c>
      <c r="N1157" t="s">
        <v>189</v>
      </c>
    </row>
    <row r="1158" spans="1:14" x14ac:dyDescent="0.35">
      <c r="A1158" t="s">
        <v>757</v>
      </c>
      <c r="B1158" t="s">
        <v>329</v>
      </c>
      <c r="C1158" t="s">
        <v>29</v>
      </c>
      <c r="D1158">
        <v>0</v>
      </c>
      <c r="E1158">
        <v>18</v>
      </c>
      <c r="F1158" t="s">
        <v>171</v>
      </c>
      <c r="G1158">
        <v>18</v>
      </c>
      <c r="H1158" t="s">
        <v>18</v>
      </c>
      <c r="I1158">
        <v>13</v>
      </c>
      <c r="J1158">
        <v>26.7</v>
      </c>
      <c r="K1158">
        <v>2</v>
      </c>
      <c r="L1158">
        <v>5</v>
      </c>
      <c r="M1158">
        <v>23</v>
      </c>
      <c r="N1158" t="s">
        <v>184</v>
      </c>
    </row>
    <row r="1159" spans="1:14" x14ac:dyDescent="0.35">
      <c r="A1159" t="s">
        <v>757</v>
      </c>
      <c r="B1159" t="s">
        <v>528</v>
      </c>
      <c r="C1159" t="s">
        <v>16</v>
      </c>
      <c r="D1159">
        <v>1</v>
      </c>
      <c r="E1159">
        <v>17</v>
      </c>
      <c r="F1159" t="s">
        <v>336</v>
      </c>
      <c r="G1159">
        <v>18</v>
      </c>
      <c r="H1159" t="s">
        <v>18</v>
      </c>
      <c r="I1159">
        <v>3</v>
      </c>
      <c r="J1159">
        <v>32.200000000000003</v>
      </c>
      <c r="K1159">
        <v>3</v>
      </c>
      <c r="L1159">
        <v>4</v>
      </c>
      <c r="M1159">
        <v>22</v>
      </c>
      <c r="N1159" t="s">
        <v>624</v>
      </c>
    </row>
    <row r="1160" spans="1:14" x14ac:dyDescent="0.35">
      <c r="A1160" t="s">
        <v>757</v>
      </c>
      <c r="B1160" t="s">
        <v>173</v>
      </c>
      <c r="C1160" t="s">
        <v>16</v>
      </c>
      <c r="D1160">
        <v>0</v>
      </c>
      <c r="E1160">
        <v>24</v>
      </c>
      <c r="F1160" t="s">
        <v>339</v>
      </c>
      <c r="G1160">
        <v>18</v>
      </c>
      <c r="H1160" t="s">
        <v>18</v>
      </c>
      <c r="I1160">
        <v>4</v>
      </c>
      <c r="J1160">
        <v>29.4</v>
      </c>
      <c r="K1160">
        <v>0</v>
      </c>
      <c r="L1160">
        <v>0</v>
      </c>
      <c r="M1160">
        <v>18</v>
      </c>
      <c r="N1160" t="s">
        <v>534</v>
      </c>
    </row>
    <row r="1161" spans="1:14" x14ac:dyDescent="0.35">
      <c r="A1161" t="s">
        <v>757</v>
      </c>
      <c r="B1161" t="s">
        <v>528</v>
      </c>
      <c r="C1161" t="s">
        <v>29</v>
      </c>
      <c r="D1161">
        <v>0</v>
      </c>
      <c r="E1161">
        <v>16</v>
      </c>
      <c r="F1161" t="s">
        <v>179</v>
      </c>
      <c r="G1161">
        <v>16</v>
      </c>
      <c r="H1161" t="s">
        <v>157</v>
      </c>
      <c r="I1161">
        <v>15</v>
      </c>
      <c r="J1161">
        <v>21.1</v>
      </c>
      <c r="K1161">
        <v>4</v>
      </c>
      <c r="L1161">
        <v>2</v>
      </c>
      <c r="M1161">
        <v>18</v>
      </c>
      <c r="N1161" t="s">
        <v>187</v>
      </c>
    </row>
    <row r="1162" spans="1:14" x14ac:dyDescent="0.35">
      <c r="A1162" t="s">
        <v>757</v>
      </c>
      <c r="B1162" t="s">
        <v>529</v>
      </c>
      <c r="C1162" t="s">
        <v>16</v>
      </c>
      <c r="D1162">
        <v>6</v>
      </c>
      <c r="E1162">
        <v>12</v>
      </c>
      <c r="F1162" t="s">
        <v>183</v>
      </c>
      <c r="G1162">
        <v>18</v>
      </c>
      <c r="H1162" t="s">
        <v>18</v>
      </c>
      <c r="I1162">
        <v>7</v>
      </c>
      <c r="J1162">
        <v>28.9</v>
      </c>
      <c r="K1162">
        <v>3</v>
      </c>
      <c r="L1162">
        <v>2</v>
      </c>
      <c r="M1162">
        <v>20</v>
      </c>
      <c r="N1162" t="s">
        <v>180</v>
      </c>
    </row>
    <row r="1163" spans="1:14" x14ac:dyDescent="0.35">
      <c r="A1163" t="s">
        <v>757</v>
      </c>
      <c r="B1163" t="s">
        <v>164</v>
      </c>
      <c r="C1163" t="s">
        <v>16</v>
      </c>
      <c r="D1163">
        <v>0</v>
      </c>
      <c r="E1163">
        <v>21</v>
      </c>
      <c r="F1163" t="s">
        <v>189</v>
      </c>
      <c r="G1163">
        <v>18</v>
      </c>
      <c r="H1163" t="s">
        <v>18</v>
      </c>
      <c r="I1163">
        <v>10</v>
      </c>
      <c r="J1163">
        <v>27.5</v>
      </c>
      <c r="K1163">
        <v>0</v>
      </c>
      <c r="L1163">
        <v>0</v>
      </c>
      <c r="M1163">
        <v>18</v>
      </c>
      <c r="N1163" t="s">
        <v>459</v>
      </c>
    </row>
    <row r="1164" spans="1:14" x14ac:dyDescent="0.35">
      <c r="A1164" t="s">
        <v>757</v>
      </c>
      <c r="B1164" t="s">
        <v>164</v>
      </c>
      <c r="C1164" t="s">
        <v>29</v>
      </c>
      <c r="D1164">
        <v>0</v>
      </c>
      <c r="E1164">
        <v>11</v>
      </c>
      <c r="F1164" t="s">
        <v>338</v>
      </c>
      <c r="G1164">
        <v>11</v>
      </c>
      <c r="H1164" t="s">
        <v>157</v>
      </c>
      <c r="I1164">
        <v>15</v>
      </c>
      <c r="J1164">
        <v>24.7</v>
      </c>
      <c r="K1164">
        <v>2</v>
      </c>
      <c r="L1164">
        <v>3</v>
      </c>
      <c r="M1164">
        <v>14</v>
      </c>
      <c r="N1164" t="s">
        <v>192</v>
      </c>
    </row>
    <row r="1165" spans="1:14" x14ac:dyDescent="0.35">
      <c r="A1165" t="s">
        <v>757</v>
      </c>
      <c r="B1165" t="s">
        <v>337</v>
      </c>
      <c r="C1165" t="s">
        <v>16</v>
      </c>
      <c r="D1165">
        <v>3</v>
      </c>
      <c r="E1165">
        <v>15</v>
      </c>
      <c r="F1165" t="s">
        <v>759</v>
      </c>
      <c r="G1165">
        <v>18</v>
      </c>
      <c r="H1165" t="s">
        <v>18</v>
      </c>
      <c r="I1165">
        <v>11</v>
      </c>
      <c r="J1165">
        <v>31</v>
      </c>
      <c r="K1165">
        <v>3</v>
      </c>
      <c r="L1165">
        <v>2</v>
      </c>
      <c r="M1165">
        <v>20</v>
      </c>
      <c r="N1165" t="s">
        <v>353</v>
      </c>
    </row>
    <row r="1166" spans="1:14" x14ac:dyDescent="0.35">
      <c r="A1166" t="s">
        <v>757</v>
      </c>
      <c r="B1166" t="s">
        <v>624</v>
      </c>
      <c r="C1166" t="s">
        <v>29</v>
      </c>
      <c r="D1166">
        <v>0</v>
      </c>
      <c r="E1166">
        <v>7</v>
      </c>
      <c r="F1166" t="s">
        <v>625</v>
      </c>
      <c r="G1166">
        <v>7</v>
      </c>
      <c r="H1166" t="s">
        <v>157</v>
      </c>
      <c r="I1166">
        <v>15</v>
      </c>
      <c r="J1166">
        <v>21.9</v>
      </c>
      <c r="K1166">
        <v>4</v>
      </c>
      <c r="L1166">
        <v>1</v>
      </c>
      <c r="M1166">
        <v>8</v>
      </c>
      <c r="N1166" t="s">
        <v>353</v>
      </c>
    </row>
    <row r="1167" spans="1:14" x14ac:dyDescent="0.35">
      <c r="A1167" t="s">
        <v>757</v>
      </c>
      <c r="B1167" t="s">
        <v>182</v>
      </c>
      <c r="C1167" t="s">
        <v>16</v>
      </c>
      <c r="D1167">
        <v>0</v>
      </c>
      <c r="E1167">
        <v>17</v>
      </c>
      <c r="F1167" t="s">
        <v>192</v>
      </c>
      <c r="G1167">
        <v>17</v>
      </c>
      <c r="H1167" t="s">
        <v>157</v>
      </c>
      <c r="I1167">
        <v>15</v>
      </c>
      <c r="J1167">
        <v>23.4</v>
      </c>
      <c r="K1167">
        <v>3</v>
      </c>
      <c r="L1167">
        <v>1</v>
      </c>
      <c r="M1167">
        <v>18</v>
      </c>
      <c r="N1167" t="s">
        <v>193</v>
      </c>
    </row>
    <row r="1168" spans="1:14" x14ac:dyDescent="0.35">
      <c r="A1168" t="s">
        <v>757</v>
      </c>
      <c r="B1168" t="s">
        <v>192</v>
      </c>
      <c r="C1168" t="s">
        <v>29</v>
      </c>
      <c r="D1168">
        <v>0</v>
      </c>
      <c r="E1168">
        <v>1</v>
      </c>
      <c r="F1168" t="s">
        <v>537</v>
      </c>
      <c r="G1168">
        <v>1</v>
      </c>
      <c r="H1168" t="s">
        <v>157</v>
      </c>
      <c r="I1168">
        <v>15</v>
      </c>
      <c r="J1168">
        <v>22.9</v>
      </c>
      <c r="K1168">
        <v>1</v>
      </c>
      <c r="L1168">
        <v>0</v>
      </c>
      <c r="M1168">
        <v>1</v>
      </c>
      <c r="N1168" t="s">
        <v>538</v>
      </c>
    </row>
    <row r="1169" spans="1:14" x14ac:dyDescent="0.35">
      <c r="A1169" t="s">
        <v>757</v>
      </c>
      <c r="B1169" t="s">
        <v>194</v>
      </c>
      <c r="C1169" t="s">
        <v>16</v>
      </c>
      <c r="D1169">
        <v>0</v>
      </c>
      <c r="E1169">
        <v>13</v>
      </c>
      <c r="F1169" t="s">
        <v>533</v>
      </c>
      <c r="G1169">
        <v>13</v>
      </c>
      <c r="H1169" t="s">
        <v>157</v>
      </c>
      <c r="I1169">
        <v>15</v>
      </c>
      <c r="J1169">
        <v>27.6</v>
      </c>
      <c r="K1169">
        <v>1</v>
      </c>
      <c r="L1169">
        <v>3</v>
      </c>
      <c r="M1169">
        <v>16</v>
      </c>
      <c r="N1169" t="s">
        <v>708</v>
      </c>
    </row>
    <row r="1170" spans="1:14" x14ac:dyDescent="0.35">
      <c r="A1170" t="s">
        <v>757</v>
      </c>
      <c r="B1170" t="s">
        <v>740</v>
      </c>
      <c r="C1170" t="s">
        <v>29</v>
      </c>
      <c r="D1170">
        <v>0</v>
      </c>
      <c r="E1170">
        <v>7</v>
      </c>
      <c r="F1170" t="s">
        <v>540</v>
      </c>
      <c r="G1170">
        <v>7</v>
      </c>
      <c r="H1170" t="s">
        <v>157</v>
      </c>
      <c r="I1170">
        <v>15</v>
      </c>
      <c r="J1170">
        <v>21.4</v>
      </c>
      <c r="K1170">
        <v>2</v>
      </c>
      <c r="L1170">
        <v>0</v>
      </c>
      <c r="M1170">
        <v>7</v>
      </c>
      <c r="N1170" t="s">
        <v>207</v>
      </c>
    </row>
    <row r="1171" spans="1:14" x14ac:dyDescent="0.35">
      <c r="A1171" t="s">
        <v>757</v>
      </c>
      <c r="B1171" t="s">
        <v>346</v>
      </c>
      <c r="C1171" t="s">
        <v>16</v>
      </c>
      <c r="D1171">
        <v>0</v>
      </c>
      <c r="E1171">
        <v>7</v>
      </c>
      <c r="F1171" t="s">
        <v>627</v>
      </c>
      <c r="G1171">
        <v>7</v>
      </c>
      <c r="H1171" t="s">
        <v>157</v>
      </c>
      <c r="I1171">
        <v>15</v>
      </c>
      <c r="J1171">
        <v>35.299999999999997</v>
      </c>
      <c r="K1171">
        <v>4</v>
      </c>
      <c r="L1171">
        <v>2</v>
      </c>
      <c r="M1171">
        <v>9</v>
      </c>
      <c r="N1171" t="s">
        <v>210</v>
      </c>
    </row>
    <row r="1172" spans="1:14" x14ac:dyDescent="0.35">
      <c r="A1172" t="s">
        <v>757</v>
      </c>
      <c r="B1172" t="s">
        <v>202</v>
      </c>
      <c r="C1172" t="s">
        <v>16</v>
      </c>
      <c r="D1172">
        <v>0</v>
      </c>
      <c r="E1172">
        <v>7</v>
      </c>
      <c r="F1172" t="s">
        <v>628</v>
      </c>
      <c r="G1172">
        <v>7</v>
      </c>
      <c r="H1172" t="s">
        <v>157</v>
      </c>
      <c r="I1172">
        <v>15</v>
      </c>
      <c r="J1172">
        <v>29.7</v>
      </c>
      <c r="K1172">
        <v>3</v>
      </c>
      <c r="L1172">
        <v>1</v>
      </c>
      <c r="M1172">
        <v>8</v>
      </c>
      <c r="N1172" t="s">
        <v>543</v>
      </c>
    </row>
    <row r="1173" spans="1:14" x14ac:dyDescent="0.35">
      <c r="A1173" t="s">
        <v>757</v>
      </c>
      <c r="B1173" t="s">
        <v>205</v>
      </c>
      <c r="C1173" t="s">
        <v>16</v>
      </c>
      <c r="D1173">
        <v>0</v>
      </c>
      <c r="E1173">
        <v>10</v>
      </c>
      <c r="F1173" t="s">
        <v>629</v>
      </c>
      <c r="G1173">
        <v>10</v>
      </c>
      <c r="H1173" t="s">
        <v>157</v>
      </c>
      <c r="I1173">
        <v>15</v>
      </c>
      <c r="J1173">
        <v>33.299999999999997</v>
      </c>
      <c r="K1173">
        <v>1</v>
      </c>
      <c r="L1173">
        <v>1</v>
      </c>
      <c r="M1173">
        <v>11</v>
      </c>
      <c r="N1173" t="s">
        <v>760</v>
      </c>
    </row>
    <row r="1174" spans="1:14" x14ac:dyDescent="0.35">
      <c r="A1174" t="s">
        <v>757</v>
      </c>
      <c r="B1174" t="s">
        <v>761</v>
      </c>
      <c r="C1174" t="s">
        <v>16</v>
      </c>
      <c r="D1174">
        <v>0</v>
      </c>
      <c r="E1174">
        <v>11</v>
      </c>
      <c r="F1174" t="s">
        <v>541</v>
      </c>
      <c r="G1174">
        <v>11</v>
      </c>
      <c r="H1174" t="s">
        <v>157</v>
      </c>
      <c r="I1174">
        <v>15</v>
      </c>
      <c r="J1174">
        <v>26.9</v>
      </c>
      <c r="K1174">
        <v>1</v>
      </c>
      <c r="L1174">
        <v>2</v>
      </c>
      <c r="M1174">
        <v>13</v>
      </c>
      <c r="N1174" t="s">
        <v>548</v>
      </c>
    </row>
    <row r="1175" spans="1:14" x14ac:dyDescent="0.35">
      <c r="A1175" t="s">
        <v>757</v>
      </c>
      <c r="B1175" t="s">
        <v>366</v>
      </c>
      <c r="C1175" t="s">
        <v>16</v>
      </c>
      <c r="D1175">
        <v>0</v>
      </c>
      <c r="E1175">
        <v>14</v>
      </c>
      <c r="F1175" t="s">
        <v>216</v>
      </c>
      <c r="G1175">
        <v>14</v>
      </c>
      <c r="H1175" t="s">
        <v>157</v>
      </c>
      <c r="I1175">
        <v>15</v>
      </c>
      <c r="J1175">
        <v>26.5</v>
      </c>
      <c r="K1175">
        <v>1</v>
      </c>
      <c r="L1175">
        <v>1</v>
      </c>
      <c r="M1175">
        <v>15</v>
      </c>
      <c r="N1175" t="s">
        <v>215</v>
      </c>
    </row>
    <row r="1176" spans="1:14" x14ac:dyDescent="0.35">
      <c r="A1176" t="s">
        <v>757</v>
      </c>
      <c r="B1176" t="s">
        <v>369</v>
      </c>
      <c r="C1176" t="s">
        <v>16</v>
      </c>
      <c r="D1176">
        <v>0</v>
      </c>
      <c r="E1176">
        <v>18</v>
      </c>
      <c r="F1176" t="s">
        <v>370</v>
      </c>
      <c r="G1176">
        <v>18</v>
      </c>
      <c r="H1176" t="s">
        <v>18</v>
      </c>
      <c r="I1176">
        <v>15</v>
      </c>
      <c r="J1176">
        <v>30</v>
      </c>
      <c r="K1176">
        <v>3</v>
      </c>
      <c r="L1176">
        <v>2</v>
      </c>
      <c r="M1176">
        <v>20</v>
      </c>
      <c r="N1176" t="s">
        <v>223</v>
      </c>
    </row>
    <row r="1177" spans="1:14" x14ac:dyDescent="0.35">
      <c r="A1177" t="s">
        <v>757</v>
      </c>
      <c r="B1177" t="s">
        <v>471</v>
      </c>
      <c r="C1177" t="s">
        <v>16</v>
      </c>
      <c r="D1177">
        <v>0</v>
      </c>
      <c r="E1177">
        <v>10</v>
      </c>
      <c r="F1177" t="s">
        <v>741</v>
      </c>
      <c r="G1177">
        <v>10</v>
      </c>
      <c r="H1177" t="s">
        <v>157</v>
      </c>
      <c r="I1177">
        <v>15</v>
      </c>
      <c r="J1177">
        <v>29</v>
      </c>
      <c r="K1177">
        <v>3</v>
      </c>
      <c r="L1177">
        <v>3</v>
      </c>
      <c r="M1177">
        <v>13</v>
      </c>
      <c r="N1177" t="s">
        <v>379</v>
      </c>
    </row>
    <row r="1178" spans="1:14" x14ac:dyDescent="0.35">
      <c r="A1178" t="s">
        <v>757</v>
      </c>
      <c r="B1178" t="s">
        <v>473</v>
      </c>
      <c r="C1178" t="s">
        <v>16</v>
      </c>
      <c r="D1178">
        <v>0</v>
      </c>
      <c r="E1178">
        <v>14</v>
      </c>
      <c r="F1178" t="s">
        <v>554</v>
      </c>
      <c r="G1178">
        <v>14</v>
      </c>
      <c r="H1178" t="s">
        <v>157</v>
      </c>
      <c r="I1178">
        <v>15</v>
      </c>
      <c r="J1178">
        <v>29</v>
      </c>
      <c r="K1178">
        <v>1</v>
      </c>
      <c r="L1178">
        <v>1</v>
      </c>
      <c r="M1178">
        <v>15</v>
      </c>
      <c r="N1178" t="s">
        <v>382</v>
      </c>
    </row>
    <row r="1179" spans="1:14" x14ac:dyDescent="0.35">
      <c r="A1179" t="s">
        <v>757</v>
      </c>
      <c r="B1179" t="s">
        <v>477</v>
      </c>
      <c r="C1179" t="s">
        <v>16</v>
      </c>
      <c r="D1179">
        <v>0</v>
      </c>
      <c r="E1179">
        <v>19</v>
      </c>
      <c r="F1179" t="s">
        <v>478</v>
      </c>
      <c r="G1179">
        <v>18</v>
      </c>
      <c r="H1179" t="s">
        <v>18</v>
      </c>
      <c r="I1179">
        <v>15</v>
      </c>
      <c r="J1179">
        <v>33.9</v>
      </c>
      <c r="K1179">
        <v>2</v>
      </c>
      <c r="L1179">
        <v>1</v>
      </c>
      <c r="M1179">
        <v>19</v>
      </c>
      <c r="N1179" t="s">
        <v>608</v>
      </c>
    </row>
    <row r="1180" spans="1:14" x14ac:dyDescent="0.35">
      <c r="A1180" t="s">
        <v>757</v>
      </c>
      <c r="B1180" t="s">
        <v>479</v>
      </c>
      <c r="C1180" t="s">
        <v>16</v>
      </c>
      <c r="D1180">
        <v>1</v>
      </c>
      <c r="E1180">
        <v>16</v>
      </c>
      <c r="F1180" t="s">
        <v>480</v>
      </c>
      <c r="G1180">
        <v>17</v>
      </c>
      <c r="H1180" t="s">
        <v>157</v>
      </c>
      <c r="I1180">
        <v>15</v>
      </c>
      <c r="J1180">
        <v>27.6</v>
      </c>
      <c r="K1180">
        <v>1</v>
      </c>
      <c r="L1180">
        <v>3</v>
      </c>
      <c r="M1180">
        <v>20</v>
      </c>
      <c r="N1180" t="s">
        <v>388</v>
      </c>
    </row>
    <row r="1181" spans="1:14" x14ac:dyDescent="0.35">
      <c r="A1181" t="s">
        <v>757</v>
      </c>
      <c r="B1181" t="s">
        <v>227</v>
      </c>
      <c r="C1181" t="s">
        <v>16</v>
      </c>
      <c r="D1181">
        <v>0</v>
      </c>
      <c r="E1181">
        <v>11</v>
      </c>
      <c r="F1181" t="s">
        <v>481</v>
      </c>
      <c r="G1181">
        <v>11</v>
      </c>
      <c r="H1181" t="s">
        <v>157</v>
      </c>
      <c r="I1181">
        <v>15</v>
      </c>
      <c r="J1181">
        <v>25.1</v>
      </c>
      <c r="K1181">
        <v>1</v>
      </c>
      <c r="L1181">
        <v>1</v>
      </c>
      <c r="M1181">
        <v>12</v>
      </c>
      <c r="N1181" t="s">
        <v>482</v>
      </c>
    </row>
    <row r="1182" spans="1:14" x14ac:dyDescent="0.35">
      <c r="A1182" t="s">
        <v>757</v>
      </c>
      <c r="B1182" t="s">
        <v>483</v>
      </c>
      <c r="C1182" t="s">
        <v>16</v>
      </c>
      <c r="D1182">
        <v>0</v>
      </c>
      <c r="E1182">
        <v>15</v>
      </c>
      <c r="F1182" t="s">
        <v>484</v>
      </c>
      <c r="G1182">
        <v>15</v>
      </c>
      <c r="H1182" t="s">
        <v>157</v>
      </c>
      <c r="I1182">
        <v>15</v>
      </c>
      <c r="J1182">
        <v>27</v>
      </c>
      <c r="K1182">
        <v>0</v>
      </c>
      <c r="L1182">
        <v>0</v>
      </c>
      <c r="M1182">
        <v>15</v>
      </c>
      <c r="N1182" t="s">
        <v>754</v>
      </c>
    </row>
    <row r="1183" spans="1:14" x14ac:dyDescent="0.35">
      <c r="A1183" t="s">
        <v>757</v>
      </c>
      <c r="B1183" t="s">
        <v>384</v>
      </c>
      <c r="C1183" t="s">
        <v>16</v>
      </c>
      <c r="D1183">
        <v>0</v>
      </c>
      <c r="E1183">
        <v>12</v>
      </c>
      <c r="F1183" t="s">
        <v>488</v>
      </c>
      <c r="G1183">
        <v>12</v>
      </c>
      <c r="H1183" t="s">
        <v>157</v>
      </c>
      <c r="I1183">
        <v>15</v>
      </c>
      <c r="J1183">
        <v>25.1</v>
      </c>
      <c r="K1183">
        <v>2</v>
      </c>
      <c r="L1183">
        <v>0</v>
      </c>
      <c r="M1183">
        <v>12</v>
      </c>
      <c r="N1183" t="s">
        <v>762</v>
      </c>
    </row>
    <row r="1184" spans="1:14" x14ac:dyDescent="0.35">
      <c r="A1184" t="s">
        <v>757</v>
      </c>
      <c r="B1184" t="s">
        <v>387</v>
      </c>
      <c r="C1184" t="s">
        <v>16</v>
      </c>
      <c r="D1184">
        <v>0</v>
      </c>
      <c r="E1184">
        <v>9</v>
      </c>
      <c r="F1184" t="s">
        <v>612</v>
      </c>
      <c r="G1184">
        <v>9</v>
      </c>
      <c r="H1184" t="s">
        <v>157</v>
      </c>
      <c r="I1184">
        <v>15</v>
      </c>
      <c r="J1184">
        <v>26.8</v>
      </c>
      <c r="K1184">
        <v>3</v>
      </c>
      <c r="L1184">
        <v>3</v>
      </c>
      <c r="M1184">
        <v>12</v>
      </c>
      <c r="N1184" t="s">
        <v>397</v>
      </c>
    </row>
    <row r="1185" spans="1:14" x14ac:dyDescent="0.35">
      <c r="A1185" t="s">
        <v>757</v>
      </c>
      <c r="B1185" t="s">
        <v>675</v>
      </c>
      <c r="C1185" t="s">
        <v>16</v>
      </c>
      <c r="D1185">
        <v>0</v>
      </c>
      <c r="E1185">
        <v>11</v>
      </c>
      <c r="F1185" t="s">
        <v>615</v>
      </c>
      <c r="G1185">
        <v>11</v>
      </c>
      <c r="H1185" t="s">
        <v>157</v>
      </c>
      <c r="I1185">
        <v>15</v>
      </c>
      <c r="J1185">
        <v>26</v>
      </c>
      <c r="K1185">
        <v>2</v>
      </c>
      <c r="L1185">
        <v>2</v>
      </c>
      <c r="M1185">
        <v>13</v>
      </c>
      <c r="N1185" t="s">
        <v>400</v>
      </c>
    </row>
    <row r="1186" spans="1:14" x14ac:dyDescent="0.35">
      <c r="A1186" t="s">
        <v>757</v>
      </c>
      <c r="B1186" t="s">
        <v>392</v>
      </c>
      <c r="C1186" t="s">
        <v>16</v>
      </c>
      <c r="D1186">
        <v>0</v>
      </c>
      <c r="E1186">
        <v>14</v>
      </c>
      <c r="F1186" t="s">
        <v>763</v>
      </c>
      <c r="G1186">
        <v>14</v>
      </c>
      <c r="H1186" t="s">
        <v>157</v>
      </c>
      <c r="I1186">
        <v>15</v>
      </c>
      <c r="J1186">
        <v>23.7</v>
      </c>
      <c r="K1186">
        <v>1</v>
      </c>
      <c r="L1186">
        <v>3</v>
      </c>
      <c r="M1186">
        <v>17</v>
      </c>
      <c r="N1186" t="s">
        <v>764</v>
      </c>
    </row>
    <row r="1187" spans="1:14" x14ac:dyDescent="0.35">
      <c r="A1187" t="s">
        <v>757</v>
      </c>
      <c r="B1187" t="s">
        <v>697</v>
      </c>
      <c r="C1187" t="s">
        <v>16</v>
      </c>
      <c r="D1187">
        <v>0</v>
      </c>
      <c r="E1187">
        <v>7</v>
      </c>
      <c r="F1187" t="s">
        <v>765</v>
      </c>
      <c r="G1187">
        <v>7</v>
      </c>
      <c r="H1187" t="s">
        <v>157</v>
      </c>
      <c r="I1187">
        <v>15</v>
      </c>
      <c r="J1187">
        <v>26</v>
      </c>
      <c r="K1187">
        <v>2</v>
      </c>
      <c r="L1187">
        <v>1</v>
      </c>
      <c r="M1187">
        <v>8</v>
      </c>
      <c r="N1187" t="s">
        <v>766</v>
      </c>
    </row>
    <row r="1188" spans="1:14" x14ac:dyDescent="0.35">
      <c r="A1188" t="s">
        <v>767</v>
      </c>
      <c r="B1188" t="s">
        <v>15</v>
      </c>
      <c r="C1188" t="s">
        <v>16</v>
      </c>
      <c r="D1188">
        <v>0</v>
      </c>
      <c r="E1188">
        <v>23</v>
      </c>
      <c r="F1188" t="s">
        <v>254</v>
      </c>
      <c r="G1188">
        <v>18</v>
      </c>
      <c r="H1188" t="s">
        <v>18</v>
      </c>
      <c r="I1188">
        <v>5</v>
      </c>
      <c r="J1188">
        <v>32.1</v>
      </c>
      <c r="K1188">
        <v>2</v>
      </c>
      <c r="L1188">
        <v>1</v>
      </c>
      <c r="M1188">
        <v>19</v>
      </c>
      <c r="N1188" t="s">
        <v>25</v>
      </c>
    </row>
    <row r="1189" spans="1:14" x14ac:dyDescent="0.35">
      <c r="A1189" t="s">
        <v>767</v>
      </c>
      <c r="B1189" t="s">
        <v>21</v>
      </c>
      <c r="C1189" t="s">
        <v>16</v>
      </c>
      <c r="D1189">
        <v>5</v>
      </c>
      <c r="E1189">
        <v>15</v>
      </c>
      <c r="F1189" t="s">
        <v>23</v>
      </c>
      <c r="G1189">
        <v>18</v>
      </c>
      <c r="H1189" t="s">
        <v>18</v>
      </c>
      <c r="I1189">
        <v>1</v>
      </c>
      <c r="J1189">
        <v>26.5</v>
      </c>
      <c r="K1189">
        <v>1</v>
      </c>
      <c r="L1189">
        <v>6</v>
      </c>
      <c r="M1189">
        <v>24</v>
      </c>
      <c r="N1189" t="s">
        <v>403</v>
      </c>
    </row>
    <row r="1190" spans="1:14" x14ac:dyDescent="0.35">
      <c r="A1190" t="s">
        <v>767</v>
      </c>
      <c r="B1190" t="s">
        <v>575</v>
      </c>
      <c r="C1190" t="s">
        <v>16</v>
      </c>
      <c r="D1190">
        <v>2</v>
      </c>
      <c r="E1190">
        <v>25</v>
      </c>
      <c r="F1190" t="s">
        <v>24</v>
      </c>
      <c r="G1190">
        <v>18</v>
      </c>
      <c r="H1190" t="s">
        <v>18</v>
      </c>
      <c r="I1190">
        <v>2</v>
      </c>
      <c r="J1190">
        <v>31.9</v>
      </c>
      <c r="K1190">
        <v>3</v>
      </c>
      <c r="L1190">
        <v>5</v>
      </c>
      <c r="M1190">
        <v>23</v>
      </c>
      <c r="N1190" t="s">
        <v>28</v>
      </c>
    </row>
    <row r="1191" spans="1:14" x14ac:dyDescent="0.35">
      <c r="A1191" t="s">
        <v>767</v>
      </c>
      <c r="B1191" t="s">
        <v>26</v>
      </c>
      <c r="C1191" t="s">
        <v>16</v>
      </c>
      <c r="D1191">
        <v>9</v>
      </c>
      <c r="E1191">
        <v>11</v>
      </c>
      <c r="F1191" t="s">
        <v>407</v>
      </c>
      <c r="G1191">
        <v>18</v>
      </c>
      <c r="H1191" t="s">
        <v>18</v>
      </c>
      <c r="I1191">
        <v>1</v>
      </c>
      <c r="J1191">
        <v>25.1</v>
      </c>
      <c r="K1191">
        <v>4</v>
      </c>
      <c r="L1191">
        <v>2</v>
      </c>
      <c r="M1191">
        <v>20</v>
      </c>
      <c r="N1191" t="s">
        <v>25</v>
      </c>
    </row>
    <row r="1192" spans="1:14" x14ac:dyDescent="0.35">
      <c r="A1192" t="s">
        <v>767</v>
      </c>
      <c r="B1192" t="s">
        <v>405</v>
      </c>
      <c r="C1192" t="s">
        <v>29</v>
      </c>
      <c r="D1192">
        <v>0</v>
      </c>
      <c r="E1192">
        <v>18</v>
      </c>
      <c r="F1192" t="s">
        <v>256</v>
      </c>
      <c r="G1192">
        <v>18</v>
      </c>
      <c r="H1192" t="s">
        <v>18</v>
      </c>
      <c r="I1192">
        <v>12</v>
      </c>
      <c r="J1192">
        <v>24.7</v>
      </c>
      <c r="K1192">
        <v>2</v>
      </c>
      <c r="L1192">
        <v>2</v>
      </c>
      <c r="M1192">
        <v>20</v>
      </c>
      <c r="N1192" t="s">
        <v>25</v>
      </c>
    </row>
    <row r="1193" spans="1:14" x14ac:dyDescent="0.35">
      <c r="A1193" t="s">
        <v>767</v>
      </c>
      <c r="B1193" t="s">
        <v>256</v>
      </c>
      <c r="C1193" t="s">
        <v>16</v>
      </c>
      <c r="D1193">
        <v>2</v>
      </c>
      <c r="E1193">
        <v>20</v>
      </c>
      <c r="F1193" t="s">
        <v>30</v>
      </c>
      <c r="G1193">
        <v>18</v>
      </c>
      <c r="H1193" t="s">
        <v>18</v>
      </c>
      <c r="I1193">
        <v>4</v>
      </c>
      <c r="J1193">
        <v>28.5</v>
      </c>
      <c r="K1193">
        <v>4</v>
      </c>
      <c r="L1193">
        <v>3</v>
      </c>
      <c r="M1193">
        <v>21</v>
      </c>
      <c r="N1193" t="s">
        <v>259</v>
      </c>
    </row>
    <row r="1194" spans="1:14" x14ac:dyDescent="0.35">
      <c r="A1194" t="s">
        <v>767</v>
      </c>
      <c r="B1194" t="s">
        <v>499</v>
      </c>
      <c r="C1194" t="s">
        <v>16</v>
      </c>
      <c r="D1194">
        <v>4</v>
      </c>
      <c r="E1194">
        <v>17</v>
      </c>
      <c r="F1194" t="s">
        <v>33</v>
      </c>
      <c r="G1194">
        <v>18</v>
      </c>
      <c r="H1194" t="s">
        <v>18</v>
      </c>
      <c r="I1194">
        <v>3</v>
      </c>
      <c r="J1194">
        <v>34.200000000000003</v>
      </c>
      <c r="K1194">
        <v>2</v>
      </c>
      <c r="L1194">
        <v>3</v>
      </c>
      <c r="M1194">
        <v>21</v>
      </c>
      <c r="N1194" t="s">
        <v>40</v>
      </c>
    </row>
    <row r="1195" spans="1:14" x14ac:dyDescent="0.35">
      <c r="A1195" t="s">
        <v>767</v>
      </c>
      <c r="B1195" t="s">
        <v>701</v>
      </c>
      <c r="C1195" t="s">
        <v>16</v>
      </c>
      <c r="D1195">
        <v>3</v>
      </c>
      <c r="E1195">
        <v>19</v>
      </c>
      <c r="F1195" t="s">
        <v>34</v>
      </c>
      <c r="G1195">
        <v>18</v>
      </c>
      <c r="H1195" t="s">
        <v>18</v>
      </c>
      <c r="I1195">
        <v>3</v>
      </c>
      <c r="J1195">
        <v>30.8</v>
      </c>
      <c r="K1195">
        <v>2</v>
      </c>
      <c r="L1195">
        <v>1</v>
      </c>
      <c r="M1195">
        <v>19</v>
      </c>
      <c r="N1195" t="s">
        <v>40</v>
      </c>
    </row>
    <row r="1196" spans="1:14" x14ac:dyDescent="0.35">
      <c r="A1196" t="s">
        <v>767</v>
      </c>
      <c r="B1196" t="s">
        <v>38</v>
      </c>
      <c r="C1196" t="s">
        <v>16</v>
      </c>
      <c r="D1196">
        <v>4</v>
      </c>
      <c r="E1196">
        <v>15</v>
      </c>
      <c r="F1196" t="s">
        <v>19</v>
      </c>
      <c r="G1196">
        <v>18</v>
      </c>
      <c r="H1196" t="s">
        <v>18</v>
      </c>
      <c r="I1196">
        <v>6</v>
      </c>
      <c r="J1196">
        <v>27.6</v>
      </c>
      <c r="K1196">
        <v>0</v>
      </c>
      <c r="L1196">
        <v>0</v>
      </c>
      <c r="M1196">
        <v>18</v>
      </c>
      <c r="N1196" t="s">
        <v>409</v>
      </c>
    </row>
    <row r="1197" spans="1:14" x14ac:dyDescent="0.35">
      <c r="A1197" t="s">
        <v>767</v>
      </c>
      <c r="B1197" t="s">
        <v>263</v>
      </c>
      <c r="C1197" t="s">
        <v>29</v>
      </c>
      <c r="D1197">
        <v>0</v>
      </c>
      <c r="E1197">
        <v>18</v>
      </c>
      <c r="F1197" t="s">
        <v>22</v>
      </c>
      <c r="G1197">
        <v>18</v>
      </c>
      <c r="H1197" t="s">
        <v>18</v>
      </c>
      <c r="I1197">
        <v>20</v>
      </c>
      <c r="J1197">
        <v>22.9</v>
      </c>
      <c r="K1197">
        <v>0</v>
      </c>
      <c r="L1197">
        <v>0</v>
      </c>
      <c r="M1197">
        <v>18</v>
      </c>
      <c r="N1197" t="s">
        <v>498</v>
      </c>
    </row>
    <row r="1198" spans="1:14" x14ac:dyDescent="0.35">
      <c r="A1198" t="s">
        <v>767</v>
      </c>
      <c r="B1198" t="s">
        <v>403</v>
      </c>
      <c r="C1198" t="s">
        <v>16</v>
      </c>
      <c r="D1198">
        <v>1</v>
      </c>
      <c r="E1198">
        <v>17</v>
      </c>
      <c r="F1198" t="s">
        <v>28</v>
      </c>
      <c r="G1198">
        <v>18</v>
      </c>
      <c r="H1198" t="s">
        <v>18</v>
      </c>
      <c r="I1198">
        <v>8</v>
      </c>
      <c r="J1198">
        <v>29.1</v>
      </c>
      <c r="K1198">
        <v>3</v>
      </c>
      <c r="L1198">
        <v>4</v>
      </c>
      <c r="M1198">
        <v>22</v>
      </c>
      <c r="N1198" t="s">
        <v>55</v>
      </c>
    </row>
    <row r="1199" spans="1:14" x14ac:dyDescent="0.35">
      <c r="A1199" t="s">
        <v>767</v>
      </c>
      <c r="B1199" t="s">
        <v>497</v>
      </c>
      <c r="C1199" t="s">
        <v>16</v>
      </c>
      <c r="D1199">
        <v>0</v>
      </c>
      <c r="E1199">
        <v>19</v>
      </c>
      <c r="F1199" t="s">
        <v>35</v>
      </c>
      <c r="G1199">
        <v>18</v>
      </c>
      <c r="H1199" t="s">
        <v>18</v>
      </c>
      <c r="I1199">
        <v>11</v>
      </c>
      <c r="J1199">
        <v>28.1</v>
      </c>
      <c r="K1199">
        <v>1</v>
      </c>
      <c r="L1199">
        <v>3</v>
      </c>
      <c r="M1199">
        <v>21</v>
      </c>
      <c r="N1199" t="s">
        <v>277</v>
      </c>
    </row>
    <row r="1200" spans="1:14" x14ac:dyDescent="0.35">
      <c r="A1200" t="s">
        <v>767</v>
      </c>
      <c r="B1200" t="s">
        <v>500</v>
      </c>
      <c r="C1200" t="s">
        <v>16</v>
      </c>
      <c r="D1200">
        <v>1</v>
      </c>
      <c r="E1200">
        <v>20</v>
      </c>
      <c r="F1200" t="s">
        <v>269</v>
      </c>
      <c r="G1200">
        <v>18</v>
      </c>
      <c r="H1200" t="s">
        <v>18</v>
      </c>
      <c r="I1200">
        <v>8</v>
      </c>
      <c r="J1200">
        <v>33</v>
      </c>
      <c r="K1200">
        <v>2</v>
      </c>
      <c r="L1200">
        <v>5</v>
      </c>
      <c r="M1200">
        <v>23</v>
      </c>
      <c r="N1200" t="s">
        <v>58</v>
      </c>
    </row>
    <row r="1201" spans="1:14" x14ac:dyDescent="0.35">
      <c r="A1201" t="s">
        <v>767</v>
      </c>
      <c r="B1201" t="s">
        <v>264</v>
      </c>
      <c r="C1201" t="s">
        <v>29</v>
      </c>
      <c r="D1201">
        <v>0</v>
      </c>
      <c r="E1201">
        <v>18</v>
      </c>
      <c r="F1201" t="s">
        <v>48</v>
      </c>
      <c r="G1201">
        <v>18</v>
      </c>
      <c r="H1201" t="s">
        <v>18</v>
      </c>
      <c r="I1201">
        <v>24</v>
      </c>
      <c r="J1201">
        <v>24.2</v>
      </c>
      <c r="K1201">
        <v>2</v>
      </c>
      <c r="L1201">
        <v>4</v>
      </c>
      <c r="M1201">
        <v>22</v>
      </c>
      <c r="N1201" t="s">
        <v>49</v>
      </c>
    </row>
    <row r="1202" spans="1:14" x14ac:dyDescent="0.35">
      <c r="A1202" t="s">
        <v>767</v>
      </c>
      <c r="B1202" t="s">
        <v>48</v>
      </c>
      <c r="C1202" t="s">
        <v>16</v>
      </c>
      <c r="D1202">
        <v>3</v>
      </c>
      <c r="E1202">
        <v>16</v>
      </c>
      <c r="F1202" t="s">
        <v>265</v>
      </c>
      <c r="G1202">
        <v>18</v>
      </c>
      <c r="H1202" t="s">
        <v>18</v>
      </c>
      <c r="I1202">
        <v>2</v>
      </c>
      <c r="J1202">
        <v>30.3</v>
      </c>
      <c r="K1202">
        <v>1</v>
      </c>
      <c r="L1202">
        <v>5</v>
      </c>
      <c r="M1202">
        <v>23</v>
      </c>
      <c r="N1202" t="s">
        <v>58</v>
      </c>
    </row>
    <row r="1203" spans="1:14" x14ac:dyDescent="0.35">
      <c r="A1203" t="s">
        <v>767</v>
      </c>
      <c r="B1203" t="s">
        <v>411</v>
      </c>
      <c r="C1203" t="s">
        <v>16</v>
      </c>
      <c r="D1203">
        <v>1</v>
      </c>
      <c r="E1203">
        <v>20</v>
      </c>
      <c r="F1203" t="s">
        <v>56</v>
      </c>
      <c r="G1203">
        <v>18</v>
      </c>
      <c r="H1203" t="s">
        <v>18</v>
      </c>
      <c r="I1203">
        <v>6</v>
      </c>
      <c r="J1203">
        <v>31.1</v>
      </c>
      <c r="K1203">
        <v>3</v>
      </c>
      <c r="L1203">
        <v>6</v>
      </c>
      <c r="M1203">
        <v>24</v>
      </c>
      <c r="N1203" t="s">
        <v>281</v>
      </c>
    </row>
    <row r="1204" spans="1:14" x14ac:dyDescent="0.35">
      <c r="A1204" t="s">
        <v>767</v>
      </c>
      <c r="B1204" t="s">
        <v>43</v>
      </c>
      <c r="C1204" t="s">
        <v>16</v>
      </c>
      <c r="D1204">
        <v>3</v>
      </c>
      <c r="E1204">
        <v>20</v>
      </c>
      <c r="F1204" t="s">
        <v>274</v>
      </c>
      <c r="G1204">
        <v>18</v>
      </c>
      <c r="H1204" t="s">
        <v>18</v>
      </c>
      <c r="I1204">
        <v>2</v>
      </c>
      <c r="J1204">
        <v>30.1</v>
      </c>
      <c r="K1204">
        <v>1</v>
      </c>
      <c r="L1204">
        <v>4</v>
      </c>
      <c r="M1204">
        <v>22</v>
      </c>
      <c r="N1204" t="s">
        <v>72</v>
      </c>
    </row>
    <row r="1205" spans="1:14" x14ac:dyDescent="0.35">
      <c r="A1205" t="s">
        <v>767</v>
      </c>
      <c r="B1205" t="s">
        <v>265</v>
      </c>
      <c r="C1205" t="s">
        <v>29</v>
      </c>
      <c r="D1205">
        <v>0</v>
      </c>
      <c r="E1205">
        <v>18</v>
      </c>
      <c r="F1205" t="s">
        <v>59</v>
      </c>
      <c r="G1205">
        <v>18</v>
      </c>
      <c r="H1205" t="s">
        <v>18</v>
      </c>
      <c r="I1205">
        <v>11</v>
      </c>
      <c r="J1205">
        <v>24.8</v>
      </c>
      <c r="K1205">
        <v>3</v>
      </c>
      <c r="L1205">
        <v>3</v>
      </c>
      <c r="M1205">
        <v>21</v>
      </c>
      <c r="N1205" t="s">
        <v>57</v>
      </c>
    </row>
    <row r="1206" spans="1:14" x14ac:dyDescent="0.35">
      <c r="A1206" t="s">
        <v>767</v>
      </c>
      <c r="B1206" t="s">
        <v>59</v>
      </c>
      <c r="C1206" t="s">
        <v>16</v>
      </c>
      <c r="D1206">
        <v>5</v>
      </c>
      <c r="E1206">
        <v>14</v>
      </c>
      <c r="F1206" t="s">
        <v>61</v>
      </c>
      <c r="G1206">
        <v>18</v>
      </c>
      <c r="H1206" t="s">
        <v>18</v>
      </c>
      <c r="I1206">
        <v>1</v>
      </c>
      <c r="J1206">
        <v>26.3</v>
      </c>
      <c r="K1206">
        <v>2</v>
      </c>
      <c r="L1206">
        <v>4</v>
      </c>
      <c r="M1206">
        <v>22</v>
      </c>
      <c r="N1206" t="s">
        <v>281</v>
      </c>
    </row>
    <row r="1207" spans="1:14" x14ac:dyDescent="0.35">
      <c r="A1207" t="s">
        <v>767</v>
      </c>
      <c r="B1207" t="s">
        <v>504</v>
      </c>
      <c r="C1207" t="s">
        <v>16</v>
      </c>
      <c r="D1207">
        <v>1</v>
      </c>
      <c r="E1207">
        <v>21</v>
      </c>
      <c r="F1207" t="s">
        <v>277</v>
      </c>
      <c r="G1207">
        <v>18</v>
      </c>
      <c r="H1207" t="s">
        <v>18</v>
      </c>
      <c r="I1207">
        <v>3</v>
      </c>
      <c r="J1207">
        <v>29.2</v>
      </c>
      <c r="K1207">
        <v>2</v>
      </c>
      <c r="L1207">
        <v>4</v>
      </c>
      <c r="M1207">
        <v>22</v>
      </c>
      <c r="N1207" t="s">
        <v>276</v>
      </c>
    </row>
    <row r="1208" spans="1:14" x14ac:dyDescent="0.35">
      <c r="A1208" t="s">
        <v>767</v>
      </c>
      <c r="B1208" t="s">
        <v>51</v>
      </c>
      <c r="C1208" t="s">
        <v>16</v>
      </c>
      <c r="D1208">
        <v>4</v>
      </c>
      <c r="E1208">
        <v>15</v>
      </c>
      <c r="F1208" t="s">
        <v>67</v>
      </c>
      <c r="G1208">
        <v>18</v>
      </c>
      <c r="H1208" t="s">
        <v>18</v>
      </c>
      <c r="I1208">
        <v>2</v>
      </c>
      <c r="J1208">
        <v>27.1</v>
      </c>
      <c r="K1208">
        <v>3</v>
      </c>
      <c r="L1208">
        <v>6</v>
      </c>
      <c r="M1208">
        <v>24</v>
      </c>
      <c r="N1208" t="s">
        <v>64</v>
      </c>
    </row>
    <row r="1209" spans="1:14" x14ac:dyDescent="0.35">
      <c r="A1209" t="s">
        <v>767</v>
      </c>
      <c r="B1209" t="s">
        <v>65</v>
      </c>
      <c r="C1209" t="s">
        <v>16</v>
      </c>
      <c r="D1209">
        <v>1</v>
      </c>
      <c r="E1209">
        <v>20</v>
      </c>
      <c r="F1209" t="s">
        <v>415</v>
      </c>
      <c r="G1209">
        <v>18</v>
      </c>
      <c r="H1209" t="s">
        <v>18</v>
      </c>
      <c r="I1209">
        <v>3</v>
      </c>
      <c r="J1209">
        <v>29.3</v>
      </c>
      <c r="K1209">
        <v>1</v>
      </c>
      <c r="L1209">
        <v>4</v>
      </c>
      <c r="M1209">
        <v>22</v>
      </c>
      <c r="N1209" t="s">
        <v>286</v>
      </c>
    </row>
    <row r="1210" spans="1:14" x14ac:dyDescent="0.35">
      <c r="A1210" t="s">
        <v>767</v>
      </c>
      <c r="B1210" t="s">
        <v>61</v>
      </c>
      <c r="C1210" t="s">
        <v>29</v>
      </c>
      <c r="D1210">
        <v>0</v>
      </c>
      <c r="E1210">
        <v>18</v>
      </c>
      <c r="F1210" t="s">
        <v>279</v>
      </c>
      <c r="G1210">
        <v>18</v>
      </c>
      <c r="H1210" t="s">
        <v>18</v>
      </c>
      <c r="I1210">
        <v>12</v>
      </c>
      <c r="J1210">
        <v>22.7</v>
      </c>
      <c r="K1210">
        <v>2</v>
      </c>
      <c r="L1210">
        <v>4</v>
      </c>
      <c r="M1210">
        <v>22</v>
      </c>
      <c r="N1210" t="s">
        <v>64</v>
      </c>
    </row>
    <row r="1211" spans="1:14" x14ac:dyDescent="0.35">
      <c r="A1211" t="s">
        <v>767</v>
      </c>
      <c r="B1211" t="s">
        <v>279</v>
      </c>
      <c r="C1211" t="s">
        <v>16</v>
      </c>
      <c r="D1211">
        <v>3</v>
      </c>
      <c r="E1211">
        <v>15</v>
      </c>
      <c r="F1211" t="s">
        <v>54</v>
      </c>
      <c r="G1211">
        <v>18</v>
      </c>
      <c r="H1211" t="s">
        <v>18</v>
      </c>
      <c r="I1211">
        <v>10</v>
      </c>
      <c r="J1211">
        <v>33</v>
      </c>
      <c r="K1211">
        <v>4</v>
      </c>
      <c r="L1211">
        <v>5</v>
      </c>
      <c r="M1211">
        <v>23</v>
      </c>
      <c r="N1211" t="s">
        <v>290</v>
      </c>
    </row>
    <row r="1212" spans="1:14" x14ac:dyDescent="0.35">
      <c r="A1212" t="s">
        <v>767</v>
      </c>
      <c r="B1212" t="s">
        <v>577</v>
      </c>
      <c r="C1212" t="s">
        <v>16</v>
      </c>
      <c r="D1212">
        <v>0</v>
      </c>
      <c r="E1212">
        <v>18</v>
      </c>
      <c r="F1212" t="s">
        <v>64</v>
      </c>
      <c r="G1212">
        <v>18</v>
      </c>
      <c r="H1212" t="s">
        <v>18</v>
      </c>
      <c r="I1212">
        <v>10</v>
      </c>
      <c r="J1212">
        <v>30.1</v>
      </c>
      <c r="K1212">
        <v>3</v>
      </c>
      <c r="L1212">
        <v>3</v>
      </c>
      <c r="M1212">
        <v>21</v>
      </c>
      <c r="N1212" t="s">
        <v>93</v>
      </c>
    </row>
    <row r="1213" spans="1:14" x14ac:dyDescent="0.35">
      <c r="A1213" t="s">
        <v>767</v>
      </c>
      <c r="B1213" t="s">
        <v>506</v>
      </c>
      <c r="C1213" t="s">
        <v>16</v>
      </c>
      <c r="D1213">
        <v>0</v>
      </c>
      <c r="E1213">
        <v>18</v>
      </c>
      <c r="F1213" t="s">
        <v>71</v>
      </c>
      <c r="G1213">
        <v>18</v>
      </c>
      <c r="H1213" t="s">
        <v>18</v>
      </c>
      <c r="I1213">
        <v>8</v>
      </c>
      <c r="J1213">
        <v>30.4</v>
      </c>
      <c r="K1213">
        <v>3</v>
      </c>
      <c r="L1213">
        <v>3</v>
      </c>
      <c r="M1213">
        <v>21</v>
      </c>
      <c r="N1213" t="s">
        <v>98</v>
      </c>
    </row>
    <row r="1214" spans="1:14" x14ac:dyDescent="0.35">
      <c r="A1214" t="s">
        <v>767</v>
      </c>
      <c r="B1214" t="s">
        <v>268</v>
      </c>
      <c r="C1214" t="s">
        <v>29</v>
      </c>
      <c r="D1214">
        <v>0</v>
      </c>
      <c r="E1214">
        <v>18</v>
      </c>
      <c r="F1214" t="s">
        <v>75</v>
      </c>
      <c r="G1214">
        <v>18</v>
      </c>
      <c r="H1214" t="s">
        <v>18</v>
      </c>
      <c r="I1214">
        <v>30</v>
      </c>
      <c r="J1214">
        <v>22.3</v>
      </c>
      <c r="K1214">
        <v>1</v>
      </c>
      <c r="L1214">
        <v>4</v>
      </c>
      <c r="M1214">
        <v>22</v>
      </c>
      <c r="N1214" t="s">
        <v>91</v>
      </c>
    </row>
    <row r="1215" spans="1:14" x14ac:dyDescent="0.35">
      <c r="A1215" t="s">
        <v>767</v>
      </c>
      <c r="B1215" t="s">
        <v>75</v>
      </c>
      <c r="C1215" t="s">
        <v>16</v>
      </c>
      <c r="D1215">
        <v>0</v>
      </c>
      <c r="E1215">
        <v>19</v>
      </c>
      <c r="F1215" t="s">
        <v>287</v>
      </c>
      <c r="G1215">
        <v>18</v>
      </c>
      <c r="H1215" t="s">
        <v>18</v>
      </c>
      <c r="I1215">
        <v>3</v>
      </c>
      <c r="J1215">
        <v>28.5</v>
      </c>
      <c r="K1215">
        <v>2</v>
      </c>
      <c r="L1215">
        <v>3</v>
      </c>
      <c r="M1215">
        <v>21</v>
      </c>
      <c r="N1215" t="s">
        <v>78</v>
      </c>
    </row>
    <row r="1216" spans="1:14" x14ac:dyDescent="0.35">
      <c r="A1216" t="s">
        <v>767</v>
      </c>
      <c r="B1216" t="s">
        <v>77</v>
      </c>
      <c r="C1216" t="s">
        <v>16</v>
      </c>
      <c r="D1216">
        <v>1</v>
      </c>
      <c r="E1216">
        <v>19</v>
      </c>
      <c r="F1216" t="s">
        <v>80</v>
      </c>
      <c r="G1216">
        <v>18</v>
      </c>
      <c r="H1216" t="s">
        <v>18</v>
      </c>
      <c r="I1216">
        <v>4</v>
      </c>
      <c r="J1216">
        <v>30</v>
      </c>
      <c r="K1216">
        <v>1</v>
      </c>
      <c r="L1216">
        <v>4</v>
      </c>
      <c r="M1216">
        <v>22</v>
      </c>
      <c r="N1216" t="s">
        <v>99</v>
      </c>
    </row>
    <row r="1217" spans="1:14" x14ac:dyDescent="0.35">
      <c r="A1217" t="s">
        <v>767</v>
      </c>
      <c r="B1217" t="s">
        <v>82</v>
      </c>
      <c r="C1217" t="s">
        <v>16</v>
      </c>
      <c r="D1217">
        <v>2</v>
      </c>
      <c r="E1217">
        <v>20</v>
      </c>
      <c r="F1217" t="s">
        <v>83</v>
      </c>
      <c r="G1217">
        <v>18</v>
      </c>
      <c r="H1217" t="s">
        <v>18</v>
      </c>
      <c r="I1217">
        <v>3</v>
      </c>
      <c r="J1217">
        <v>29.9</v>
      </c>
      <c r="K1217">
        <v>1</v>
      </c>
      <c r="L1217">
        <v>4</v>
      </c>
      <c r="M1217">
        <v>22</v>
      </c>
      <c r="N1217" t="s">
        <v>84</v>
      </c>
    </row>
    <row r="1218" spans="1:14" x14ac:dyDescent="0.35">
      <c r="A1218" t="s">
        <v>767</v>
      </c>
      <c r="B1218" t="s">
        <v>85</v>
      </c>
      <c r="C1218" t="s">
        <v>16</v>
      </c>
      <c r="D1218">
        <v>4</v>
      </c>
      <c r="E1218">
        <v>15</v>
      </c>
      <c r="F1218" t="s">
        <v>73</v>
      </c>
      <c r="G1218">
        <v>18</v>
      </c>
      <c r="H1218" t="s">
        <v>18</v>
      </c>
      <c r="I1218">
        <v>3</v>
      </c>
      <c r="J1218">
        <v>30</v>
      </c>
      <c r="K1218">
        <v>2</v>
      </c>
      <c r="L1218">
        <v>5</v>
      </c>
      <c r="M1218">
        <v>23</v>
      </c>
      <c r="N1218" t="s">
        <v>89</v>
      </c>
    </row>
    <row r="1219" spans="1:14" x14ac:dyDescent="0.35">
      <c r="A1219" t="s">
        <v>767</v>
      </c>
      <c r="B1219" t="s">
        <v>90</v>
      </c>
      <c r="C1219" t="s">
        <v>29</v>
      </c>
      <c r="D1219">
        <v>0</v>
      </c>
      <c r="E1219">
        <v>18</v>
      </c>
      <c r="F1219" t="s">
        <v>88</v>
      </c>
      <c r="G1219">
        <v>18</v>
      </c>
      <c r="H1219" t="s">
        <v>18</v>
      </c>
      <c r="I1219">
        <v>18</v>
      </c>
      <c r="J1219">
        <v>22.8</v>
      </c>
      <c r="K1219">
        <v>4</v>
      </c>
      <c r="L1219">
        <v>5</v>
      </c>
      <c r="M1219">
        <v>23</v>
      </c>
      <c r="N1219" t="s">
        <v>84</v>
      </c>
    </row>
    <row r="1220" spans="1:14" x14ac:dyDescent="0.35">
      <c r="A1220" t="s">
        <v>767</v>
      </c>
      <c r="B1220" t="s">
        <v>87</v>
      </c>
      <c r="C1220" t="s">
        <v>16</v>
      </c>
      <c r="D1220">
        <v>1</v>
      </c>
      <c r="E1220">
        <v>18</v>
      </c>
      <c r="F1220" t="s">
        <v>285</v>
      </c>
      <c r="G1220">
        <v>18</v>
      </c>
      <c r="H1220" t="s">
        <v>18</v>
      </c>
      <c r="I1220">
        <v>4</v>
      </c>
      <c r="J1220">
        <v>28.3</v>
      </c>
      <c r="K1220">
        <v>4</v>
      </c>
      <c r="L1220">
        <v>5</v>
      </c>
      <c r="M1220">
        <v>23</v>
      </c>
      <c r="N1220" t="s">
        <v>86</v>
      </c>
    </row>
    <row r="1221" spans="1:14" x14ac:dyDescent="0.35">
      <c r="A1221" t="s">
        <v>767</v>
      </c>
      <c r="B1221" t="s">
        <v>91</v>
      </c>
      <c r="C1221" t="s">
        <v>16</v>
      </c>
      <c r="D1221">
        <v>1</v>
      </c>
      <c r="E1221">
        <v>20</v>
      </c>
      <c r="F1221" t="s">
        <v>94</v>
      </c>
      <c r="G1221">
        <v>18</v>
      </c>
      <c r="H1221" t="s">
        <v>18</v>
      </c>
      <c r="I1221">
        <v>3</v>
      </c>
      <c r="J1221">
        <v>27.3</v>
      </c>
      <c r="K1221">
        <v>0</v>
      </c>
      <c r="L1221">
        <v>0</v>
      </c>
      <c r="M1221">
        <v>18</v>
      </c>
      <c r="N1221" t="s">
        <v>95</v>
      </c>
    </row>
    <row r="1222" spans="1:14" x14ac:dyDescent="0.35">
      <c r="A1222" t="s">
        <v>767</v>
      </c>
      <c r="B1222" t="s">
        <v>96</v>
      </c>
      <c r="C1222" t="s">
        <v>16</v>
      </c>
      <c r="D1222">
        <v>3</v>
      </c>
      <c r="E1222">
        <v>15</v>
      </c>
      <c r="F1222" t="s">
        <v>74</v>
      </c>
      <c r="G1222">
        <v>18</v>
      </c>
      <c r="H1222" t="s">
        <v>18</v>
      </c>
      <c r="I1222">
        <v>2</v>
      </c>
      <c r="J1222">
        <v>32.5</v>
      </c>
      <c r="K1222">
        <v>4</v>
      </c>
      <c r="L1222">
        <v>2</v>
      </c>
      <c r="M1222">
        <v>20</v>
      </c>
      <c r="N1222" t="s">
        <v>421</v>
      </c>
    </row>
    <row r="1223" spans="1:14" x14ac:dyDescent="0.35">
      <c r="A1223" t="s">
        <v>767</v>
      </c>
      <c r="B1223" t="s">
        <v>98</v>
      </c>
      <c r="C1223" t="s">
        <v>16</v>
      </c>
      <c r="D1223">
        <v>0</v>
      </c>
      <c r="E1223">
        <v>18</v>
      </c>
      <c r="F1223" t="s">
        <v>84</v>
      </c>
      <c r="G1223">
        <v>18</v>
      </c>
      <c r="H1223" t="s">
        <v>18</v>
      </c>
      <c r="I1223">
        <v>12</v>
      </c>
      <c r="J1223">
        <v>27.2</v>
      </c>
      <c r="K1223">
        <v>3</v>
      </c>
      <c r="L1223">
        <v>4</v>
      </c>
      <c r="M1223">
        <v>22</v>
      </c>
      <c r="N1223" t="s">
        <v>100</v>
      </c>
    </row>
    <row r="1224" spans="1:14" x14ac:dyDescent="0.35">
      <c r="A1224" t="s">
        <v>767</v>
      </c>
      <c r="B1224" t="s">
        <v>93</v>
      </c>
      <c r="C1224" t="s">
        <v>29</v>
      </c>
      <c r="D1224">
        <v>0</v>
      </c>
      <c r="E1224">
        <v>18</v>
      </c>
      <c r="F1224" t="s">
        <v>299</v>
      </c>
      <c r="G1224">
        <v>18</v>
      </c>
      <c r="H1224" t="s">
        <v>18</v>
      </c>
      <c r="I1224">
        <v>23</v>
      </c>
      <c r="J1224">
        <v>22.2</v>
      </c>
      <c r="K1224">
        <v>4</v>
      </c>
      <c r="L1224">
        <v>3</v>
      </c>
      <c r="M1224">
        <v>21</v>
      </c>
      <c r="N1224" t="s">
        <v>647</v>
      </c>
    </row>
    <row r="1225" spans="1:14" x14ac:dyDescent="0.35">
      <c r="A1225" t="s">
        <v>767</v>
      </c>
      <c r="B1225" t="s">
        <v>299</v>
      </c>
      <c r="C1225" t="s">
        <v>16</v>
      </c>
      <c r="D1225">
        <v>0</v>
      </c>
      <c r="E1225">
        <v>19</v>
      </c>
      <c r="F1225" t="s">
        <v>106</v>
      </c>
      <c r="G1225">
        <v>18</v>
      </c>
      <c r="H1225" t="s">
        <v>18</v>
      </c>
      <c r="I1225">
        <v>13</v>
      </c>
      <c r="J1225">
        <v>30.2</v>
      </c>
      <c r="K1225">
        <v>4</v>
      </c>
      <c r="L1225">
        <v>4</v>
      </c>
      <c r="M1225">
        <v>22</v>
      </c>
      <c r="N1225" t="s">
        <v>300</v>
      </c>
    </row>
    <row r="1226" spans="1:14" x14ac:dyDescent="0.35">
      <c r="A1226" t="s">
        <v>767</v>
      </c>
      <c r="B1226" t="s">
        <v>297</v>
      </c>
      <c r="C1226" t="s">
        <v>16</v>
      </c>
      <c r="D1226">
        <v>1</v>
      </c>
      <c r="E1226">
        <v>17</v>
      </c>
      <c r="F1226" t="s">
        <v>105</v>
      </c>
      <c r="G1226">
        <v>18</v>
      </c>
      <c r="H1226" t="s">
        <v>18</v>
      </c>
      <c r="I1226">
        <v>23</v>
      </c>
      <c r="J1226">
        <v>29.1</v>
      </c>
      <c r="K1226">
        <v>3</v>
      </c>
      <c r="L1226">
        <v>0</v>
      </c>
      <c r="M1226">
        <v>18</v>
      </c>
      <c r="N1226" t="s">
        <v>426</v>
      </c>
    </row>
    <row r="1227" spans="1:14" x14ac:dyDescent="0.35">
      <c r="A1227" t="s">
        <v>767</v>
      </c>
      <c r="B1227" t="s">
        <v>768</v>
      </c>
      <c r="C1227" t="s">
        <v>16</v>
      </c>
      <c r="D1227">
        <v>0</v>
      </c>
      <c r="E1227">
        <v>19</v>
      </c>
      <c r="F1227" t="s">
        <v>769</v>
      </c>
      <c r="G1227">
        <v>18</v>
      </c>
      <c r="H1227" t="s">
        <v>18</v>
      </c>
      <c r="I1227">
        <v>33</v>
      </c>
      <c r="J1227">
        <v>27</v>
      </c>
      <c r="K1227">
        <v>4</v>
      </c>
      <c r="L1227">
        <v>3</v>
      </c>
      <c r="M1227">
        <v>21</v>
      </c>
      <c r="N1227" t="s">
        <v>520</v>
      </c>
    </row>
    <row r="1228" spans="1:14" x14ac:dyDescent="0.35">
      <c r="A1228" t="s">
        <v>767</v>
      </c>
      <c r="B1228" t="s">
        <v>110</v>
      </c>
      <c r="C1228" t="s">
        <v>16</v>
      </c>
      <c r="D1228">
        <v>1</v>
      </c>
      <c r="E1228">
        <v>17</v>
      </c>
      <c r="F1228" t="s">
        <v>430</v>
      </c>
      <c r="G1228">
        <v>18</v>
      </c>
      <c r="H1228" t="s">
        <v>18</v>
      </c>
      <c r="I1228">
        <v>19</v>
      </c>
      <c r="J1228">
        <v>29.9</v>
      </c>
      <c r="K1228">
        <v>1</v>
      </c>
      <c r="L1228">
        <v>3</v>
      </c>
      <c r="M1228">
        <v>21</v>
      </c>
      <c r="N1228" t="s">
        <v>323</v>
      </c>
    </row>
    <row r="1229" spans="1:14" x14ac:dyDescent="0.35">
      <c r="A1229" t="s">
        <v>767</v>
      </c>
      <c r="B1229" t="s">
        <v>92</v>
      </c>
      <c r="C1229" t="s">
        <v>29</v>
      </c>
      <c r="D1229">
        <v>0</v>
      </c>
      <c r="E1229">
        <v>18</v>
      </c>
      <c r="F1229" t="s">
        <v>523</v>
      </c>
      <c r="G1229">
        <v>18</v>
      </c>
      <c r="H1229" t="s">
        <v>18</v>
      </c>
      <c r="I1229">
        <v>97</v>
      </c>
      <c r="J1229">
        <v>23</v>
      </c>
      <c r="K1229">
        <v>1</v>
      </c>
      <c r="L1229">
        <v>0</v>
      </c>
      <c r="M1229">
        <v>18</v>
      </c>
      <c r="N1229" t="s">
        <v>323</v>
      </c>
    </row>
    <row r="1230" spans="1:14" x14ac:dyDescent="0.35">
      <c r="A1230" t="s">
        <v>767</v>
      </c>
      <c r="B1230" t="s">
        <v>705</v>
      </c>
      <c r="C1230" t="s">
        <v>16</v>
      </c>
      <c r="D1230">
        <v>0</v>
      </c>
      <c r="E1230">
        <v>18</v>
      </c>
      <c r="F1230" t="s">
        <v>770</v>
      </c>
      <c r="G1230">
        <v>18</v>
      </c>
      <c r="H1230" t="s">
        <v>18</v>
      </c>
      <c r="I1230">
        <v>21</v>
      </c>
      <c r="J1230">
        <v>28.6</v>
      </c>
      <c r="K1230">
        <v>1</v>
      </c>
      <c r="L1230">
        <v>1</v>
      </c>
      <c r="M1230">
        <v>19</v>
      </c>
      <c r="N1230" t="s">
        <v>129</v>
      </c>
    </row>
    <row r="1231" spans="1:14" x14ac:dyDescent="0.35">
      <c r="A1231" t="s">
        <v>767</v>
      </c>
      <c r="B1231" t="s">
        <v>518</v>
      </c>
      <c r="C1231" t="s">
        <v>16</v>
      </c>
      <c r="D1231">
        <v>0</v>
      </c>
      <c r="E1231">
        <v>18</v>
      </c>
      <c r="F1231" t="s">
        <v>124</v>
      </c>
      <c r="G1231">
        <v>18</v>
      </c>
      <c r="H1231" t="s">
        <v>18</v>
      </c>
      <c r="I1231">
        <v>20</v>
      </c>
      <c r="J1231">
        <v>33.700000000000003</v>
      </c>
      <c r="K1231">
        <v>3</v>
      </c>
      <c r="L1231">
        <v>2</v>
      </c>
      <c r="M1231">
        <v>20</v>
      </c>
      <c r="N1231" t="s">
        <v>151</v>
      </c>
    </row>
    <row r="1232" spans="1:14" x14ac:dyDescent="0.35">
      <c r="A1232" t="s">
        <v>767</v>
      </c>
      <c r="B1232" t="s">
        <v>137</v>
      </c>
      <c r="C1232" t="s">
        <v>16</v>
      </c>
      <c r="D1232">
        <v>0</v>
      </c>
      <c r="E1232">
        <v>21</v>
      </c>
      <c r="F1232" t="s">
        <v>436</v>
      </c>
      <c r="G1232">
        <v>18</v>
      </c>
      <c r="H1232" t="s">
        <v>18</v>
      </c>
      <c r="I1232">
        <v>4</v>
      </c>
      <c r="J1232">
        <v>32.5</v>
      </c>
      <c r="K1232">
        <v>3</v>
      </c>
      <c r="L1232">
        <v>3</v>
      </c>
      <c r="M1232">
        <v>21</v>
      </c>
      <c r="N1232" t="s">
        <v>437</v>
      </c>
    </row>
    <row r="1233" spans="1:14" x14ac:dyDescent="0.35">
      <c r="A1233" t="s">
        <v>767</v>
      </c>
      <c r="B1233" t="s">
        <v>118</v>
      </c>
      <c r="C1233" t="s">
        <v>29</v>
      </c>
      <c r="D1233">
        <v>0</v>
      </c>
      <c r="E1233">
        <v>18</v>
      </c>
      <c r="F1233" t="s">
        <v>320</v>
      </c>
      <c r="G1233">
        <v>18</v>
      </c>
      <c r="H1233" t="s">
        <v>18</v>
      </c>
      <c r="I1233">
        <v>40</v>
      </c>
      <c r="J1233">
        <v>25</v>
      </c>
      <c r="K1233">
        <v>1</v>
      </c>
      <c r="L1233">
        <v>4</v>
      </c>
      <c r="M1233">
        <v>22</v>
      </c>
      <c r="N1233" t="s">
        <v>127</v>
      </c>
    </row>
    <row r="1234" spans="1:14" x14ac:dyDescent="0.35">
      <c r="A1234" t="s">
        <v>767</v>
      </c>
      <c r="B1234" t="s">
        <v>320</v>
      </c>
      <c r="C1234" t="s">
        <v>16</v>
      </c>
      <c r="D1234">
        <v>3</v>
      </c>
      <c r="E1234">
        <v>17</v>
      </c>
      <c r="F1234" t="s">
        <v>134</v>
      </c>
      <c r="G1234">
        <v>18</v>
      </c>
      <c r="H1234" t="s">
        <v>18</v>
      </c>
      <c r="I1234">
        <v>4</v>
      </c>
      <c r="J1234">
        <v>36.4</v>
      </c>
      <c r="K1234">
        <v>4</v>
      </c>
      <c r="L1234">
        <v>4</v>
      </c>
      <c r="M1234">
        <v>22</v>
      </c>
      <c r="N1234" t="s">
        <v>442</v>
      </c>
    </row>
    <row r="1235" spans="1:14" x14ac:dyDescent="0.35">
      <c r="A1235" t="s">
        <v>767</v>
      </c>
      <c r="B1235" t="s">
        <v>322</v>
      </c>
      <c r="C1235" t="s">
        <v>16</v>
      </c>
      <c r="D1235">
        <v>2</v>
      </c>
      <c r="E1235">
        <v>17</v>
      </c>
      <c r="F1235" t="s">
        <v>525</v>
      </c>
      <c r="G1235">
        <v>18</v>
      </c>
      <c r="H1235" t="s">
        <v>18</v>
      </c>
      <c r="I1235">
        <v>2</v>
      </c>
      <c r="J1235">
        <v>25</v>
      </c>
      <c r="K1235">
        <v>0</v>
      </c>
      <c r="L1235">
        <v>0</v>
      </c>
      <c r="M1235">
        <v>18</v>
      </c>
      <c r="N1235" t="s">
        <v>133</v>
      </c>
    </row>
    <row r="1236" spans="1:14" x14ac:dyDescent="0.35">
      <c r="A1236" t="s">
        <v>767</v>
      </c>
      <c r="B1236" t="s">
        <v>135</v>
      </c>
      <c r="C1236" t="s">
        <v>16</v>
      </c>
      <c r="D1236">
        <v>1</v>
      </c>
      <c r="E1236">
        <v>21</v>
      </c>
      <c r="F1236" t="s">
        <v>141</v>
      </c>
      <c r="G1236">
        <v>18</v>
      </c>
      <c r="H1236" t="s">
        <v>18</v>
      </c>
      <c r="I1236">
        <v>3</v>
      </c>
      <c r="J1236">
        <v>29.4</v>
      </c>
      <c r="K1236">
        <v>2</v>
      </c>
      <c r="L1236">
        <v>3</v>
      </c>
      <c r="M1236">
        <v>21</v>
      </c>
      <c r="N1236" t="s">
        <v>442</v>
      </c>
    </row>
    <row r="1237" spans="1:14" x14ac:dyDescent="0.35">
      <c r="A1237" t="s">
        <v>767</v>
      </c>
      <c r="B1237" t="s">
        <v>129</v>
      </c>
      <c r="C1237" t="s">
        <v>29</v>
      </c>
      <c r="D1237">
        <v>0</v>
      </c>
      <c r="E1237">
        <v>18</v>
      </c>
      <c r="F1237" t="s">
        <v>521</v>
      </c>
      <c r="G1237">
        <v>18</v>
      </c>
      <c r="H1237" t="s">
        <v>18</v>
      </c>
      <c r="I1237">
        <v>11</v>
      </c>
      <c r="J1237">
        <v>22.4</v>
      </c>
      <c r="K1237">
        <v>0</v>
      </c>
      <c r="L1237">
        <v>0</v>
      </c>
      <c r="M1237">
        <v>18</v>
      </c>
      <c r="N1237" t="s">
        <v>438</v>
      </c>
    </row>
    <row r="1238" spans="1:14" x14ac:dyDescent="0.35">
      <c r="A1238" t="s">
        <v>767</v>
      </c>
      <c r="B1238" t="s">
        <v>521</v>
      </c>
      <c r="C1238" t="s">
        <v>16</v>
      </c>
      <c r="D1238">
        <v>4</v>
      </c>
      <c r="E1238">
        <v>18</v>
      </c>
      <c r="F1238" t="s">
        <v>142</v>
      </c>
      <c r="G1238">
        <v>18</v>
      </c>
      <c r="H1238" t="s">
        <v>18</v>
      </c>
      <c r="I1238">
        <v>3</v>
      </c>
      <c r="J1238">
        <v>28.8</v>
      </c>
      <c r="K1238">
        <v>0</v>
      </c>
      <c r="L1238">
        <v>0</v>
      </c>
      <c r="M1238">
        <v>18</v>
      </c>
      <c r="N1238" t="s">
        <v>440</v>
      </c>
    </row>
    <row r="1239" spans="1:14" x14ac:dyDescent="0.35">
      <c r="A1239" t="s">
        <v>767</v>
      </c>
      <c r="B1239" t="s">
        <v>144</v>
      </c>
      <c r="C1239" t="s">
        <v>16</v>
      </c>
      <c r="D1239">
        <v>4</v>
      </c>
      <c r="E1239">
        <v>17</v>
      </c>
      <c r="F1239" t="s">
        <v>145</v>
      </c>
      <c r="G1239">
        <v>18</v>
      </c>
      <c r="H1239" t="s">
        <v>18</v>
      </c>
      <c r="I1239">
        <v>3</v>
      </c>
      <c r="J1239">
        <v>28</v>
      </c>
      <c r="K1239">
        <v>1</v>
      </c>
      <c r="L1239">
        <v>2</v>
      </c>
      <c r="M1239">
        <v>20</v>
      </c>
      <c r="N1239" t="s">
        <v>739</v>
      </c>
    </row>
    <row r="1240" spans="1:14" x14ac:dyDescent="0.35">
      <c r="A1240" t="s">
        <v>767</v>
      </c>
      <c r="B1240" t="s">
        <v>147</v>
      </c>
      <c r="C1240" t="s">
        <v>16</v>
      </c>
      <c r="D1240">
        <v>3</v>
      </c>
      <c r="E1240">
        <v>15</v>
      </c>
      <c r="F1240" t="s">
        <v>127</v>
      </c>
      <c r="G1240">
        <v>18</v>
      </c>
      <c r="H1240" t="s">
        <v>18</v>
      </c>
      <c r="I1240">
        <v>5</v>
      </c>
      <c r="J1240">
        <v>30.6</v>
      </c>
      <c r="K1240">
        <v>4</v>
      </c>
      <c r="L1240">
        <v>7</v>
      </c>
      <c r="M1240">
        <v>25</v>
      </c>
      <c r="N1240" t="s">
        <v>328</v>
      </c>
    </row>
    <row r="1241" spans="1:14" x14ac:dyDescent="0.35">
      <c r="A1241" t="s">
        <v>767</v>
      </c>
      <c r="B1241" t="s">
        <v>327</v>
      </c>
      <c r="C1241" t="s">
        <v>16</v>
      </c>
      <c r="D1241">
        <v>0</v>
      </c>
      <c r="E1241">
        <v>18</v>
      </c>
      <c r="F1241" t="s">
        <v>152</v>
      </c>
      <c r="G1241">
        <v>18</v>
      </c>
      <c r="H1241" t="s">
        <v>18</v>
      </c>
      <c r="I1241">
        <v>12</v>
      </c>
      <c r="J1241">
        <v>29.6</v>
      </c>
      <c r="K1241">
        <v>4</v>
      </c>
      <c r="L1241">
        <v>5</v>
      </c>
      <c r="M1241">
        <v>23</v>
      </c>
      <c r="N1241" t="s">
        <v>166</v>
      </c>
    </row>
    <row r="1242" spans="1:14" x14ac:dyDescent="0.35">
      <c r="A1242" t="s">
        <v>767</v>
      </c>
      <c r="B1242" t="s">
        <v>122</v>
      </c>
      <c r="C1242" t="s">
        <v>29</v>
      </c>
      <c r="D1242">
        <v>0</v>
      </c>
      <c r="E1242">
        <v>19</v>
      </c>
      <c r="F1242" t="s">
        <v>527</v>
      </c>
      <c r="G1242">
        <v>18</v>
      </c>
      <c r="H1242" t="s">
        <v>18</v>
      </c>
      <c r="I1242">
        <v>32</v>
      </c>
      <c r="J1242">
        <v>20.7</v>
      </c>
      <c r="K1242">
        <v>2</v>
      </c>
      <c r="L1242">
        <v>5</v>
      </c>
      <c r="M1242">
        <v>23</v>
      </c>
      <c r="N1242" t="s">
        <v>332</v>
      </c>
    </row>
    <row r="1243" spans="1:14" x14ac:dyDescent="0.35">
      <c r="A1243" t="s">
        <v>767</v>
      </c>
      <c r="B1243" t="s">
        <v>148</v>
      </c>
      <c r="C1243" t="s">
        <v>16</v>
      </c>
      <c r="D1243">
        <v>0</v>
      </c>
      <c r="E1243">
        <v>18</v>
      </c>
      <c r="F1243" t="s">
        <v>146</v>
      </c>
      <c r="G1243">
        <v>18</v>
      </c>
      <c r="H1243" t="s">
        <v>18</v>
      </c>
      <c r="I1243">
        <v>9</v>
      </c>
      <c r="J1243">
        <v>26.7</v>
      </c>
      <c r="K1243">
        <v>3</v>
      </c>
      <c r="L1243">
        <v>5</v>
      </c>
      <c r="M1243">
        <v>23</v>
      </c>
      <c r="N1243" t="s">
        <v>171</v>
      </c>
    </row>
    <row r="1244" spans="1:14" x14ac:dyDescent="0.35">
      <c r="A1244" t="s">
        <v>767</v>
      </c>
      <c r="B1244" t="s">
        <v>686</v>
      </c>
      <c r="C1244" t="s">
        <v>16</v>
      </c>
      <c r="D1244">
        <v>0</v>
      </c>
      <c r="E1244">
        <v>19</v>
      </c>
      <c r="F1244" t="s">
        <v>328</v>
      </c>
      <c r="G1244">
        <v>18</v>
      </c>
      <c r="H1244" t="s">
        <v>18</v>
      </c>
      <c r="I1244">
        <v>6</v>
      </c>
      <c r="J1244">
        <v>30.7</v>
      </c>
      <c r="K1244">
        <v>0</v>
      </c>
      <c r="L1244">
        <v>0</v>
      </c>
      <c r="M1244">
        <v>18</v>
      </c>
      <c r="N1244" t="s">
        <v>161</v>
      </c>
    </row>
    <row r="1245" spans="1:14" x14ac:dyDescent="0.35">
      <c r="A1245" t="s">
        <v>767</v>
      </c>
      <c r="B1245" t="s">
        <v>150</v>
      </c>
      <c r="C1245" t="s">
        <v>16</v>
      </c>
      <c r="D1245">
        <v>1</v>
      </c>
      <c r="E1245">
        <v>18</v>
      </c>
      <c r="F1245" t="s">
        <v>160</v>
      </c>
      <c r="G1245">
        <v>18</v>
      </c>
      <c r="H1245" t="s">
        <v>18</v>
      </c>
      <c r="I1245">
        <v>3</v>
      </c>
      <c r="J1245">
        <v>27.3</v>
      </c>
      <c r="K1245">
        <v>3</v>
      </c>
      <c r="L1245">
        <v>6</v>
      </c>
      <c r="M1245">
        <v>24</v>
      </c>
      <c r="N1245" t="s">
        <v>449</v>
      </c>
    </row>
    <row r="1246" spans="1:14" x14ac:dyDescent="0.35">
      <c r="A1246" t="s">
        <v>767</v>
      </c>
      <c r="B1246" t="s">
        <v>739</v>
      </c>
      <c r="C1246" t="s">
        <v>29</v>
      </c>
      <c r="D1246">
        <v>1</v>
      </c>
      <c r="E1246">
        <v>18</v>
      </c>
      <c r="F1246" t="s">
        <v>331</v>
      </c>
      <c r="G1246">
        <v>18</v>
      </c>
      <c r="H1246" t="s">
        <v>18</v>
      </c>
      <c r="I1246">
        <v>15</v>
      </c>
      <c r="J1246">
        <v>20.100000000000001</v>
      </c>
      <c r="K1246">
        <v>3</v>
      </c>
      <c r="L1246">
        <v>5</v>
      </c>
      <c r="M1246">
        <v>23</v>
      </c>
      <c r="N1246" t="s">
        <v>178</v>
      </c>
    </row>
    <row r="1247" spans="1:14" x14ac:dyDescent="0.35">
      <c r="A1247" t="s">
        <v>767</v>
      </c>
      <c r="B1247" t="s">
        <v>162</v>
      </c>
      <c r="C1247" t="s">
        <v>16</v>
      </c>
      <c r="D1247">
        <v>1</v>
      </c>
      <c r="E1247">
        <v>18</v>
      </c>
      <c r="F1247" t="s">
        <v>163</v>
      </c>
      <c r="G1247">
        <v>18</v>
      </c>
      <c r="H1247" t="s">
        <v>18</v>
      </c>
      <c r="I1247">
        <v>3</v>
      </c>
      <c r="J1247">
        <v>23.1</v>
      </c>
      <c r="K1247">
        <v>3</v>
      </c>
      <c r="L1247">
        <v>2</v>
      </c>
      <c r="M1247">
        <v>20</v>
      </c>
      <c r="N1247" t="s">
        <v>449</v>
      </c>
    </row>
    <row r="1248" spans="1:14" x14ac:dyDescent="0.35">
      <c r="A1248" t="s">
        <v>767</v>
      </c>
      <c r="B1248" t="s">
        <v>165</v>
      </c>
      <c r="C1248" t="s">
        <v>16</v>
      </c>
      <c r="D1248">
        <v>1</v>
      </c>
      <c r="E1248">
        <v>17</v>
      </c>
      <c r="F1248" t="s">
        <v>166</v>
      </c>
      <c r="G1248">
        <v>18</v>
      </c>
      <c r="H1248" t="s">
        <v>18</v>
      </c>
      <c r="I1248">
        <v>3</v>
      </c>
      <c r="J1248">
        <v>26.2</v>
      </c>
      <c r="K1248">
        <v>0</v>
      </c>
      <c r="L1248">
        <v>0</v>
      </c>
      <c r="M1248">
        <v>18</v>
      </c>
      <c r="N1248" t="s">
        <v>164</v>
      </c>
    </row>
    <row r="1249" spans="1:14" x14ac:dyDescent="0.35">
      <c r="A1249" t="s">
        <v>767</v>
      </c>
      <c r="B1249" t="s">
        <v>168</v>
      </c>
      <c r="C1249" t="s">
        <v>16</v>
      </c>
      <c r="D1249">
        <v>0</v>
      </c>
      <c r="E1249">
        <v>19</v>
      </c>
      <c r="F1249" t="s">
        <v>590</v>
      </c>
      <c r="G1249">
        <v>18</v>
      </c>
      <c r="H1249" t="s">
        <v>18</v>
      </c>
      <c r="I1249">
        <v>4</v>
      </c>
      <c r="J1249">
        <v>27.3</v>
      </c>
      <c r="K1249">
        <v>3</v>
      </c>
      <c r="L1249">
        <v>2</v>
      </c>
      <c r="M1249">
        <v>20</v>
      </c>
      <c r="N1249" t="s">
        <v>343</v>
      </c>
    </row>
    <row r="1250" spans="1:14" x14ac:dyDescent="0.35">
      <c r="A1250" t="s">
        <v>767</v>
      </c>
      <c r="B1250" t="s">
        <v>163</v>
      </c>
      <c r="C1250" t="s">
        <v>29</v>
      </c>
      <c r="D1250">
        <v>1</v>
      </c>
      <c r="E1250">
        <v>20</v>
      </c>
      <c r="F1250" t="s">
        <v>169</v>
      </c>
      <c r="G1250">
        <v>18</v>
      </c>
      <c r="H1250" t="s">
        <v>18</v>
      </c>
      <c r="I1250">
        <v>10</v>
      </c>
      <c r="J1250">
        <v>23.1</v>
      </c>
      <c r="K1250">
        <v>0</v>
      </c>
      <c r="L1250">
        <v>0</v>
      </c>
      <c r="M1250">
        <v>18</v>
      </c>
      <c r="N1250" t="s">
        <v>186</v>
      </c>
    </row>
    <row r="1251" spans="1:14" x14ac:dyDescent="0.35">
      <c r="A1251" t="s">
        <v>767</v>
      </c>
      <c r="B1251" t="s">
        <v>169</v>
      </c>
      <c r="C1251" t="s">
        <v>16</v>
      </c>
      <c r="D1251">
        <v>1</v>
      </c>
      <c r="E1251">
        <v>20</v>
      </c>
      <c r="F1251" t="s">
        <v>336</v>
      </c>
      <c r="G1251">
        <v>18</v>
      </c>
      <c r="H1251" t="s">
        <v>18</v>
      </c>
      <c r="I1251">
        <v>5</v>
      </c>
      <c r="J1251">
        <v>28.3</v>
      </c>
      <c r="K1251">
        <v>2</v>
      </c>
      <c r="L1251">
        <v>3</v>
      </c>
      <c r="M1251">
        <v>21</v>
      </c>
      <c r="N1251" t="s">
        <v>177</v>
      </c>
    </row>
    <row r="1252" spans="1:14" x14ac:dyDescent="0.35">
      <c r="A1252" t="s">
        <v>767</v>
      </c>
      <c r="B1252" t="s">
        <v>173</v>
      </c>
      <c r="C1252" t="s">
        <v>16</v>
      </c>
      <c r="D1252">
        <v>3</v>
      </c>
      <c r="E1252">
        <v>15</v>
      </c>
      <c r="F1252" t="s">
        <v>178</v>
      </c>
      <c r="G1252">
        <v>18</v>
      </c>
      <c r="H1252" t="s">
        <v>18</v>
      </c>
      <c r="I1252">
        <v>3</v>
      </c>
      <c r="J1252">
        <v>29.3</v>
      </c>
      <c r="K1252">
        <v>4</v>
      </c>
      <c r="L1252">
        <v>6</v>
      </c>
      <c r="M1252">
        <v>24</v>
      </c>
      <c r="N1252" t="s">
        <v>187</v>
      </c>
    </row>
    <row r="1253" spans="1:14" x14ac:dyDescent="0.35">
      <c r="A1253" t="s">
        <v>767</v>
      </c>
      <c r="B1253" t="s">
        <v>171</v>
      </c>
      <c r="C1253" t="s">
        <v>29</v>
      </c>
      <c r="D1253">
        <v>3</v>
      </c>
      <c r="E1253">
        <v>15</v>
      </c>
      <c r="F1253" t="s">
        <v>339</v>
      </c>
      <c r="G1253">
        <v>18</v>
      </c>
      <c r="H1253" t="s">
        <v>18</v>
      </c>
      <c r="I1253">
        <v>9</v>
      </c>
      <c r="J1253">
        <v>19.5</v>
      </c>
      <c r="K1253">
        <v>3</v>
      </c>
      <c r="L1253">
        <v>4</v>
      </c>
      <c r="M1253">
        <v>22</v>
      </c>
      <c r="N1253" t="s">
        <v>451</v>
      </c>
    </row>
    <row r="1254" spans="1:14" x14ac:dyDescent="0.35">
      <c r="A1254" t="s">
        <v>767</v>
      </c>
      <c r="B1254" t="s">
        <v>339</v>
      </c>
      <c r="C1254" t="s">
        <v>16</v>
      </c>
      <c r="D1254">
        <v>0</v>
      </c>
      <c r="E1254">
        <v>18</v>
      </c>
      <c r="F1254" t="s">
        <v>186</v>
      </c>
      <c r="G1254">
        <v>18</v>
      </c>
      <c r="H1254" t="s">
        <v>18</v>
      </c>
      <c r="I1254">
        <v>13</v>
      </c>
      <c r="J1254">
        <v>28.2</v>
      </c>
      <c r="K1254">
        <v>2</v>
      </c>
      <c r="L1254">
        <v>6</v>
      </c>
      <c r="M1254">
        <v>24</v>
      </c>
      <c r="N1254" t="s">
        <v>658</v>
      </c>
    </row>
    <row r="1255" spans="1:14" x14ac:dyDescent="0.35">
      <c r="A1255" t="s">
        <v>767</v>
      </c>
      <c r="B1255" t="s">
        <v>161</v>
      </c>
      <c r="C1255" t="s">
        <v>29</v>
      </c>
      <c r="D1255">
        <v>0</v>
      </c>
      <c r="E1255">
        <v>7</v>
      </c>
      <c r="F1255" t="s">
        <v>184</v>
      </c>
      <c r="G1255">
        <v>7</v>
      </c>
      <c r="H1255" t="s">
        <v>157</v>
      </c>
      <c r="I1255">
        <v>15</v>
      </c>
      <c r="J1255">
        <v>18.600000000000001</v>
      </c>
      <c r="K1255">
        <v>2</v>
      </c>
      <c r="L1255">
        <v>3</v>
      </c>
      <c r="M1255">
        <v>10</v>
      </c>
      <c r="N1255" t="s">
        <v>687</v>
      </c>
    </row>
    <row r="1256" spans="1:14" x14ac:dyDescent="0.35">
      <c r="A1256" t="s">
        <v>767</v>
      </c>
      <c r="B1256" t="s">
        <v>340</v>
      </c>
      <c r="C1256" t="s">
        <v>16</v>
      </c>
      <c r="D1256">
        <v>0</v>
      </c>
      <c r="E1256">
        <v>19</v>
      </c>
      <c r="F1256" t="s">
        <v>531</v>
      </c>
      <c r="G1256">
        <v>18</v>
      </c>
      <c r="H1256" t="s">
        <v>18</v>
      </c>
      <c r="I1256">
        <v>12</v>
      </c>
      <c r="J1256">
        <v>30.1</v>
      </c>
      <c r="K1256">
        <v>1</v>
      </c>
      <c r="L1256">
        <v>2</v>
      </c>
      <c r="M1256">
        <v>20</v>
      </c>
      <c r="N1256" t="s">
        <v>461</v>
      </c>
    </row>
    <row r="1257" spans="1:14" x14ac:dyDescent="0.35">
      <c r="A1257" t="s">
        <v>767</v>
      </c>
      <c r="B1257" t="s">
        <v>170</v>
      </c>
      <c r="C1257" t="s">
        <v>29</v>
      </c>
      <c r="D1257">
        <v>0</v>
      </c>
      <c r="E1257">
        <v>9</v>
      </c>
      <c r="F1257" t="s">
        <v>190</v>
      </c>
      <c r="G1257">
        <v>9</v>
      </c>
      <c r="H1257" t="s">
        <v>157</v>
      </c>
      <c r="I1257">
        <v>15</v>
      </c>
      <c r="J1257">
        <v>26.1</v>
      </c>
      <c r="K1257">
        <v>4</v>
      </c>
      <c r="L1257">
        <v>3</v>
      </c>
      <c r="M1257">
        <v>12</v>
      </c>
      <c r="N1257" t="s">
        <v>454</v>
      </c>
    </row>
    <row r="1258" spans="1:14" x14ac:dyDescent="0.35">
      <c r="A1258" t="s">
        <v>767</v>
      </c>
      <c r="B1258" t="s">
        <v>624</v>
      </c>
      <c r="C1258" t="s">
        <v>16</v>
      </c>
      <c r="D1258">
        <v>1</v>
      </c>
      <c r="E1258">
        <v>10</v>
      </c>
      <c r="F1258" t="s">
        <v>625</v>
      </c>
      <c r="G1258">
        <v>11</v>
      </c>
      <c r="H1258" t="s">
        <v>157</v>
      </c>
      <c r="I1258">
        <v>15</v>
      </c>
      <c r="J1258">
        <v>26.6</v>
      </c>
      <c r="K1258">
        <v>2</v>
      </c>
      <c r="L1258">
        <v>0</v>
      </c>
      <c r="M1258">
        <v>11</v>
      </c>
      <c r="N1258" t="s">
        <v>346</v>
      </c>
    </row>
    <row r="1259" spans="1:14" x14ac:dyDescent="0.35">
      <c r="A1259" t="s">
        <v>767</v>
      </c>
      <c r="B1259" t="s">
        <v>182</v>
      </c>
      <c r="C1259" t="s">
        <v>29</v>
      </c>
      <c r="D1259">
        <v>0</v>
      </c>
      <c r="E1259">
        <v>6</v>
      </c>
      <c r="F1259" t="s">
        <v>192</v>
      </c>
      <c r="G1259">
        <v>6</v>
      </c>
      <c r="H1259" t="s">
        <v>157</v>
      </c>
      <c r="I1259">
        <v>15</v>
      </c>
      <c r="J1259">
        <v>22.8</v>
      </c>
      <c r="K1259">
        <v>4</v>
      </c>
      <c r="L1259">
        <v>1</v>
      </c>
      <c r="M1259">
        <v>7</v>
      </c>
      <c r="N1259" t="s">
        <v>456</v>
      </c>
    </row>
    <row r="1260" spans="1:14" x14ac:dyDescent="0.35">
      <c r="A1260" t="s">
        <v>767</v>
      </c>
      <c r="B1260" t="s">
        <v>450</v>
      </c>
      <c r="C1260" t="s">
        <v>16</v>
      </c>
      <c r="D1260">
        <v>0</v>
      </c>
      <c r="E1260">
        <v>16</v>
      </c>
      <c r="F1260" t="s">
        <v>191</v>
      </c>
      <c r="G1260">
        <v>16</v>
      </c>
      <c r="H1260" t="s">
        <v>157</v>
      </c>
      <c r="I1260">
        <v>15</v>
      </c>
      <c r="J1260">
        <v>32.1</v>
      </c>
      <c r="K1260">
        <v>1</v>
      </c>
      <c r="L1260">
        <v>3</v>
      </c>
      <c r="M1260">
        <v>19</v>
      </c>
      <c r="N1260" t="s">
        <v>359</v>
      </c>
    </row>
    <row r="1261" spans="1:14" x14ac:dyDescent="0.35">
      <c r="A1261" t="s">
        <v>767</v>
      </c>
      <c r="B1261" t="s">
        <v>349</v>
      </c>
      <c r="C1261" t="s">
        <v>29</v>
      </c>
      <c r="D1261">
        <v>0</v>
      </c>
      <c r="E1261">
        <v>5</v>
      </c>
      <c r="F1261" t="s">
        <v>346</v>
      </c>
      <c r="G1261">
        <v>5</v>
      </c>
      <c r="H1261" t="s">
        <v>157</v>
      </c>
      <c r="I1261">
        <v>15</v>
      </c>
      <c r="J1261">
        <v>14.1</v>
      </c>
      <c r="K1261">
        <v>3</v>
      </c>
      <c r="L1261">
        <v>2</v>
      </c>
      <c r="M1261">
        <v>7</v>
      </c>
      <c r="N1261" t="s">
        <v>350</v>
      </c>
    </row>
    <row r="1262" spans="1:14" x14ac:dyDescent="0.35">
      <c r="A1262" t="s">
        <v>767</v>
      </c>
      <c r="B1262" t="s">
        <v>535</v>
      </c>
      <c r="C1262" t="s">
        <v>16</v>
      </c>
      <c r="D1262">
        <v>0</v>
      </c>
      <c r="E1262">
        <v>11</v>
      </c>
      <c r="F1262" t="s">
        <v>626</v>
      </c>
      <c r="G1262">
        <v>11</v>
      </c>
      <c r="H1262" t="s">
        <v>157</v>
      </c>
      <c r="I1262">
        <v>15</v>
      </c>
      <c r="J1262">
        <v>29.1</v>
      </c>
      <c r="K1262">
        <v>4</v>
      </c>
      <c r="L1262">
        <v>3</v>
      </c>
      <c r="M1262">
        <v>14</v>
      </c>
      <c r="N1262" t="s">
        <v>360</v>
      </c>
    </row>
    <row r="1263" spans="1:14" x14ac:dyDescent="0.35">
      <c r="A1263" t="s">
        <v>767</v>
      </c>
      <c r="B1263" t="s">
        <v>771</v>
      </c>
      <c r="C1263" t="s">
        <v>29</v>
      </c>
      <c r="D1263">
        <v>0</v>
      </c>
      <c r="E1263">
        <v>3</v>
      </c>
      <c r="F1263" t="s">
        <v>204</v>
      </c>
      <c r="G1263">
        <v>3</v>
      </c>
      <c r="H1263" t="s">
        <v>157</v>
      </c>
      <c r="I1263">
        <v>15</v>
      </c>
      <c r="J1263">
        <v>21</v>
      </c>
      <c r="K1263">
        <v>3</v>
      </c>
      <c r="L1263">
        <v>2</v>
      </c>
      <c r="M1263">
        <v>5</v>
      </c>
      <c r="N1263" t="s">
        <v>362</v>
      </c>
    </row>
    <row r="1264" spans="1:14" x14ac:dyDescent="0.35">
      <c r="A1264" t="s">
        <v>767</v>
      </c>
      <c r="B1264" t="s">
        <v>354</v>
      </c>
      <c r="C1264" t="s">
        <v>16</v>
      </c>
      <c r="D1264">
        <v>0</v>
      </c>
      <c r="E1264">
        <v>12</v>
      </c>
      <c r="F1264" t="s">
        <v>708</v>
      </c>
      <c r="G1264">
        <v>12</v>
      </c>
      <c r="H1264" t="s">
        <v>157</v>
      </c>
      <c r="I1264">
        <v>15</v>
      </c>
      <c r="J1264">
        <v>29.5</v>
      </c>
      <c r="K1264">
        <v>2</v>
      </c>
      <c r="L1264">
        <v>0</v>
      </c>
      <c r="M1264">
        <v>12</v>
      </c>
      <c r="N1264" t="s">
        <v>365</v>
      </c>
    </row>
    <row r="1265" spans="1:14" x14ac:dyDescent="0.35">
      <c r="A1265" t="s">
        <v>767</v>
      </c>
      <c r="B1265" t="s">
        <v>207</v>
      </c>
      <c r="C1265" t="s">
        <v>16</v>
      </c>
      <c r="D1265">
        <v>0</v>
      </c>
      <c r="E1265">
        <v>9</v>
      </c>
      <c r="F1265" t="s">
        <v>208</v>
      </c>
      <c r="G1265">
        <v>9</v>
      </c>
      <c r="H1265" t="s">
        <v>157</v>
      </c>
      <c r="I1265">
        <v>15</v>
      </c>
      <c r="J1265">
        <v>23.7</v>
      </c>
      <c r="K1265">
        <v>2</v>
      </c>
      <c r="L1265">
        <v>1</v>
      </c>
      <c r="M1265">
        <v>10</v>
      </c>
      <c r="N1265" t="s">
        <v>361</v>
      </c>
    </row>
    <row r="1266" spans="1:14" x14ac:dyDescent="0.35">
      <c r="A1266" t="s">
        <v>767</v>
      </c>
      <c r="B1266" t="s">
        <v>761</v>
      </c>
      <c r="C1266" t="s">
        <v>16</v>
      </c>
      <c r="D1266">
        <v>0</v>
      </c>
      <c r="E1266">
        <v>14</v>
      </c>
      <c r="F1266" t="s">
        <v>541</v>
      </c>
      <c r="G1266">
        <v>14</v>
      </c>
      <c r="H1266" t="s">
        <v>157</v>
      </c>
      <c r="I1266">
        <v>15</v>
      </c>
      <c r="J1266">
        <v>26</v>
      </c>
      <c r="K1266">
        <v>1</v>
      </c>
      <c r="L1266">
        <v>1</v>
      </c>
      <c r="M1266">
        <v>15</v>
      </c>
      <c r="N1266" t="s">
        <v>548</v>
      </c>
    </row>
    <row r="1267" spans="1:14" x14ac:dyDescent="0.35">
      <c r="A1267" t="s">
        <v>767</v>
      </c>
      <c r="B1267" t="s">
        <v>213</v>
      </c>
      <c r="C1267" t="s">
        <v>16</v>
      </c>
      <c r="D1267">
        <v>0</v>
      </c>
      <c r="E1267">
        <v>15</v>
      </c>
      <c r="F1267" t="s">
        <v>364</v>
      </c>
      <c r="G1267">
        <v>15</v>
      </c>
      <c r="H1267" t="s">
        <v>157</v>
      </c>
      <c r="I1267">
        <v>15</v>
      </c>
      <c r="J1267">
        <v>30.5</v>
      </c>
      <c r="K1267">
        <v>2</v>
      </c>
      <c r="L1267">
        <v>3</v>
      </c>
      <c r="M1267">
        <v>18</v>
      </c>
      <c r="N1267" t="s">
        <v>469</v>
      </c>
    </row>
    <row r="1268" spans="1:14" x14ac:dyDescent="0.35">
      <c r="A1268" t="s">
        <v>767</v>
      </c>
      <c r="B1268" t="s">
        <v>598</v>
      </c>
      <c r="C1268" t="s">
        <v>16</v>
      </c>
      <c r="D1268">
        <v>0</v>
      </c>
      <c r="E1268">
        <v>10</v>
      </c>
      <c r="F1268" t="s">
        <v>219</v>
      </c>
      <c r="G1268">
        <v>10</v>
      </c>
      <c r="H1268" t="s">
        <v>157</v>
      </c>
      <c r="I1268">
        <v>15</v>
      </c>
      <c r="J1268">
        <v>29.2</v>
      </c>
      <c r="K1268">
        <v>1</v>
      </c>
      <c r="L1268">
        <v>3</v>
      </c>
      <c r="M1268">
        <v>13</v>
      </c>
      <c r="N1268" t="s">
        <v>371</v>
      </c>
    </row>
    <row r="1269" spans="1:14" x14ac:dyDescent="0.35">
      <c r="A1269" t="s">
        <v>767</v>
      </c>
      <c r="B1269" t="s">
        <v>370</v>
      </c>
      <c r="C1269" t="s">
        <v>16</v>
      </c>
      <c r="D1269">
        <v>0</v>
      </c>
      <c r="E1269">
        <v>9</v>
      </c>
      <c r="F1269" t="s">
        <v>222</v>
      </c>
      <c r="G1269">
        <v>9</v>
      </c>
      <c r="H1269" t="s">
        <v>157</v>
      </c>
      <c r="I1269">
        <v>15</v>
      </c>
      <c r="J1269">
        <v>25.8</v>
      </c>
      <c r="K1269">
        <v>1</v>
      </c>
      <c r="L1269">
        <v>3</v>
      </c>
      <c r="M1269">
        <v>12</v>
      </c>
      <c r="N1269" t="s">
        <v>221</v>
      </c>
    </row>
    <row r="1270" spans="1:14" x14ac:dyDescent="0.35">
      <c r="A1270" t="s">
        <v>767</v>
      </c>
      <c r="B1270" t="s">
        <v>375</v>
      </c>
      <c r="C1270" t="s">
        <v>16</v>
      </c>
      <c r="D1270">
        <v>0</v>
      </c>
      <c r="E1270">
        <v>18</v>
      </c>
      <c r="F1270" t="s">
        <v>376</v>
      </c>
      <c r="G1270">
        <v>18</v>
      </c>
      <c r="H1270" t="s">
        <v>18</v>
      </c>
      <c r="I1270">
        <v>15</v>
      </c>
      <c r="J1270">
        <v>31.1</v>
      </c>
      <c r="K1270">
        <v>1</v>
      </c>
      <c r="L1270">
        <v>3</v>
      </c>
      <c r="M1270">
        <v>21</v>
      </c>
      <c r="N1270" t="s">
        <v>231</v>
      </c>
    </row>
    <row r="1271" spans="1:14" x14ac:dyDescent="0.35">
      <c r="A1271" t="s">
        <v>767</v>
      </c>
      <c r="B1271" t="s">
        <v>550</v>
      </c>
      <c r="C1271" t="s">
        <v>16</v>
      </c>
      <c r="D1271">
        <v>0</v>
      </c>
      <c r="E1271">
        <v>14</v>
      </c>
      <c r="F1271" t="s">
        <v>552</v>
      </c>
      <c r="G1271">
        <v>14</v>
      </c>
      <c r="H1271" t="s">
        <v>157</v>
      </c>
      <c r="I1271">
        <v>15</v>
      </c>
      <c r="J1271">
        <v>26</v>
      </c>
      <c r="K1271">
        <v>3</v>
      </c>
      <c r="L1271">
        <v>3</v>
      </c>
      <c r="M1271">
        <v>17</v>
      </c>
      <c r="N1271" t="s">
        <v>232</v>
      </c>
    </row>
    <row r="1272" spans="1:14" x14ac:dyDescent="0.35">
      <c r="A1272" t="s">
        <v>767</v>
      </c>
      <c r="B1272" t="s">
        <v>557</v>
      </c>
      <c r="C1272" t="s">
        <v>16</v>
      </c>
      <c r="D1272">
        <v>0</v>
      </c>
      <c r="E1272">
        <v>13</v>
      </c>
      <c r="F1272" t="s">
        <v>555</v>
      </c>
      <c r="G1272">
        <v>13</v>
      </c>
      <c r="H1272" t="s">
        <v>157</v>
      </c>
      <c r="I1272">
        <v>15</v>
      </c>
      <c r="J1272">
        <v>31.4</v>
      </c>
      <c r="K1272">
        <v>4</v>
      </c>
      <c r="L1272">
        <v>0</v>
      </c>
      <c r="M1272">
        <v>13</v>
      </c>
      <c r="N1272" t="s">
        <v>772</v>
      </c>
    </row>
    <row r="1273" spans="1:14" x14ac:dyDescent="0.35">
      <c r="A1273" t="s">
        <v>767</v>
      </c>
      <c r="B1273" t="s">
        <v>480</v>
      </c>
      <c r="C1273" t="s">
        <v>16</v>
      </c>
      <c r="D1273">
        <v>0</v>
      </c>
      <c r="E1273">
        <v>10</v>
      </c>
      <c r="F1273" t="s">
        <v>230</v>
      </c>
      <c r="G1273">
        <v>10</v>
      </c>
      <c r="H1273" t="s">
        <v>157</v>
      </c>
      <c r="I1273">
        <v>15</v>
      </c>
      <c r="J1273">
        <v>30.1</v>
      </c>
      <c r="K1273">
        <v>1</v>
      </c>
      <c r="L1273">
        <v>1</v>
      </c>
      <c r="M1273">
        <v>11</v>
      </c>
      <c r="N1273" t="s">
        <v>753</v>
      </c>
    </row>
    <row r="1274" spans="1:14" x14ac:dyDescent="0.35">
      <c r="A1274" t="s">
        <v>767</v>
      </c>
      <c r="B1274" t="s">
        <v>481</v>
      </c>
      <c r="C1274" t="s">
        <v>16</v>
      </c>
      <c r="D1274">
        <v>0</v>
      </c>
      <c r="E1274">
        <v>15</v>
      </c>
      <c r="F1274" t="s">
        <v>563</v>
      </c>
      <c r="G1274">
        <v>15</v>
      </c>
      <c r="H1274" t="s">
        <v>157</v>
      </c>
      <c r="I1274">
        <v>15</v>
      </c>
      <c r="J1274">
        <v>31.7</v>
      </c>
      <c r="K1274">
        <v>0</v>
      </c>
      <c r="L1274">
        <v>0</v>
      </c>
      <c r="M1274">
        <v>15</v>
      </c>
      <c r="N1274" t="s">
        <v>566</v>
      </c>
    </row>
    <row r="1275" spans="1:14" x14ac:dyDescent="0.35">
      <c r="A1275" t="s">
        <v>767</v>
      </c>
      <c r="B1275" t="s">
        <v>485</v>
      </c>
      <c r="C1275" t="s">
        <v>16</v>
      </c>
      <c r="D1275">
        <v>0</v>
      </c>
      <c r="E1275">
        <v>14</v>
      </c>
      <c r="F1275" t="s">
        <v>486</v>
      </c>
      <c r="G1275">
        <v>14</v>
      </c>
      <c r="H1275" t="s">
        <v>157</v>
      </c>
      <c r="I1275">
        <v>15</v>
      </c>
      <c r="J1275">
        <v>34.4</v>
      </c>
      <c r="K1275">
        <v>0</v>
      </c>
      <c r="L1275">
        <v>0</v>
      </c>
      <c r="M1275">
        <v>14</v>
      </c>
      <c r="N1275" t="s">
        <v>615</v>
      </c>
    </row>
    <row r="1276" spans="1:14" x14ac:dyDescent="0.35">
      <c r="A1276" t="s">
        <v>767</v>
      </c>
      <c r="B1276" t="s">
        <v>488</v>
      </c>
      <c r="C1276" t="s">
        <v>16</v>
      </c>
      <c r="D1276">
        <v>0</v>
      </c>
      <c r="E1276">
        <v>12</v>
      </c>
      <c r="F1276" t="s">
        <v>489</v>
      </c>
      <c r="G1276">
        <v>12</v>
      </c>
      <c r="H1276" t="s">
        <v>157</v>
      </c>
      <c r="I1276">
        <v>15</v>
      </c>
      <c r="J1276">
        <v>27.2</v>
      </c>
      <c r="K1276">
        <v>1</v>
      </c>
      <c r="L1276">
        <v>2</v>
      </c>
      <c r="M1276">
        <v>14</v>
      </c>
      <c r="N1276" t="s">
        <v>397</v>
      </c>
    </row>
    <row r="1277" spans="1:14" x14ac:dyDescent="0.35">
      <c r="A1277" t="s">
        <v>767</v>
      </c>
      <c r="B1277" t="s">
        <v>612</v>
      </c>
      <c r="C1277" t="s">
        <v>16</v>
      </c>
      <c r="D1277">
        <v>0</v>
      </c>
      <c r="E1277">
        <v>15</v>
      </c>
      <c r="F1277" t="s">
        <v>674</v>
      </c>
      <c r="G1277">
        <v>15</v>
      </c>
      <c r="H1277" t="s">
        <v>157</v>
      </c>
      <c r="I1277">
        <v>15</v>
      </c>
      <c r="J1277">
        <v>30.9</v>
      </c>
      <c r="K1277">
        <v>0</v>
      </c>
      <c r="L1277">
        <v>0</v>
      </c>
      <c r="M1277">
        <v>15</v>
      </c>
      <c r="N1277" t="s">
        <v>773</v>
      </c>
    </row>
    <row r="1278" spans="1:14" x14ac:dyDescent="0.35">
      <c r="A1278" t="s">
        <v>767</v>
      </c>
      <c r="B1278" t="s">
        <v>490</v>
      </c>
      <c r="C1278" t="s">
        <v>16</v>
      </c>
      <c r="D1278">
        <v>0</v>
      </c>
      <c r="E1278">
        <v>8</v>
      </c>
      <c r="F1278" t="s">
        <v>694</v>
      </c>
      <c r="G1278">
        <v>8</v>
      </c>
      <c r="H1278" t="s">
        <v>157</v>
      </c>
      <c r="I1278">
        <v>15</v>
      </c>
      <c r="J1278">
        <v>29.1</v>
      </c>
      <c r="K1278">
        <v>0</v>
      </c>
      <c r="L1278">
        <v>0</v>
      </c>
      <c r="M1278">
        <v>8</v>
      </c>
      <c r="N1278" t="s">
        <v>774</v>
      </c>
    </row>
    <row r="1279" spans="1:14" x14ac:dyDescent="0.35">
      <c r="A1279" t="s">
        <v>767</v>
      </c>
      <c r="B1279" t="s">
        <v>613</v>
      </c>
      <c r="C1279" t="s">
        <v>16</v>
      </c>
      <c r="D1279">
        <v>0</v>
      </c>
      <c r="E1279">
        <v>15</v>
      </c>
      <c r="F1279" t="s">
        <v>696</v>
      </c>
      <c r="G1279">
        <v>15</v>
      </c>
      <c r="H1279" t="s">
        <v>157</v>
      </c>
      <c r="I1279">
        <v>15</v>
      </c>
      <c r="J1279">
        <v>27.9</v>
      </c>
      <c r="K1279">
        <v>2</v>
      </c>
      <c r="L1279">
        <v>1</v>
      </c>
      <c r="M1279">
        <v>16</v>
      </c>
      <c r="N1279" t="s">
        <v>775</v>
      </c>
    </row>
    <row r="1280" spans="1:14" x14ac:dyDescent="0.35">
      <c r="A1280" t="s">
        <v>776</v>
      </c>
      <c r="B1280" t="s">
        <v>15</v>
      </c>
      <c r="C1280" t="s">
        <v>16</v>
      </c>
      <c r="D1280">
        <v>0</v>
      </c>
      <c r="E1280">
        <v>18</v>
      </c>
      <c r="F1280" t="s">
        <v>680</v>
      </c>
      <c r="G1280">
        <v>18</v>
      </c>
      <c r="H1280" t="s">
        <v>18</v>
      </c>
      <c r="I1280">
        <v>2</v>
      </c>
      <c r="J1280">
        <v>28.6</v>
      </c>
      <c r="K1280">
        <v>4</v>
      </c>
      <c r="L1280">
        <v>3</v>
      </c>
      <c r="M1280">
        <v>21</v>
      </c>
      <c r="N1280" t="s">
        <v>41</v>
      </c>
    </row>
    <row r="1281" spans="1:14" x14ac:dyDescent="0.35">
      <c r="A1281" t="s">
        <v>776</v>
      </c>
      <c r="B1281" t="s">
        <v>17</v>
      </c>
      <c r="C1281" t="s">
        <v>16</v>
      </c>
      <c r="D1281">
        <v>0</v>
      </c>
      <c r="E1281">
        <v>21</v>
      </c>
      <c r="F1281" t="s">
        <v>21</v>
      </c>
      <c r="G1281">
        <v>18</v>
      </c>
      <c r="H1281" t="s">
        <v>18</v>
      </c>
      <c r="I1281">
        <v>3</v>
      </c>
      <c r="J1281">
        <v>24.7</v>
      </c>
      <c r="K1281">
        <v>4</v>
      </c>
      <c r="L1281">
        <v>2</v>
      </c>
      <c r="M1281">
        <v>20</v>
      </c>
      <c r="N1281" t="s">
        <v>41</v>
      </c>
    </row>
    <row r="1282" spans="1:14" x14ac:dyDescent="0.35">
      <c r="A1282" t="s">
        <v>776</v>
      </c>
      <c r="B1282" t="s">
        <v>23</v>
      </c>
      <c r="C1282" t="s">
        <v>16</v>
      </c>
      <c r="D1282">
        <v>3</v>
      </c>
      <c r="E1282">
        <v>20</v>
      </c>
      <c r="F1282" t="s">
        <v>24</v>
      </c>
      <c r="G1282">
        <v>18</v>
      </c>
      <c r="H1282" t="s">
        <v>18</v>
      </c>
      <c r="I1282">
        <v>3</v>
      </c>
      <c r="J1282">
        <v>29.3</v>
      </c>
      <c r="K1282">
        <v>1</v>
      </c>
      <c r="L1282">
        <v>3</v>
      </c>
      <c r="M1282">
        <v>21</v>
      </c>
      <c r="N1282" t="s">
        <v>264</v>
      </c>
    </row>
    <row r="1283" spans="1:14" x14ac:dyDescent="0.35">
      <c r="A1283" t="s">
        <v>776</v>
      </c>
      <c r="B1283" t="s">
        <v>15</v>
      </c>
      <c r="C1283" t="s">
        <v>29</v>
      </c>
      <c r="D1283">
        <v>0</v>
      </c>
      <c r="E1283">
        <v>19</v>
      </c>
      <c r="F1283" t="s">
        <v>407</v>
      </c>
      <c r="G1283">
        <v>18</v>
      </c>
      <c r="H1283" t="s">
        <v>18</v>
      </c>
      <c r="I1283">
        <v>12</v>
      </c>
      <c r="J1283">
        <v>22</v>
      </c>
      <c r="K1283">
        <v>2</v>
      </c>
      <c r="L1283">
        <v>3</v>
      </c>
      <c r="M1283">
        <v>21</v>
      </c>
      <c r="N1283" t="s">
        <v>22</v>
      </c>
    </row>
    <row r="1284" spans="1:14" x14ac:dyDescent="0.35">
      <c r="A1284" t="s">
        <v>776</v>
      </c>
      <c r="B1284" t="s">
        <v>26</v>
      </c>
      <c r="C1284" t="s">
        <v>16</v>
      </c>
      <c r="D1284">
        <v>5</v>
      </c>
      <c r="E1284">
        <v>15</v>
      </c>
      <c r="F1284" t="s">
        <v>263</v>
      </c>
      <c r="G1284">
        <v>18</v>
      </c>
      <c r="H1284" t="s">
        <v>18</v>
      </c>
      <c r="I1284">
        <v>3</v>
      </c>
      <c r="J1284">
        <v>28.4</v>
      </c>
      <c r="K1284">
        <v>2</v>
      </c>
      <c r="L1284">
        <v>3</v>
      </c>
      <c r="M1284">
        <v>21</v>
      </c>
      <c r="N1284" t="s">
        <v>497</v>
      </c>
    </row>
    <row r="1285" spans="1:14" x14ac:dyDescent="0.35">
      <c r="A1285" t="s">
        <v>776</v>
      </c>
      <c r="B1285" t="s">
        <v>258</v>
      </c>
      <c r="C1285" t="s">
        <v>16</v>
      </c>
      <c r="D1285">
        <v>2</v>
      </c>
      <c r="E1285">
        <v>18</v>
      </c>
      <c r="F1285" t="s">
        <v>499</v>
      </c>
      <c r="G1285">
        <v>18</v>
      </c>
      <c r="H1285" t="s">
        <v>18</v>
      </c>
      <c r="I1285">
        <v>3</v>
      </c>
      <c r="J1285">
        <v>30.4</v>
      </c>
      <c r="K1285">
        <v>3</v>
      </c>
      <c r="L1285">
        <v>4</v>
      </c>
      <c r="M1285">
        <v>22</v>
      </c>
      <c r="N1285" t="s">
        <v>44</v>
      </c>
    </row>
    <row r="1286" spans="1:14" x14ac:dyDescent="0.35">
      <c r="A1286" t="s">
        <v>776</v>
      </c>
      <c r="B1286" t="s">
        <v>260</v>
      </c>
      <c r="C1286" t="s">
        <v>16</v>
      </c>
      <c r="D1286">
        <v>2</v>
      </c>
      <c r="E1286">
        <v>21</v>
      </c>
      <c r="F1286" t="s">
        <v>406</v>
      </c>
      <c r="G1286">
        <v>18</v>
      </c>
      <c r="H1286" t="s">
        <v>18</v>
      </c>
      <c r="I1286">
        <v>4</v>
      </c>
      <c r="J1286">
        <v>31.6</v>
      </c>
      <c r="K1286">
        <v>2</v>
      </c>
      <c r="L1286">
        <v>5</v>
      </c>
      <c r="M1286">
        <v>23</v>
      </c>
      <c r="N1286" t="s">
        <v>500</v>
      </c>
    </row>
    <row r="1287" spans="1:14" x14ac:dyDescent="0.35">
      <c r="A1287" t="s">
        <v>776</v>
      </c>
      <c r="B1287" t="s">
        <v>256</v>
      </c>
      <c r="C1287" t="s">
        <v>29</v>
      </c>
      <c r="D1287">
        <v>1</v>
      </c>
      <c r="E1287">
        <v>20</v>
      </c>
      <c r="F1287" t="s">
        <v>34</v>
      </c>
      <c r="G1287">
        <v>18</v>
      </c>
      <c r="H1287" t="s">
        <v>18</v>
      </c>
      <c r="I1287">
        <v>12</v>
      </c>
      <c r="J1287">
        <v>19.600000000000001</v>
      </c>
      <c r="K1287">
        <v>1</v>
      </c>
      <c r="L1287">
        <v>3</v>
      </c>
      <c r="M1287">
        <v>21</v>
      </c>
      <c r="N1287" t="s">
        <v>681</v>
      </c>
    </row>
    <row r="1288" spans="1:14" x14ac:dyDescent="0.35">
      <c r="A1288" t="s">
        <v>776</v>
      </c>
      <c r="B1288" t="s">
        <v>261</v>
      </c>
      <c r="C1288" t="s">
        <v>16</v>
      </c>
      <c r="D1288">
        <v>5</v>
      </c>
      <c r="E1288">
        <v>13</v>
      </c>
      <c r="F1288" t="s">
        <v>38</v>
      </c>
      <c r="G1288">
        <v>18</v>
      </c>
      <c r="H1288" t="s">
        <v>18</v>
      </c>
      <c r="I1288">
        <v>2</v>
      </c>
      <c r="J1288">
        <v>30.1</v>
      </c>
      <c r="K1288">
        <v>4</v>
      </c>
      <c r="L1288">
        <v>3</v>
      </c>
      <c r="M1288">
        <v>21</v>
      </c>
      <c r="N1288" t="s">
        <v>498</v>
      </c>
    </row>
    <row r="1289" spans="1:14" x14ac:dyDescent="0.35">
      <c r="A1289" t="s">
        <v>776</v>
      </c>
      <c r="B1289" t="s">
        <v>36</v>
      </c>
      <c r="C1289" t="s">
        <v>16</v>
      </c>
      <c r="D1289">
        <v>0</v>
      </c>
      <c r="E1289">
        <v>18</v>
      </c>
      <c r="F1289" t="s">
        <v>39</v>
      </c>
      <c r="G1289">
        <v>18</v>
      </c>
      <c r="H1289" t="s">
        <v>18</v>
      </c>
      <c r="I1289">
        <v>2</v>
      </c>
      <c r="J1289">
        <v>24.5</v>
      </c>
      <c r="K1289">
        <v>2</v>
      </c>
      <c r="L1289">
        <v>4</v>
      </c>
      <c r="M1289">
        <v>22</v>
      </c>
      <c r="N1289" t="s">
        <v>35</v>
      </c>
    </row>
    <row r="1290" spans="1:14" x14ac:dyDescent="0.35">
      <c r="A1290" t="s">
        <v>776</v>
      </c>
      <c r="B1290" t="s">
        <v>41</v>
      </c>
      <c r="C1290" t="s">
        <v>16</v>
      </c>
      <c r="D1290">
        <v>0</v>
      </c>
      <c r="E1290">
        <v>18</v>
      </c>
      <c r="F1290" t="s">
        <v>44</v>
      </c>
      <c r="G1290">
        <v>18</v>
      </c>
      <c r="H1290" t="s">
        <v>18</v>
      </c>
      <c r="I1290">
        <v>18</v>
      </c>
      <c r="J1290">
        <v>28</v>
      </c>
      <c r="K1290">
        <v>1</v>
      </c>
      <c r="L1290">
        <v>5</v>
      </c>
      <c r="M1290">
        <v>23</v>
      </c>
      <c r="N1290" t="s">
        <v>59</v>
      </c>
    </row>
    <row r="1291" spans="1:14" x14ac:dyDescent="0.35">
      <c r="A1291" t="s">
        <v>776</v>
      </c>
      <c r="B1291" t="s">
        <v>37</v>
      </c>
      <c r="C1291" t="s">
        <v>16</v>
      </c>
      <c r="D1291">
        <v>0</v>
      </c>
      <c r="E1291">
        <v>19</v>
      </c>
      <c r="F1291" t="s">
        <v>40</v>
      </c>
      <c r="G1291">
        <v>18</v>
      </c>
      <c r="H1291" t="s">
        <v>18</v>
      </c>
      <c r="I1291">
        <v>6</v>
      </c>
      <c r="J1291">
        <v>23.6</v>
      </c>
      <c r="K1291">
        <v>1</v>
      </c>
      <c r="L1291">
        <v>3</v>
      </c>
      <c r="M1291">
        <v>21</v>
      </c>
      <c r="N1291" t="s">
        <v>504</v>
      </c>
    </row>
    <row r="1292" spans="1:14" x14ac:dyDescent="0.35">
      <c r="A1292" t="s">
        <v>776</v>
      </c>
      <c r="B1292" t="s">
        <v>38</v>
      </c>
      <c r="C1292" t="s">
        <v>29</v>
      </c>
      <c r="D1292">
        <v>3</v>
      </c>
      <c r="E1292">
        <v>17</v>
      </c>
      <c r="F1292" t="s">
        <v>269</v>
      </c>
      <c r="G1292">
        <v>18</v>
      </c>
      <c r="H1292" t="s">
        <v>18</v>
      </c>
      <c r="I1292">
        <v>36</v>
      </c>
      <c r="J1292">
        <v>20.3</v>
      </c>
      <c r="K1292">
        <v>2</v>
      </c>
      <c r="L1292">
        <v>4</v>
      </c>
      <c r="M1292">
        <v>22</v>
      </c>
      <c r="N1292" t="s">
        <v>51</v>
      </c>
    </row>
    <row r="1293" spans="1:14" x14ac:dyDescent="0.35">
      <c r="A1293" t="s">
        <v>776</v>
      </c>
      <c r="B1293" t="s">
        <v>498</v>
      </c>
      <c r="C1293" t="s">
        <v>16</v>
      </c>
      <c r="D1293">
        <v>1</v>
      </c>
      <c r="E1293">
        <v>21</v>
      </c>
      <c r="F1293" t="s">
        <v>265</v>
      </c>
      <c r="G1293">
        <v>18</v>
      </c>
      <c r="H1293" t="s">
        <v>18</v>
      </c>
      <c r="I1293">
        <v>9</v>
      </c>
      <c r="J1293">
        <v>26.7</v>
      </c>
      <c r="K1293">
        <v>4</v>
      </c>
      <c r="L1293">
        <v>2</v>
      </c>
      <c r="M1293">
        <v>20</v>
      </c>
      <c r="N1293" t="s">
        <v>268</v>
      </c>
    </row>
    <row r="1294" spans="1:14" x14ac:dyDescent="0.35">
      <c r="A1294" t="s">
        <v>776</v>
      </c>
      <c r="B1294" t="s">
        <v>411</v>
      </c>
      <c r="C1294" t="s">
        <v>16</v>
      </c>
      <c r="D1294">
        <v>4</v>
      </c>
      <c r="E1294">
        <v>15</v>
      </c>
      <c r="F1294" t="s">
        <v>272</v>
      </c>
      <c r="G1294">
        <v>18</v>
      </c>
      <c r="H1294" t="s">
        <v>18</v>
      </c>
      <c r="I1294">
        <v>2</v>
      </c>
      <c r="J1294">
        <v>31.2</v>
      </c>
      <c r="K1294">
        <v>3</v>
      </c>
      <c r="L1294">
        <v>3</v>
      </c>
      <c r="M1294">
        <v>21</v>
      </c>
      <c r="N1294" t="s">
        <v>54</v>
      </c>
    </row>
    <row r="1295" spans="1:14" x14ac:dyDescent="0.35">
      <c r="A1295" t="s">
        <v>776</v>
      </c>
      <c r="B1295" t="s">
        <v>53</v>
      </c>
      <c r="C1295" t="s">
        <v>16</v>
      </c>
      <c r="D1295">
        <v>1</v>
      </c>
      <c r="E1295">
        <v>17</v>
      </c>
      <c r="F1295" t="s">
        <v>56</v>
      </c>
      <c r="G1295">
        <v>18</v>
      </c>
      <c r="H1295" t="s">
        <v>18</v>
      </c>
      <c r="I1295">
        <v>3</v>
      </c>
      <c r="J1295">
        <v>26.5</v>
      </c>
      <c r="K1295">
        <v>4</v>
      </c>
      <c r="L1295">
        <v>5</v>
      </c>
      <c r="M1295">
        <v>23</v>
      </c>
      <c r="N1295" t="s">
        <v>507</v>
      </c>
    </row>
    <row r="1296" spans="1:14" x14ac:dyDescent="0.35">
      <c r="A1296" t="s">
        <v>776</v>
      </c>
      <c r="B1296" t="s">
        <v>48</v>
      </c>
      <c r="C1296" t="s">
        <v>29</v>
      </c>
      <c r="D1296">
        <v>2</v>
      </c>
      <c r="E1296">
        <v>16</v>
      </c>
      <c r="F1296" t="s">
        <v>414</v>
      </c>
      <c r="G1296">
        <v>18</v>
      </c>
      <c r="H1296" t="s">
        <v>18</v>
      </c>
      <c r="I1296">
        <v>11</v>
      </c>
      <c r="J1296">
        <v>28.6</v>
      </c>
      <c r="K1296">
        <v>3</v>
      </c>
      <c r="L1296">
        <v>3</v>
      </c>
      <c r="M1296">
        <v>21</v>
      </c>
      <c r="N1296" t="s">
        <v>505</v>
      </c>
    </row>
    <row r="1297" spans="1:14" x14ac:dyDescent="0.35">
      <c r="A1297" t="s">
        <v>776</v>
      </c>
      <c r="B1297" t="s">
        <v>43</v>
      </c>
      <c r="C1297" t="s">
        <v>16</v>
      </c>
      <c r="D1297">
        <v>0</v>
      </c>
      <c r="E1297">
        <v>18</v>
      </c>
      <c r="F1297" t="s">
        <v>61</v>
      </c>
      <c r="G1297">
        <v>18</v>
      </c>
      <c r="H1297" t="s">
        <v>18</v>
      </c>
      <c r="I1297">
        <v>4</v>
      </c>
      <c r="J1297">
        <v>32.200000000000003</v>
      </c>
      <c r="K1297">
        <v>4</v>
      </c>
      <c r="L1297">
        <v>5</v>
      </c>
      <c r="M1297">
        <v>23</v>
      </c>
      <c r="N1297" t="s">
        <v>66</v>
      </c>
    </row>
    <row r="1298" spans="1:14" x14ac:dyDescent="0.35">
      <c r="A1298" t="s">
        <v>776</v>
      </c>
      <c r="B1298" t="s">
        <v>504</v>
      </c>
      <c r="C1298" t="s">
        <v>16</v>
      </c>
      <c r="D1298">
        <v>0</v>
      </c>
      <c r="E1298">
        <v>20</v>
      </c>
      <c r="F1298" t="s">
        <v>277</v>
      </c>
      <c r="G1298">
        <v>18</v>
      </c>
      <c r="H1298" t="s">
        <v>18</v>
      </c>
      <c r="I1298">
        <v>3</v>
      </c>
      <c r="J1298">
        <v>27.2</v>
      </c>
      <c r="K1298">
        <v>2</v>
      </c>
      <c r="L1298">
        <v>2</v>
      </c>
      <c r="M1298">
        <v>20</v>
      </c>
      <c r="N1298" t="s">
        <v>60</v>
      </c>
    </row>
    <row r="1299" spans="1:14" x14ac:dyDescent="0.35">
      <c r="A1299" t="s">
        <v>776</v>
      </c>
      <c r="B1299" t="s">
        <v>51</v>
      </c>
      <c r="C1299" t="s">
        <v>16</v>
      </c>
      <c r="D1299">
        <v>2</v>
      </c>
      <c r="E1299">
        <v>19</v>
      </c>
      <c r="F1299" t="s">
        <v>65</v>
      </c>
      <c r="G1299">
        <v>18</v>
      </c>
      <c r="H1299" t="s">
        <v>18</v>
      </c>
      <c r="I1299">
        <v>3</v>
      </c>
      <c r="J1299">
        <v>30.5</v>
      </c>
      <c r="K1299">
        <v>2</v>
      </c>
      <c r="L1299">
        <v>5</v>
      </c>
      <c r="M1299">
        <v>23</v>
      </c>
      <c r="N1299" t="s">
        <v>416</v>
      </c>
    </row>
    <row r="1300" spans="1:14" x14ac:dyDescent="0.35">
      <c r="A1300" t="s">
        <v>776</v>
      </c>
      <c r="B1300" t="s">
        <v>68</v>
      </c>
      <c r="C1300" t="s">
        <v>16</v>
      </c>
      <c r="D1300">
        <v>3</v>
      </c>
      <c r="E1300">
        <v>15</v>
      </c>
      <c r="F1300" t="s">
        <v>415</v>
      </c>
      <c r="G1300">
        <v>18</v>
      </c>
      <c r="H1300" t="s">
        <v>18</v>
      </c>
      <c r="I1300">
        <v>2</v>
      </c>
      <c r="J1300">
        <v>27.9</v>
      </c>
      <c r="K1300">
        <v>1</v>
      </c>
      <c r="L1300">
        <v>5</v>
      </c>
      <c r="M1300">
        <v>23</v>
      </c>
      <c r="N1300" t="s">
        <v>416</v>
      </c>
    </row>
    <row r="1301" spans="1:14" x14ac:dyDescent="0.35">
      <c r="A1301" t="s">
        <v>776</v>
      </c>
      <c r="B1301" t="s">
        <v>279</v>
      </c>
      <c r="C1301" t="s">
        <v>16</v>
      </c>
      <c r="D1301">
        <v>0</v>
      </c>
      <c r="E1301">
        <v>18</v>
      </c>
      <c r="F1301" t="s">
        <v>271</v>
      </c>
      <c r="G1301">
        <v>18</v>
      </c>
      <c r="H1301" t="s">
        <v>18</v>
      </c>
      <c r="I1301">
        <v>7</v>
      </c>
      <c r="J1301">
        <v>27.1</v>
      </c>
      <c r="K1301">
        <v>1</v>
      </c>
      <c r="L1301">
        <v>2</v>
      </c>
      <c r="M1301">
        <v>20</v>
      </c>
      <c r="N1301" t="s">
        <v>417</v>
      </c>
    </row>
    <row r="1302" spans="1:14" x14ac:dyDescent="0.35">
      <c r="A1302" t="s">
        <v>776</v>
      </c>
      <c r="B1302" t="s">
        <v>412</v>
      </c>
      <c r="C1302" t="s">
        <v>16</v>
      </c>
      <c r="D1302">
        <v>0</v>
      </c>
      <c r="E1302">
        <v>18</v>
      </c>
      <c r="F1302" t="s">
        <v>66</v>
      </c>
      <c r="G1302">
        <v>18</v>
      </c>
      <c r="H1302" t="s">
        <v>18</v>
      </c>
      <c r="I1302">
        <v>12</v>
      </c>
      <c r="J1302">
        <v>29.9</v>
      </c>
      <c r="K1302">
        <v>1</v>
      </c>
      <c r="L1302">
        <v>3</v>
      </c>
      <c r="M1302">
        <v>21</v>
      </c>
      <c r="N1302" t="s">
        <v>87</v>
      </c>
    </row>
    <row r="1303" spans="1:14" x14ac:dyDescent="0.35">
      <c r="A1303" t="s">
        <v>776</v>
      </c>
      <c r="B1303" t="s">
        <v>274</v>
      </c>
      <c r="C1303" t="s">
        <v>29</v>
      </c>
      <c r="D1303">
        <v>0</v>
      </c>
      <c r="E1303">
        <v>18</v>
      </c>
      <c r="F1303" t="s">
        <v>66</v>
      </c>
      <c r="G1303">
        <v>18</v>
      </c>
      <c r="H1303" t="s">
        <v>18</v>
      </c>
      <c r="I1303">
        <v>34</v>
      </c>
      <c r="J1303">
        <v>24.8</v>
      </c>
      <c r="K1303">
        <v>0</v>
      </c>
      <c r="L1303">
        <v>0</v>
      </c>
      <c r="M1303">
        <v>18</v>
      </c>
      <c r="N1303" t="s">
        <v>83</v>
      </c>
    </row>
    <row r="1304" spans="1:14" x14ac:dyDescent="0.35">
      <c r="A1304" t="s">
        <v>776</v>
      </c>
      <c r="B1304" t="s">
        <v>276</v>
      </c>
      <c r="C1304" t="s">
        <v>16</v>
      </c>
      <c r="D1304">
        <v>0</v>
      </c>
      <c r="E1304">
        <v>19</v>
      </c>
      <c r="F1304" t="s">
        <v>71</v>
      </c>
      <c r="G1304">
        <v>18</v>
      </c>
      <c r="H1304" t="s">
        <v>18</v>
      </c>
      <c r="I1304">
        <v>10</v>
      </c>
      <c r="J1304">
        <v>30.2</v>
      </c>
      <c r="K1304">
        <v>0</v>
      </c>
      <c r="L1304">
        <v>0</v>
      </c>
      <c r="M1304">
        <v>18</v>
      </c>
      <c r="N1304" t="s">
        <v>98</v>
      </c>
    </row>
    <row r="1305" spans="1:14" x14ac:dyDescent="0.35">
      <c r="A1305" t="s">
        <v>776</v>
      </c>
      <c r="B1305" t="s">
        <v>75</v>
      </c>
      <c r="C1305" t="s">
        <v>16</v>
      </c>
      <c r="D1305">
        <v>1</v>
      </c>
      <c r="E1305">
        <v>19</v>
      </c>
      <c r="F1305" t="s">
        <v>79</v>
      </c>
      <c r="G1305">
        <v>18</v>
      </c>
      <c r="H1305" t="s">
        <v>18</v>
      </c>
      <c r="I1305">
        <v>5</v>
      </c>
      <c r="J1305">
        <v>24.9</v>
      </c>
      <c r="K1305">
        <v>0</v>
      </c>
      <c r="L1305">
        <v>0</v>
      </c>
      <c r="M1305">
        <v>18</v>
      </c>
      <c r="N1305" t="s">
        <v>98</v>
      </c>
    </row>
    <row r="1306" spans="1:14" x14ac:dyDescent="0.35">
      <c r="A1306" t="s">
        <v>776</v>
      </c>
      <c r="B1306" t="s">
        <v>506</v>
      </c>
      <c r="C1306" t="s">
        <v>29</v>
      </c>
      <c r="D1306">
        <v>0</v>
      </c>
      <c r="E1306">
        <v>18</v>
      </c>
      <c r="F1306" t="s">
        <v>79</v>
      </c>
      <c r="G1306">
        <v>18</v>
      </c>
      <c r="H1306" t="s">
        <v>18</v>
      </c>
      <c r="I1306">
        <v>14</v>
      </c>
      <c r="J1306">
        <v>21</v>
      </c>
      <c r="K1306">
        <v>4</v>
      </c>
      <c r="L1306">
        <v>4</v>
      </c>
      <c r="M1306">
        <v>22</v>
      </c>
      <c r="N1306" t="s">
        <v>96</v>
      </c>
    </row>
    <row r="1307" spans="1:14" x14ac:dyDescent="0.35">
      <c r="A1307" t="s">
        <v>776</v>
      </c>
      <c r="B1307" t="s">
        <v>644</v>
      </c>
      <c r="C1307" t="s">
        <v>16</v>
      </c>
      <c r="D1307">
        <v>2</v>
      </c>
      <c r="E1307">
        <v>23</v>
      </c>
      <c r="F1307" t="s">
        <v>290</v>
      </c>
      <c r="G1307">
        <v>18</v>
      </c>
      <c r="H1307" t="s">
        <v>18</v>
      </c>
      <c r="I1307">
        <v>5</v>
      </c>
      <c r="J1307">
        <v>27.4</v>
      </c>
      <c r="K1307">
        <v>3</v>
      </c>
      <c r="L1307">
        <v>2</v>
      </c>
      <c r="M1307">
        <v>20</v>
      </c>
      <c r="N1307" t="s">
        <v>99</v>
      </c>
    </row>
    <row r="1308" spans="1:14" x14ac:dyDescent="0.35">
      <c r="A1308" t="s">
        <v>776</v>
      </c>
      <c r="B1308" t="s">
        <v>83</v>
      </c>
      <c r="C1308" t="s">
        <v>16</v>
      </c>
      <c r="D1308">
        <v>7</v>
      </c>
      <c r="E1308">
        <v>11</v>
      </c>
      <c r="F1308" t="s">
        <v>292</v>
      </c>
      <c r="G1308">
        <v>18</v>
      </c>
      <c r="H1308" t="s">
        <v>18</v>
      </c>
      <c r="I1308">
        <v>2</v>
      </c>
      <c r="J1308">
        <v>31</v>
      </c>
      <c r="K1308">
        <v>2</v>
      </c>
      <c r="L1308">
        <v>2</v>
      </c>
      <c r="M1308">
        <v>20</v>
      </c>
      <c r="N1308" t="s">
        <v>92</v>
      </c>
    </row>
    <row r="1309" spans="1:14" x14ac:dyDescent="0.35">
      <c r="A1309" t="s">
        <v>776</v>
      </c>
      <c r="B1309" t="s">
        <v>644</v>
      </c>
      <c r="C1309" t="s">
        <v>29</v>
      </c>
      <c r="D1309">
        <v>0</v>
      </c>
      <c r="E1309">
        <v>18</v>
      </c>
      <c r="F1309" t="s">
        <v>87</v>
      </c>
      <c r="G1309">
        <v>18</v>
      </c>
      <c r="H1309" t="s">
        <v>18</v>
      </c>
      <c r="I1309">
        <v>11</v>
      </c>
      <c r="J1309">
        <v>20.7</v>
      </c>
      <c r="K1309">
        <v>1</v>
      </c>
      <c r="L1309">
        <v>3</v>
      </c>
      <c r="M1309">
        <v>21</v>
      </c>
      <c r="N1309" t="s">
        <v>418</v>
      </c>
    </row>
    <row r="1310" spans="1:14" x14ac:dyDescent="0.35">
      <c r="A1310" t="s">
        <v>776</v>
      </c>
      <c r="B1310" t="s">
        <v>419</v>
      </c>
      <c r="C1310" t="s">
        <v>16</v>
      </c>
      <c r="D1310">
        <v>0</v>
      </c>
      <c r="E1310">
        <v>21</v>
      </c>
      <c r="F1310" t="s">
        <v>88</v>
      </c>
      <c r="G1310">
        <v>18</v>
      </c>
      <c r="H1310" t="s">
        <v>18</v>
      </c>
      <c r="I1310">
        <v>4</v>
      </c>
      <c r="J1310">
        <v>31.9</v>
      </c>
      <c r="K1310">
        <v>2</v>
      </c>
      <c r="L1310">
        <v>3</v>
      </c>
      <c r="M1310">
        <v>21</v>
      </c>
      <c r="N1310" t="s">
        <v>645</v>
      </c>
    </row>
    <row r="1311" spans="1:14" x14ac:dyDescent="0.35">
      <c r="A1311" t="s">
        <v>776</v>
      </c>
      <c r="B1311" t="s">
        <v>93</v>
      </c>
      <c r="C1311" t="s">
        <v>16</v>
      </c>
      <c r="D1311">
        <v>3</v>
      </c>
      <c r="E1311">
        <v>18</v>
      </c>
      <c r="F1311" t="s">
        <v>91</v>
      </c>
      <c r="G1311">
        <v>18</v>
      </c>
      <c r="H1311" t="s">
        <v>18</v>
      </c>
      <c r="I1311">
        <v>2</v>
      </c>
      <c r="J1311">
        <v>27.1</v>
      </c>
      <c r="K1311">
        <v>1</v>
      </c>
      <c r="L1311">
        <v>4</v>
      </c>
      <c r="M1311">
        <v>22</v>
      </c>
      <c r="N1311" t="s">
        <v>86</v>
      </c>
    </row>
    <row r="1312" spans="1:14" x14ac:dyDescent="0.35">
      <c r="A1312" t="s">
        <v>776</v>
      </c>
      <c r="B1312" t="s">
        <v>76</v>
      </c>
      <c r="C1312" t="s">
        <v>16</v>
      </c>
      <c r="D1312">
        <v>3</v>
      </c>
      <c r="E1312">
        <v>16</v>
      </c>
      <c r="F1312" t="s">
        <v>98</v>
      </c>
      <c r="G1312">
        <v>18</v>
      </c>
      <c r="H1312" t="s">
        <v>18</v>
      </c>
      <c r="I1312">
        <v>6</v>
      </c>
      <c r="J1312">
        <v>32</v>
      </c>
      <c r="K1312">
        <v>1</v>
      </c>
      <c r="L1312">
        <v>4</v>
      </c>
      <c r="M1312">
        <v>22</v>
      </c>
      <c r="N1312" t="s">
        <v>422</v>
      </c>
    </row>
    <row r="1313" spans="1:14" x14ac:dyDescent="0.35">
      <c r="A1313" t="s">
        <v>776</v>
      </c>
      <c r="B1313" t="s">
        <v>296</v>
      </c>
      <c r="C1313" t="s">
        <v>16</v>
      </c>
      <c r="D1313">
        <v>1</v>
      </c>
      <c r="E1313">
        <v>22</v>
      </c>
      <c r="F1313" t="s">
        <v>103</v>
      </c>
      <c r="G1313">
        <v>18</v>
      </c>
      <c r="H1313" t="s">
        <v>18</v>
      </c>
      <c r="I1313">
        <v>9</v>
      </c>
      <c r="J1313">
        <v>25.2</v>
      </c>
      <c r="K1313">
        <v>3</v>
      </c>
      <c r="L1313">
        <v>5</v>
      </c>
      <c r="M1313">
        <v>23</v>
      </c>
      <c r="N1313" t="s">
        <v>423</v>
      </c>
    </row>
    <row r="1314" spans="1:14" x14ac:dyDescent="0.35">
      <c r="A1314" t="s">
        <v>776</v>
      </c>
      <c r="B1314" t="s">
        <v>293</v>
      </c>
      <c r="C1314" t="s">
        <v>29</v>
      </c>
      <c r="D1314">
        <v>0</v>
      </c>
      <c r="E1314">
        <v>18</v>
      </c>
      <c r="F1314" t="s">
        <v>103</v>
      </c>
      <c r="G1314">
        <v>18</v>
      </c>
      <c r="H1314" t="s">
        <v>18</v>
      </c>
      <c r="I1314">
        <v>21</v>
      </c>
      <c r="J1314">
        <v>22.6</v>
      </c>
      <c r="K1314">
        <v>1</v>
      </c>
      <c r="L1314">
        <v>5</v>
      </c>
      <c r="M1314">
        <v>23</v>
      </c>
      <c r="N1314" t="s">
        <v>422</v>
      </c>
    </row>
    <row r="1315" spans="1:14" x14ac:dyDescent="0.35">
      <c r="A1315" t="s">
        <v>776</v>
      </c>
      <c r="B1315" t="s">
        <v>291</v>
      </c>
      <c r="C1315" t="s">
        <v>16</v>
      </c>
      <c r="D1315">
        <v>5</v>
      </c>
      <c r="E1315">
        <v>14</v>
      </c>
      <c r="F1315" t="s">
        <v>92</v>
      </c>
      <c r="G1315">
        <v>18</v>
      </c>
      <c r="H1315" t="s">
        <v>18</v>
      </c>
      <c r="I1315">
        <v>5</v>
      </c>
      <c r="J1315">
        <v>24.4</v>
      </c>
      <c r="K1315">
        <v>1</v>
      </c>
      <c r="L1315">
        <v>3</v>
      </c>
      <c r="M1315">
        <v>21</v>
      </c>
      <c r="N1315" t="s">
        <v>722</v>
      </c>
    </row>
    <row r="1316" spans="1:14" x14ac:dyDescent="0.35">
      <c r="A1316" t="s">
        <v>776</v>
      </c>
      <c r="B1316" t="s">
        <v>89</v>
      </c>
      <c r="C1316" t="s">
        <v>16</v>
      </c>
      <c r="D1316">
        <v>1</v>
      </c>
      <c r="E1316">
        <v>18</v>
      </c>
      <c r="F1316" t="s">
        <v>100</v>
      </c>
      <c r="G1316">
        <v>18</v>
      </c>
      <c r="H1316" t="s">
        <v>18</v>
      </c>
      <c r="I1316">
        <v>22</v>
      </c>
      <c r="J1316">
        <v>25.2</v>
      </c>
      <c r="K1316">
        <v>4</v>
      </c>
      <c r="L1316">
        <v>3</v>
      </c>
      <c r="M1316">
        <v>21</v>
      </c>
      <c r="N1316" t="s">
        <v>516</v>
      </c>
    </row>
    <row r="1317" spans="1:14" x14ac:dyDescent="0.35">
      <c r="A1317" t="s">
        <v>776</v>
      </c>
      <c r="B1317" t="s">
        <v>722</v>
      </c>
      <c r="C1317" t="s">
        <v>16</v>
      </c>
      <c r="D1317">
        <v>1</v>
      </c>
      <c r="E1317">
        <v>18</v>
      </c>
      <c r="F1317" t="s">
        <v>511</v>
      </c>
      <c r="G1317">
        <v>18</v>
      </c>
      <c r="H1317" t="s">
        <v>18</v>
      </c>
      <c r="I1317">
        <v>20</v>
      </c>
      <c r="J1317">
        <v>31.2</v>
      </c>
      <c r="K1317">
        <v>4</v>
      </c>
      <c r="L1317">
        <v>2</v>
      </c>
      <c r="M1317">
        <v>20</v>
      </c>
      <c r="N1317" t="s">
        <v>650</v>
      </c>
    </row>
    <row r="1318" spans="1:14" x14ac:dyDescent="0.35">
      <c r="A1318" t="s">
        <v>776</v>
      </c>
      <c r="B1318" t="s">
        <v>298</v>
      </c>
      <c r="C1318" t="s">
        <v>29</v>
      </c>
      <c r="D1318">
        <v>0</v>
      </c>
      <c r="E1318">
        <v>18</v>
      </c>
      <c r="F1318" t="s">
        <v>582</v>
      </c>
      <c r="G1318">
        <v>18</v>
      </c>
      <c r="H1318" t="s">
        <v>18</v>
      </c>
      <c r="I1318">
        <v>60</v>
      </c>
      <c r="J1318">
        <v>27.9</v>
      </c>
      <c r="K1318">
        <v>3</v>
      </c>
      <c r="L1318">
        <v>1</v>
      </c>
      <c r="M1318">
        <v>19</v>
      </c>
      <c r="N1318" t="s">
        <v>777</v>
      </c>
    </row>
    <row r="1319" spans="1:14" x14ac:dyDescent="0.35">
      <c r="A1319" t="s">
        <v>776</v>
      </c>
      <c r="B1319" t="s">
        <v>723</v>
      </c>
      <c r="C1319" t="s">
        <v>16</v>
      </c>
      <c r="D1319">
        <v>1</v>
      </c>
      <c r="E1319">
        <v>17</v>
      </c>
      <c r="F1319" t="s">
        <v>748</v>
      </c>
      <c r="G1319">
        <v>18</v>
      </c>
      <c r="H1319" t="s">
        <v>18</v>
      </c>
      <c r="I1319">
        <v>20</v>
      </c>
      <c r="J1319">
        <v>22.4</v>
      </c>
      <c r="K1319">
        <v>3</v>
      </c>
      <c r="L1319">
        <v>2</v>
      </c>
      <c r="M1319">
        <v>20</v>
      </c>
      <c r="N1319" t="s">
        <v>778</v>
      </c>
    </row>
    <row r="1320" spans="1:14" x14ac:dyDescent="0.35">
      <c r="A1320" t="s">
        <v>776</v>
      </c>
      <c r="B1320" t="s">
        <v>429</v>
      </c>
      <c r="C1320" t="s">
        <v>16</v>
      </c>
      <c r="D1320">
        <v>0</v>
      </c>
      <c r="E1320">
        <v>19</v>
      </c>
      <c r="F1320" t="s">
        <v>705</v>
      </c>
      <c r="G1320">
        <v>18</v>
      </c>
      <c r="H1320" t="s">
        <v>18</v>
      </c>
      <c r="I1320">
        <v>26</v>
      </c>
      <c r="J1320">
        <v>31.3</v>
      </c>
      <c r="K1320">
        <v>3</v>
      </c>
      <c r="L1320">
        <v>3</v>
      </c>
      <c r="M1320">
        <v>21</v>
      </c>
      <c r="N1320" t="s">
        <v>125</v>
      </c>
    </row>
    <row r="1321" spans="1:14" x14ac:dyDescent="0.35">
      <c r="A1321" t="s">
        <v>776</v>
      </c>
      <c r="B1321" t="s">
        <v>432</v>
      </c>
      <c r="C1321" t="s">
        <v>16</v>
      </c>
      <c r="D1321">
        <v>1</v>
      </c>
      <c r="E1321">
        <v>17</v>
      </c>
      <c r="F1321" t="s">
        <v>586</v>
      </c>
      <c r="G1321">
        <v>18</v>
      </c>
      <c r="H1321" t="s">
        <v>18</v>
      </c>
      <c r="I1321">
        <v>25</v>
      </c>
      <c r="J1321">
        <v>23.8</v>
      </c>
      <c r="K1321">
        <v>1</v>
      </c>
      <c r="L1321">
        <v>2</v>
      </c>
      <c r="M1321">
        <v>20</v>
      </c>
      <c r="N1321" t="s">
        <v>129</v>
      </c>
    </row>
    <row r="1322" spans="1:14" x14ac:dyDescent="0.35">
      <c r="A1322" t="s">
        <v>776</v>
      </c>
      <c r="B1322" t="s">
        <v>307</v>
      </c>
      <c r="C1322" t="s">
        <v>29</v>
      </c>
      <c r="D1322">
        <v>0</v>
      </c>
      <c r="E1322">
        <v>18</v>
      </c>
      <c r="F1322" t="s">
        <v>725</v>
      </c>
      <c r="G1322">
        <v>18</v>
      </c>
      <c r="H1322" t="s">
        <v>18</v>
      </c>
      <c r="I1322">
        <v>69</v>
      </c>
      <c r="J1322">
        <v>22.6</v>
      </c>
      <c r="K1322">
        <v>0</v>
      </c>
      <c r="L1322">
        <v>0</v>
      </c>
      <c r="M1322">
        <v>18</v>
      </c>
      <c r="N1322" t="s">
        <v>138</v>
      </c>
    </row>
    <row r="1323" spans="1:14" x14ac:dyDescent="0.35">
      <c r="A1323" t="s">
        <v>776</v>
      </c>
      <c r="B1323" t="s">
        <v>587</v>
      </c>
      <c r="C1323" t="s">
        <v>16</v>
      </c>
      <c r="D1323">
        <v>0</v>
      </c>
      <c r="E1323">
        <v>21</v>
      </c>
      <c r="F1323" t="s">
        <v>137</v>
      </c>
      <c r="G1323">
        <v>18</v>
      </c>
      <c r="H1323" t="s">
        <v>18</v>
      </c>
      <c r="I1323">
        <v>16</v>
      </c>
      <c r="J1323">
        <v>31.3</v>
      </c>
      <c r="K1323">
        <v>1</v>
      </c>
      <c r="L1323">
        <v>5</v>
      </c>
      <c r="M1323">
        <v>23</v>
      </c>
      <c r="N1323" t="s">
        <v>327</v>
      </c>
    </row>
    <row r="1324" spans="1:14" x14ac:dyDescent="0.35">
      <c r="A1324" t="s">
        <v>776</v>
      </c>
      <c r="B1324" t="s">
        <v>126</v>
      </c>
      <c r="C1324" t="s">
        <v>16</v>
      </c>
      <c r="D1324">
        <v>3</v>
      </c>
      <c r="E1324">
        <v>18</v>
      </c>
      <c r="F1324" t="s">
        <v>320</v>
      </c>
      <c r="G1324">
        <v>18</v>
      </c>
      <c r="H1324" t="s">
        <v>18</v>
      </c>
      <c r="I1324">
        <v>4</v>
      </c>
      <c r="J1324">
        <v>28</v>
      </c>
      <c r="K1324">
        <v>0</v>
      </c>
      <c r="L1324">
        <v>0</v>
      </c>
      <c r="M1324">
        <v>18</v>
      </c>
      <c r="N1324" t="s">
        <v>588</v>
      </c>
    </row>
    <row r="1325" spans="1:14" x14ac:dyDescent="0.35">
      <c r="A1325" t="s">
        <v>776</v>
      </c>
      <c r="B1325" t="s">
        <v>129</v>
      </c>
      <c r="C1325" t="s">
        <v>16</v>
      </c>
      <c r="D1325">
        <v>3</v>
      </c>
      <c r="E1325">
        <v>16</v>
      </c>
      <c r="F1325" t="s">
        <v>132</v>
      </c>
      <c r="G1325">
        <v>18</v>
      </c>
      <c r="H1325" t="s">
        <v>18</v>
      </c>
      <c r="I1325">
        <v>2</v>
      </c>
      <c r="J1325">
        <v>29</v>
      </c>
      <c r="K1325">
        <v>1</v>
      </c>
      <c r="L1325">
        <v>2</v>
      </c>
      <c r="M1325">
        <v>20</v>
      </c>
      <c r="N1325" t="s">
        <v>133</v>
      </c>
    </row>
    <row r="1326" spans="1:14" x14ac:dyDescent="0.35">
      <c r="A1326" t="s">
        <v>776</v>
      </c>
      <c r="B1326" t="s">
        <v>134</v>
      </c>
      <c r="C1326" t="s">
        <v>16</v>
      </c>
      <c r="D1326">
        <v>1</v>
      </c>
      <c r="E1326">
        <v>17</v>
      </c>
      <c r="F1326" t="s">
        <v>525</v>
      </c>
      <c r="G1326">
        <v>18</v>
      </c>
      <c r="H1326" t="s">
        <v>18</v>
      </c>
      <c r="I1326">
        <v>3</v>
      </c>
      <c r="J1326">
        <v>28.8</v>
      </c>
      <c r="K1326">
        <v>3</v>
      </c>
      <c r="L1326">
        <v>4</v>
      </c>
      <c r="M1326">
        <v>22</v>
      </c>
      <c r="N1326" t="s">
        <v>623</v>
      </c>
    </row>
    <row r="1327" spans="1:14" x14ac:dyDescent="0.35">
      <c r="A1327" t="s">
        <v>776</v>
      </c>
      <c r="B1327" t="s">
        <v>119</v>
      </c>
      <c r="C1327" t="s">
        <v>29</v>
      </c>
      <c r="D1327">
        <v>0</v>
      </c>
      <c r="E1327">
        <v>18</v>
      </c>
      <c r="F1327" t="s">
        <v>139</v>
      </c>
      <c r="G1327">
        <v>18</v>
      </c>
      <c r="H1327" t="s">
        <v>18</v>
      </c>
      <c r="I1327">
        <v>19</v>
      </c>
      <c r="J1327">
        <v>24.9</v>
      </c>
      <c r="K1327">
        <v>1</v>
      </c>
      <c r="L1327">
        <v>5</v>
      </c>
      <c r="M1327">
        <v>23</v>
      </c>
      <c r="N1327" t="s">
        <v>438</v>
      </c>
    </row>
    <row r="1328" spans="1:14" x14ac:dyDescent="0.35">
      <c r="A1328" t="s">
        <v>776</v>
      </c>
      <c r="B1328" t="s">
        <v>135</v>
      </c>
      <c r="C1328" t="s">
        <v>16</v>
      </c>
      <c r="D1328">
        <v>0</v>
      </c>
      <c r="E1328">
        <v>21</v>
      </c>
      <c r="F1328" t="s">
        <v>141</v>
      </c>
      <c r="G1328">
        <v>18</v>
      </c>
      <c r="H1328" t="s">
        <v>18</v>
      </c>
      <c r="I1328">
        <v>3</v>
      </c>
      <c r="J1328">
        <v>25.5</v>
      </c>
      <c r="K1328">
        <v>2</v>
      </c>
      <c r="L1328">
        <v>5</v>
      </c>
      <c r="M1328">
        <v>23</v>
      </c>
      <c r="N1328" t="s">
        <v>656</v>
      </c>
    </row>
    <row r="1329" spans="1:14" x14ac:dyDescent="0.35">
      <c r="A1329" t="s">
        <v>776</v>
      </c>
      <c r="B1329" t="s">
        <v>521</v>
      </c>
      <c r="C1329" t="s">
        <v>16</v>
      </c>
      <c r="D1329">
        <v>3</v>
      </c>
      <c r="E1329">
        <v>16</v>
      </c>
      <c r="F1329" t="s">
        <v>122</v>
      </c>
      <c r="G1329">
        <v>18</v>
      </c>
      <c r="H1329" t="s">
        <v>18</v>
      </c>
      <c r="I1329">
        <v>2</v>
      </c>
      <c r="J1329">
        <v>34.700000000000003</v>
      </c>
      <c r="K1329">
        <v>1</v>
      </c>
      <c r="L1329">
        <v>3</v>
      </c>
      <c r="M1329">
        <v>21</v>
      </c>
      <c r="N1329" t="s">
        <v>146</v>
      </c>
    </row>
    <row r="1330" spans="1:14" x14ac:dyDescent="0.35">
      <c r="A1330" t="s">
        <v>776</v>
      </c>
      <c r="B1330" t="s">
        <v>142</v>
      </c>
      <c r="C1330" t="s">
        <v>16</v>
      </c>
      <c r="D1330">
        <v>1</v>
      </c>
      <c r="E1330">
        <v>18</v>
      </c>
      <c r="F1330" t="s">
        <v>526</v>
      </c>
      <c r="G1330">
        <v>18</v>
      </c>
      <c r="H1330" t="s">
        <v>18</v>
      </c>
      <c r="I1330">
        <v>2</v>
      </c>
      <c r="J1330">
        <v>27.6</v>
      </c>
      <c r="K1330">
        <v>3</v>
      </c>
      <c r="L1330">
        <v>1</v>
      </c>
      <c r="M1330">
        <v>19</v>
      </c>
      <c r="N1330" t="s">
        <v>140</v>
      </c>
    </row>
    <row r="1331" spans="1:14" x14ac:dyDescent="0.35">
      <c r="A1331" t="s">
        <v>776</v>
      </c>
      <c r="B1331" t="s">
        <v>522</v>
      </c>
      <c r="C1331" t="s">
        <v>16</v>
      </c>
      <c r="D1331">
        <v>1</v>
      </c>
      <c r="E1331">
        <v>20</v>
      </c>
      <c r="F1331" t="s">
        <v>155</v>
      </c>
      <c r="G1331">
        <v>18</v>
      </c>
      <c r="H1331" t="s">
        <v>18</v>
      </c>
      <c r="I1331">
        <v>3</v>
      </c>
      <c r="J1331">
        <v>28.1</v>
      </c>
      <c r="K1331">
        <v>4</v>
      </c>
      <c r="L1331">
        <v>0</v>
      </c>
      <c r="M1331">
        <v>18</v>
      </c>
      <c r="N1331" t="s">
        <v>686</v>
      </c>
    </row>
    <row r="1332" spans="1:14" x14ac:dyDescent="0.35">
      <c r="A1332" t="s">
        <v>776</v>
      </c>
      <c r="B1332" t="s">
        <v>524</v>
      </c>
      <c r="C1332" t="s">
        <v>16</v>
      </c>
      <c r="D1332">
        <v>3</v>
      </c>
      <c r="E1332">
        <v>16</v>
      </c>
      <c r="F1332" t="s">
        <v>321</v>
      </c>
      <c r="G1332">
        <v>18</v>
      </c>
      <c r="H1332" t="s">
        <v>18</v>
      </c>
      <c r="I1332">
        <v>7</v>
      </c>
      <c r="J1332">
        <v>27.7</v>
      </c>
      <c r="K1332">
        <v>4</v>
      </c>
      <c r="L1332">
        <v>3</v>
      </c>
      <c r="M1332">
        <v>21</v>
      </c>
      <c r="N1332" t="s">
        <v>150</v>
      </c>
    </row>
    <row r="1333" spans="1:14" x14ac:dyDescent="0.35">
      <c r="A1333" t="s">
        <v>776</v>
      </c>
      <c r="B1333" t="s">
        <v>141</v>
      </c>
      <c r="C1333" t="s">
        <v>29</v>
      </c>
      <c r="D1333">
        <v>0</v>
      </c>
      <c r="E1333">
        <v>18</v>
      </c>
      <c r="F1333" t="s">
        <v>130</v>
      </c>
      <c r="G1333">
        <v>18</v>
      </c>
      <c r="H1333" t="s">
        <v>18</v>
      </c>
      <c r="I1333">
        <v>19</v>
      </c>
      <c r="J1333">
        <v>24.7</v>
      </c>
      <c r="K1333">
        <v>3</v>
      </c>
      <c r="L1333">
        <v>3</v>
      </c>
      <c r="M1333">
        <v>21</v>
      </c>
      <c r="N1333" t="s">
        <v>156</v>
      </c>
    </row>
    <row r="1334" spans="1:14" x14ac:dyDescent="0.35">
      <c r="A1334" t="s">
        <v>776</v>
      </c>
      <c r="B1334" t="s">
        <v>130</v>
      </c>
      <c r="C1334" t="s">
        <v>16</v>
      </c>
      <c r="D1334">
        <v>1</v>
      </c>
      <c r="E1334">
        <v>18</v>
      </c>
      <c r="F1334" t="s">
        <v>655</v>
      </c>
      <c r="G1334">
        <v>18</v>
      </c>
      <c r="H1334" t="s">
        <v>18</v>
      </c>
      <c r="I1334">
        <v>11</v>
      </c>
      <c r="J1334">
        <v>29.4</v>
      </c>
      <c r="K1334">
        <v>3</v>
      </c>
      <c r="L1334">
        <v>4</v>
      </c>
      <c r="M1334">
        <v>22</v>
      </c>
      <c r="N1334" t="s">
        <v>335</v>
      </c>
    </row>
    <row r="1335" spans="1:14" x14ac:dyDescent="0.35">
      <c r="A1335" t="s">
        <v>776</v>
      </c>
      <c r="B1335" t="s">
        <v>326</v>
      </c>
      <c r="C1335" t="s">
        <v>16</v>
      </c>
      <c r="D1335">
        <v>1</v>
      </c>
      <c r="E1335">
        <v>17</v>
      </c>
      <c r="F1335" t="s">
        <v>143</v>
      </c>
      <c r="G1335">
        <v>18</v>
      </c>
      <c r="H1335" t="s">
        <v>18</v>
      </c>
      <c r="I1335">
        <v>8</v>
      </c>
      <c r="J1335">
        <v>23.6</v>
      </c>
      <c r="K1335">
        <v>0</v>
      </c>
      <c r="L1335">
        <v>0</v>
      </c>
      <c r="M1335">
        <v>18</v>
      </c>
      <c r="N1335" t="s">
        <v>169</v>
      </c>
    </row>
    <row r="1336" spans="1:14" x14ac:dyDescent="0.35">
      <c r="A1336" t="s">
        <v>776</v>
      </c>
      <c r="B1336" t="s">
        <v>438</v>
      </c>
      <c r="C1336" t="s">
        <v>29</v>
      </c>
      <c r="D1336">
        <v>0</v>
      </c>
      <c r="E1336">
        <v>14</v>
      </c>
      <c r="F1336" t="s">
        <v>156</v>
      </c>
      <c r="G1336">
        <v>14</v>
      </c>
      <c r="H1336" t="s">
        <v>157</v>
      </c>
      <c r="I1336">
        <v>20</v>
      </c>
      <c r="J1336">
        <v>21.7</v>
      </c>
      <c r="K1336">
        <v>0</v>
      </c>
      <c r="L1336">
        <v>0</v>
      </c>
      <c r="M1336">
        <v>14</v>
      </c>
      <c r="N1336" t="s">
        <v>528</v>
      </c>
    </row>
    <row r="1337" spans="1:14" x14ac:dyDescent="0.35">
      <c r="A1337" t="s">
        <v>776</v>
      </c>
      <c r="B1337" t="s">
        <v>657</v>
      </c>
      <c r="C1337" t="s">
        <v>16</v>
      </c>
      <c r="D1337">
        <v>0</v>
      </c>
      <c r="E1337">
        <v>20</v>
      </c>
      <c r="F1337" t="s">
        <v>444</v>
      </c>
      <c r="G1337">
        <v>18</v>
      </c>
      <c r="H1337" t="s">
        <v>18</v>
      </c>
      <c r="I1337">
        <v>6</v>
      </c>
      <c r="J1337">
        <v>28.5</v>
      </c>
      <c r="K1337">
        <v>4</v>
      </c>
      <c r="L1337">
        <v>4</v>
      </c>
      <c r="M1337">
        <v>22</v>
      </c>
      <c r="N1337" t="s">
        <v>161</v>
      </c>
    </row>
    <row r="1338" spans="1:14" x14ac:dyDescent="0.35">
      <c r="A1338" t="s">
        <v>776</v>
      </c>
      <c r="B1338" t="s">
        <v>441</v>
      </c>
      <c r="C1338" t="s">
        <v>16</v>
      </c>
      <c r="D1338">
        <v>2</v>
      </c>
      <c r="E1338">
        <v>18</v>
      </c>
      <c r="F1338" t="s">
        <v>331</v>
      </c>
      <c r="G1338">
        <v>18</v>
      </c>
      <c r="H1338" t="s">
        <v>18</v>
      </c>
      <c r="I1338">
        <v>4</v>
      </c>
      <c r="J1338">
        <v>29.9</v>
      </c>
      <c r="K1338">
        <v>3</v>
      </c>
      <c r="L1338">
        <v>5</v>
      </c>
      <c r="M1338">
        <v>23</v>
      </c>
      <c r="N1338" t="s">
        <v>183</v>
      </c>
    </row>
    <row r="1339" spans="1:14" x14ac:dyDescent="0.35">
      <c r="A1339" t="s">
        <v>776</v>
      </c>
      <c r="B1339" t="s">
        <v>163</v>
      </c>
      <c r="C1339" t="s">
        <v>16</v>
      </c>
      <c r="D1339">
        <v>2</v>
      </c>
      <c r="E1339">
        <v>17</v>
      </c>
      <c r="F1339" t="s">
        <v>166</v>
      </c>
      <c r="G1339">
        <v>18</v>
      </c>
      <c r="H1339" t="s">
        <v>18</v>
      </c>
      <c r="I1339">
        <v>4</v>
      </c>
      <c r="J1339">
        <v>29.6</v>
      </c>
      <c r="K1339">
        <v>3</v>
      </c>
      <c r="L1339">
        <v>5</v>
      </c>
      <c r="M1339">
        <v>23</v>
      </c>
      <c r="N1339" t="s">
        <v>186</v>
      </c>
    </row>
    <row r="1340" spans="1:14" x14ac:dyDescent="0.35">
      <c r="A1340" t="s">
        <v>776</v>
      </c>
      <c r="B1340" t="s">
        <v>328</v>
      </c>
      <c r="C1340" t="s">
        <v>29</v>
      </c>
      <c r="D1340">
        <v>0</v>
      </c>
      <c r="E1340">
        <v>15</v>
      </c>
      <c r="F1340" t="s">
        <v>335</v>
      </c>
      <c r="G1340">
        <v>15</v>
      </c>
      <c r="H1340" t="s">
        <v>157</v>
      </c>
      <c r="I1340">
        <v>15</v>
      </c>
      <c r="J1340">
        <v>18.100000000000001</v>
      </c>
      <c r="K1340">
        <v>0</v>
      </c>
      <c r="L1340">
        <v>0</v>
      </c>
      <c r="M1340">
        <v>15</v>
      </c>
      <c r="N1340" t="s">
        <v>330</v>
      </c>
    </row>
    <row r="1341" spans="1:14" x14ac:dyDescent="0.35">
      <c r="A1341" t="s">
        <v>776</v>
      </c>
      <c r="B1341" t="s">
        <v>168</v>
      </c>
      <c r="C1341" t="s">
        <v>16</v>
      </c>
      <c r="D1341">
        <v>1</v>
      </c>
      <c r="E1341">
        <v>20</v>
      </c>
      <c r="F1341" t="s">
        <v>169</v>
      </c>
      <c r="G1341">
        <v>18</v>
      </c>
      <c r="H1341" t="s">
        <v>18</v>
      </c>
      <c r="I1341">
        <v>5</v>
      </c>
      <c r="J1341">
        <v>31.8</v>
      </c>
      <c r="K1341">
        <v>0</v>
      </c>
      <c r="L1341">
        <v>0</v>
      </c>
      <c r="M1341">
        <v>18</v>
      </c>
      <c r="N1341" t="s">
        <v>337</v>
      </c>
    </row>
    <row r="1342" spans="1:14" x14ac:dyDescent="0.35">
      <c r="A1342" t="s">
        <v>776</v>
      </c>
      <c r="B1342" t="s">
        <v>171</v>
      </c>
      <c r="C1342" t="s">
        <v>16</v>
      </c>
      <c r="D1342">
        <v>3</v>
      </c>
      <c r="E1342">
        <v>19</v>
      </c>
      <c r="F1342" t="s">
        <v>175</v>
      </c>
      <c r="G1342">
        <v>18</v>
      </c>
      <c r="H1342" t="s">
        <v>18</v>
      </c>
      <c r="I1342">
        <v>3</v>
      </c>
      <c r="J1342">
        <v>27.8</v>
      </c>
      <c r="K1342">
        <v>0</v>
      </c>
      <c r="L1342">
        <v>0</v>
      </c>
      <c r="M1342">
        <v>18</v>
      </c>
      <c r="N1342" t="s">
        <v>337</v>
      </c>
    </row>
    <row r="1343" spans="1:14" x14ac:dyDescent="0.35">
      <c r="A1343" t="s">
        <v>776</v>
      </c>
      <c r="B1343" t="s">
        <v>336</v>
      </c>
      <c r="C1343" t="s">
        <v>16</v>
      </c>
      <c r="D1343">
        <v>4</v>
      </c>
      <c r="E1343">
        <v>17</v>
      </c>
      <c r="F1343" t="s">
        <v>173</v>
      </c>
      <c r="G1343">
        <v>18</v>
      </c>
      <c r="H1343" t="s">
        <v>18</v>
      </c>
      <c r="I1343">
        <v>1</v>
      </c>
      <c r="J1343">
        <v>28.5</v>
      </c>
      <c r="K1343">
        <v>3</v>
      </c>
      <c r="L1343">
        <v>5</v>
      </c>
      <c r="M1343">
        <v>23</v>
      </c>
      <c r="N1343" t="s">
        <v>172</v>
      </c>
    </row>
    <row r="1344" spans="1:14" x14ac:dyDescent="0.35">
      <c r="A1344" t="s">
        <v>776</v>
      </c>
      <c r="B1344" t="s">
        <v>154</v>
      </c>
      <c r="C1344" t="s">
        <v>16</v>
      </c>
      <c r="D1344">
        <v>3</v>
      </c>
      <c r="E1344">
        <v>16</v>
      </c>
      <c r="F1344" t="s">
        <v>178</v>
      </c>
      <c r="G1344">
        <v>18</v>
      </c>
      <c r="H1344" t="s">
        <v>18</v>
      </c>
      <c r="I1344">
        <v>2</v>
      </c>
      <c r="J1344">
        <v>30.8</v>
      </c>
      <c r="K1344">
        <v>4</v>
      </c>
      <c r="L1344">
        <v>5</v>
      </c>
      <c r="M1344">
        <v>23</v>
      </c>
      <c r="N1344" t="s">
        <v>534</v>
      </c>
    </row>
    <row r="1345" spans="1:14" x14ac:dyDescent="0.35">
      <c r="A1345" t="s">
        <v>776</v>
      </c>
      <c r="B1345" t="s">
        <v>590</v>
      </c>
      <c r="C1345" t="s">
        <v>29</v>
      </c>
      <c r="D1345">
        <v>0</v>
      </c>
      <c r="E1345">
        <v>18</v>
      </c>
      <c r="F1345" t="s">
        <v>161</v>
      </c>
      <c r="G1345">
        <v>18</v>
      </c>
      <c r="H1345" t="s">
        <v>18</v>
      </c>
      <c r="I1345">
        <v>13</v>
      </c>
      <c r="J1345">
        <v>18</v>
      </c>
      <c r="K1345">
        <v>4</v>
      </c>
      <c r="L1345">
        <v>6</v>
      </c>
      <c r="M1345">
        <v>24</v>
      </c>
      <c r="N1345" t="s">
        <v>189</v>
      </c>
    </row>
    <row r="1346" spans="1:14" x14ac:dyDescent="0.35">
      <c r="A1346" t="s">
        <v>776</v>
      </c>
      <c r="B1346" t="s">
        <v>339</v>
      </c>
      <c r="C1346" t="s">
        <v>16</v>
      </c>
      <c r="D1346">
        <v>1</v>
      </c>
      <c r="E1346">
        <v>17</v>
      </c>
      <c r="F1346" t="s">
        <v>446</v>
      </c>
      <c r="G1346">
        <v>18</v>
      </c>
      <c r="H1346" t="s">
        <v>18</v>
      </c>
      <c r="I1346">
        <v>9</v>
      </c>
      <c r="J1346">
        <v>24.9</v>
      </c>
      <c r="K1346">
        <v>3</v>
      </c>
      <c r="L1346">
        <v>2</v>
      </c>
      <c r="M1346">
        <v>20</v>
      </c>
      <c r="N1346" t="s">
        <v>190</v>
      </c>
    </row>
    <row r="1347" spans="1:14" x14ac:dyDescent="0.35">
      <c r="A1347" t="s">
        <v>776</v>
      </c>
      <c r="B1347" t="s">
        <v>449</v>
      </c>
      <c r="C1347" t="s">
        <v>29</v>
      </c>
      <c r="D1347">
        <v>0</v>
      </c>
      <c r="E1347">
        <v>3</v>
      </c>
      <c r="F1347" t="s">
        <v>170</v>
      </c>
      <c r="G1347">
        <v>3</v>
      </c>
      <c r="H1347" t="s">
        <v>157</v>
      </c>
      <c r="I1347">
        <v>15</v>
      </c>
      <c r="J1347">
        <v>22.3</v>
      </c>
      <c r="K1347">
        <v>2</v>
      </c>
      <c r="L1347">
        <v>4</v>
      </c>
      <c r="M1347">
        <v>7</v>
      </c>
      <c r="N1347" t="s">
        <v>457</v>
      </c>
    </row>
    <row r="1348" spans="1:14" x14ac:dyDescent="0.35">
      <c r="A1348" t="s">
        <v>776</v>
      </c>
      <c r="B1348" t="s">
        <v>530</v>
      </c>
      <c r="C1348" t="s">
        <v>16</v>
      </c>
      <c r="D1348">
        <v>0</v>
      </c>
      <c r="E1348">
        <v>19</v>
      </c>
      <c r="F1348" t="s">
        <v>174</v>
      </c>
      <c r="G1348">
        <v>18</v>
      </c>
      <c r="H1348" t="s">
        <v>18</v>
      </c>
      <c r="I1348">
        <v>11</v>
      </c>
      <c r="J1348">
        <v>32.6</v>
      </c>
      <c r="K1348">
        <v>1</v>
      </c>
      <c r="L1348">
        <v>4</v>
      </c>
      <c r="M1348">
        <v>22</v>
      </c>
      <c r="N1348" t="s">
        <v>532</v>
      </c>
    </row>
    <row r="1349" spans="1:14" x14ac:dyDescent="0.35">
      <c r="A1349" t="s">
        <v>776</v>
      </c>
      <c r="B1349" t="s">
        <v>177</v>
      </c>
      <c r="C1349" t="s">
        <v>16</v>
      </c>
      <c r="D1349">
        <v>1</v>
      </c>
      <c r="E1349">
        <v>17</v>
      </c>
      <c r="F1349" t="s">
        <v>344</v>
      </c>
      <c r="G1349">
        <v>18</v>
      </c>
      <c r="H1349" t="s">
        <v>18</v>
      </c>
      <c r="I1349">
        <v>8</v>
      </c>
      <c r="J1349">
        <v>34.1</v>
      </c>
      <c r="K1349">
        <v>4</v>
      </c>
      <c r="L1349">
        <v>1</v>
      </c>
      <c r="M1349">
        <v>19</v>
      </c>
      <c r="N1349" t="s">
        <v>740</v>
      </c>
    </row>
    <row r="1350" spans="1:14" x14ac:dyDescent="0.35">
      <c r="A1350" t="s">
        <v>776</v>
      </c>
      <c r="B1350" t="s">
        <v>337</v>
      </c>
      <c r="C1350" t="s">
        <v>29</v>
      </c>
      <c r="D1350">
        <v>0</v>
      </c>
      <c r="E1350">
        <v>6</v>
      </c>
      <c r="F1350" t="s">
        <v>180</v>
      </c>
      <c r="G1350">
        <v>6</v>
      </c>
      <c r="H1350" t="s">
        <v>157</v>
      </c>
      <c r="I1350">
        <v>15</v>
      </c>
      <c r="J1350">
        <v>16.2</v>
      </c>
      <c r="K1350">
        <v>3</v>
      </c>
      <c r="L1350">
        <v>3</v>
      </c>
      <c r="M1350">
        <v>9</v>
      </c>
      <c r="N1350" t="s">
        <v>195</v>
      </c>
    </row>
    <row r="1351" spans="1:14" x14ac:dyDescent="0.35">
      <c r="A1351" t="s">
        <v>776</v>
      </c>
      <c r="B1351" t="s">
        <v>182</v>
      </c>
      <c r="C1351" t="s">
        <v>16</v>
      </c>
      <c r="D1351">
        <v>0</v>
      </c>
      <c r="E1351">
        <v>14</v>
      </c>
      <c r="F1351" t="s">
        <v>192</v>
      </c>
      <c r="G1351">
        <v>14</v>
      </c>
      <c r="H1351" t="s">
        <v>157</v>
      </c>
      <c r="I1351">
        <v>15</v>
      </c>
      <c r="J1351">
        <v>28.5</v>
      </c>
      <c r="K1351">
        <v>3</v>
      </c>
      <c r="L1351">
        <v>2</v>
      </c>
      <c r="M1351">
        <v>16</v>
      </c>
      <c r="N1351" t="s">
        <v>199</v>
      </c>
    </row>
    <row r="1352" spans="1:14" x14ac:dyDescent="0.35">
      <c r="A1352" t="s">
        <v>776</v>
      </c>
      <c r="B1352" t="s">
        <v>345</v>
      </c>
      <c r="C1352" t="s">
        <v>29</v>
      </c>
      <c r="D1352">
        <v>0</v>
      </c>
      <c r="E1352">
        <v>4</v>
      </c>
      <c r="F1352" t="s">
        <v>195</v>
      </c>
      <c r="G1352">
        <v>4</v>
      </c>
      <c r="H1352" t="s">
        <v>157</v>
      </c>
      <c r="I1352">
        <v>15</v>
      </c>
      <c r="J1352">
        <v>28</v>
      </c>
      <c r="K1352">
        <v>3</v>
      </c>
      <c r="L1352">
        <v>2</v>
      </c>
      <c r="M1352">
        <v>6</v>
      </c>
      <c r="N1352" t="s">
        <v>540</v>
      </c>
    </row>
    <row r="1353" spans="1:14" x14ac:dyDescent="0.35">
      <c r="A1353" t="s">
        <v>776</v>
      </c>
      <c r="B1353" t="s">
        <v>342</v>
      </c>
      <c r="C1353" t="s">
        <v>16</v>
      </c>
      <c r="D1353">
        <v>0</v>
      </c>
      <c r="E1353">
        <v>11</v>
      </c>
      <c r="F1353" t="s">
        <v>740</v>
      </c>
      <c r="G1353">
        <v>11</v>
      </c>
      <c r="H1353" t="s">
        <v>157</v>
      </c>
      <c r="I1353">
        <v>15</v>
      </c>
      <c r="J1353">
        <v>27</v>
      </c>
      <c r="K1353">
        <v>4</v>
      </c>
      <c r="L1353">
        <v>0</v>
      </c>
      <c r="M1353">
        <v>11</v>
      </c>
      <c r="N1353" t="s">
        <v>460</v>
      </c>
    </row>
    <row r="1354" spans="1:14" x14ac:dyDescent="0.35">
      <c r="A1354" t="s">
        <v>776</v>
      </c>
      <c r="B1354" t="s">
        <v>532</v>
      </c>
      <c r="C1354" t="s">
        <v>29</v>
      </c>
      <c r="D1354">
        <v>0</v>
      </c>
      <c r="E1354">
        <v>3</v>
      </c>
      <c r="F1354" t="s">
        <v>201</v>
      </c>
      <c r="G1354">
        <v>3</v>
      </c>
      <c r="H1354" t="s">
        <v>157</v>
      </c>
      <c r="I1354">
        <v>15</v>
      </c>
      <c r="J1354">
        <v>24.8</v>
      </c>
      <c r="K1354">
        <v>4</v>
      </c>
      <c r="L1354">
        <v>1</v>
      </c>
      <c r="M1354">
        <v>4</v>
      </c>
      <c r="N1354" t="s">
        <v>708</v>
      </c>
    </row>
    <row r="1355" spans="1:14" x14ac:dyDescent="0.35">
      <c r="A1355" t="s">
        <v>776</v>
      </c>
      <c r="B1355" t="s">
        <v>346</v>
      </c>
      <c r="C1355" t="s">
        <v>16</v>
      </c>
      <c r="D1355">
        <v>0</v>
      </c>
      <c r="E1355">
        <v>17</v>
      </c>
      <c r="F1355" t="s">
        <v>627</v>
      </c>
      <c r="G1355">
        <v>17</v>
      </c>
      <c r="H1355" t="s">
        <v>157</v>
      </c>
      <c r="I1355">
        <v>15</v>
      </c>
      <c r="J1355">
        <v>27</v>
      </c>
      <c r="K1355">
        <v>1</v>
      </c>
      <c r="L1355">
        <v>0</v>
      </c>
      <c r="M1355">
        <v>17</v>
      </c>
      <c r="N1355" t="s">
        <v>710</v>
      </c>
    </row>
    <row r="1356" spans="1:14" x14ac:dyDescent="0.35">
      <c r="A1356" t="s">
        <v>776</v>
      </c>
      <c r="B1356" t="s">
        <v>456</v>
      </c>
      <c r="C1356" t="s">
        <v>29</v>
      </c>
      <c r="D1356">
        <v>0</v>
      </c>
      <c r="E1356">
        <v>4</v>
      </c>
      <c r="F1356" t="s">
        <v>538</v>
      </c>
      <c r="G1356">
        <v>4</v>
      </c>
      <c r="H1356" t="s">
        <v>157</v>
      </c>
      <c r="I1356">
        <v>15</v>
      </c>
      <c r="J1356">
        <v>24.1</v>
      </c>
      <c r="K1356">
        <v>1</v>
      </c>
      <c r="L1356">
        <v>2</v>
      </c>
      <c r="M1356">
        <v>6</v>
      </c>
      <c r="N1356" t="s">
        <v>710</v>
      </c>
    </row>
    <row r="1357" spans="1:14" x14ac:dyDescent="0.35">
      <c r="A1357" t="s">
        <v>776</v>
      </c>
      <c r="B1357" t="s">
        <v>202</v>
      </c>
      <c r="C1357" t="s">
        <v>16</v>
      </c>
      <c r="D1357">
        <v>0</v>
      </c>
      <c r="E1357">
        <v>13</v>
      </c>
      <c r="F1357" t="s">
        <v>628</v>
      </c>
      <c r="G1357">
        <v>13</v>
      </c>
      <c r="H1357" t="s">
        <v>157</v>
      </c>
      <c r="I1357">
        <v>15</v>
      </c>
      <c r="J1357">
        <v>25.9</v>
      </c>
      <c r="K1357">
        <v>1</v>
      </c>
      <c r="L1357">
        <v>3</v>
      </c>
      <c r="M1357">
        <v>16</v>
      </c>
      <c r="N1357" t="s">
        <v>689</v>
      </c>
    </row>
    <row r="1358" spans="1:14" x14ac:dyDescent="0.35">
      <c r="A1358" t="s">
        <v>776</v>
      </c>
      <c r="B1358" t="s">
        <v>207</v>
      </c>
      <c r="C1358" t="s">
        <v>16</v>
      </c>
      <c r="D1358">
        <v>0</v>
      </c>
      <c r="E1358">
        <v>9</v>
      </c>
      <c r="F1358" t="s">
        <v>208</v>
      </c>
      <c r="G1358">
        <v>9</v>
      </c>
      <c r="H1358" t="s">
        <v>157</v>
      </c>
      <c r="I1358">
        <v>15</v>
      </c>
      <c r="J1358">
        <v>29.2</v>
      </c>
      <c r="K1358">
        <v>2</v>
      </c>
      <c r="L1358">
        <v>2</v>
      </c>
      <c r="M1358">
        <v>11</v>
      </c>
      <c r="N1358" t="s">
        <v>546</v>
      </c>
    </row>
    <row r="1359" spans="1:14" x14ac:dyDescent="0.35">
      <c r="A1359" t="s">
        <v>776</v>
      </c>
      <c r="B1359" t="s">
        <v>210</v>
      </c>
      <c r="C1359" t="s">
        <v>16</v>
      </c>
      <c r="D1359">
        <v>0</v>
      </c>
      <c r="E1359">
        <v>15</v>
      </c>
      <c r="F1359" t="s">
        <v>211</v>
      </c>
      <c r="G1359">
        <v>15</v>
      </c>
      <c r="H1359" t="s">
        <v>157</v>
      </c>
      <c r="I1359">
        <v>15</v>
      </c>
      <c r="J1359">
        <v>28.4</v>
      </c>
      <c r="K1359">
        <v>2</v>
      </c>
      <c r="L1359">
        <v>3</v>
      </c>
      <c r="M1359">
        <v>18</v>
      </c>
      <c r="N1359" t="s">
        <v>548</v>
      </c>
    </row>
    <row r="1360" spans="1:14" x14ac:dyDescent="0.35">
      <c r="A1360" t="s">
        <v>776</v>
      </c>
      <c r="B1360" t="s">
        <v>541</v>
      </c>
      <c r="C1360" t="s">
        <v>16</v>
      </c>
      <c r="D1360">
        <v>0</v>
      </c>
      <c r="E1360">
        <v>9</v>
      </c>
      <c r="F1360" t="s">
        <v>214</v>
      </c>
      <c r="G1360">
        <v>9</v>
      </c>
      <c r="H1360" t="s">
        <v>157</v>
      </c>
      <c r="I1360">
        <v>15</v>
      </c>
      <c r="J1360">
        <v>28.9</v>
      </c>
      <c r="K1360">
        <v>0</v>
      </c>
      <c r="L1360">
        <v>0</v>
      </c>
      <c r="M1360">
        <v>9</v>
      </c>
      <c r="N1360" t="s">
        <v>551</v>
      </c>
    </row>
    <row r="1361" spans="1:14" x14ac:dyDescent="0.35">
      <c r="A1361" t="s">
        <v>776</v>
      </c>
      <c r="B1361" t="s">
        <v>665</v>
      </c>
      <c r="C1361" t="s">
        <v>16</v>
      </c>
      <c r="D1361">
        <v>0</v>
      </c>
      <c r="E1361">
        <v>15</v>
      </c>
      <c r="F1361" t="s">
        <v>368</v>
      </c>
      <c r="G1361">
        <v>15</v>
      </c>
      <c r="H1361" t="s">
        <v>157</v>
      </c>
      <c r="I1361">
        <v>15</v>
      </c>
      <c r="J1361">
        <v>26.5</v>
      </c>
      <c r="K1361">
        <v>2</v>
      </c>
      <c r="L1361">
        <v>2</v>
      </c>
      <c r="M1361">
        <v>17</v>
      </c>
      <c r="N1361" t="s">
        <v>376</v>
      </c>
    </row>
    <row r="1362" spans="1:14" x14ac:dyDescent="0.35">
      <c r="A1362" t="s">
        <v>776</v>
      </c>
      <c r="B1362" t="s">
        <v>666</v>
      </c>
      <c r="C1362" t="s">
        <v>16</v>
      </c>
      <c r="D1362">
        <v>0</v>
      </c>
      <c r="E1362">
        <v>15</v>
      </c>
      <c r="F1362" t="s">
        <v>667</v>
      </c>
      <c r="G1362">
        <v>15</v>
      </c>
      <c r="H1362" t="s">
        <v>157</v>
      </c>
      <c r="I1362">
        <v>15</v>
      </c>
      <c r="J1362">
        <v>29.6</v>
      </c>
      <c r="K1362">
        <v>2</v>
      </c>
      <c r="L1362">
        <v>2</v>
      </c>
      <c r="M1362">
        <v>17</v>
      </c>
      <c r="N1362" t="s">
        <v>605</v>
      </c>
    </row>
    <row r="1363" spans="1:14" x14ac:dyDescent="0.35">
      <c r="A1363" t="s">
        <v>776</v>
      </c>
      <c r="B1363" t="s">
        <v>599</v>
      </c>
      <c r="C1363" t="s">
        <v>16</v>
      </c>
      <c r="D1363">
        <v>0</v>
      </c>
      <c r="E1363">
        <v>13</v>
      </c>
      <c r="F1363" t="s">
        <v>668</v>
      </c>
      <c r="G1363">
        <v>13</v>
      </c>
      <c r="H1363" t="s">
        <v>157</v>
      </c>
      <c r="I1363">
        <v>15</v>
      </c>
      <c r="J1363">
        <v>29.2</v>
      </c>
      <c r="K1363">
        <v>1</v>
      </c>
      <c r="L1363">
        <v>3</v>
      </c>
      <c r="M1363">
        <v>16</v>
      </c>
      <c r="N1363" t="s">
        <v>480</v>
      </c>
    </row>
    <row r="1364" spans="1:14" x14ac:dyDescent="0.35">
      <c r="A1364" t="s">
        <v>776</v>
      </c>
      <c r="B1364" t="s">
        <v>226</v>
      </c>
      <c r="C1364" t="s">
        <v>16</v>
      </c>
      <c r="D1364">
        <v>0</v>
      </c>
      <c r="E1364">
        <v>14</v>
      </c>
      <c r="F1364" t="s">
        <v>728</v>
      </c>
      <c r="G1364">
        <v>14</v>
      </c>
      <c r="H1364" t="s">
        <v>157</v>
      </c>
      <c r="I1364">
        <v>15</v>
      </c>
      <c r="J1364">
        <v>31.1</v>
      </c>
      <c r="K1364">
        <v>1</v>
      </c>
      <c r="L1364">
        <v>2</v>
      </c>
      <c r="M1364">
        <v>16</v>
      </c>
      <c r="N1364" t="s">
        <v>731</v>
      </c>
    </row>
    <row r="1365" spans="1:14" x14ac:dyDescent="0.35">
      <c r="A1365" t="s">
        <v>776</v>
      </c>
      <c r="B1365" t="s">
        <v>231</v>
      </c>
      <c r="C1365" t="s">
        <v>16</v>
      </c>
      <c r="D1365">
        <v>0</v>
      </c>
      <c r="E1365">
        <v>7</v>
      </c>
      <c r="F1365" t="s">
        <v>232</v>
      </c>
      <c r="G1365">
        <v>7</v>
      </c>
      <c r="H1365" t="s">
        <v>157</v>
      </c>
      <c r="I1365">
        <v>15</v>
      </c>
      <c r="J1365">
        <v>27</v>
      </c>
      <c r="K1365">
        <v>3</v>
      </c>
      <c r="L1365">
        <v>0</v>
      </c>
      <c r="M1365">
        <v>7</v>
      </c>
      <c r="N1365" t="s">
        <v>384</v>
      </c>
    </row>
    <row r="1366" spans="1:14" x14ac:dyDescent="0.35">
      <c r="A1366" t="s">
        <v>776</v>
      </c>
      <c r="B1366" t="s">
        <v>234</v>
      </c>
      <c r="C1366" t="s">
        <v>16</v>
      </c>
      <c r="D1366">
        <v>0</v>
      </c>
      <c r="E1366">
        <v>14</v>
      </c>
      <c r="F1366" t="s">
        <v>235</v>
      </c>
      <c r="G1366">
        <v>14</v>
      </c>
      <c r="H1366" t="s">
        <v>157</v>
      </c>
      <c r="I1366">
        <v>15</v>
      </c>
      <c r="J1366">
        <v>25.2</v>
      </c>
      <c r="K1366">
        <v>3</v>
      </c>
      <c r="L1366">
        <v>3</v>
      </c>
      <c r="M1366">
        <v>17</v>
      </c>
      <c r="N1366" t="s">
        <v>488</v>
      </c>
    </row>
    <row r="1367" spans="1:14" x14ac:dyDescent="0.35">
      <c r="A1367" t="s">
        <v>776</v>
      </c>
      <c r="B1367" t="s">
        <v>388</v>
      </c>
      <c r="C1367" t="s">
        <v>16</v>
      </c>
      <c r="D1367">
        <v>0</v>
      </c>
      <c r="E1367">
        <v>11</v>
      </c>
      <c r="F1367" t="s">
        <v>389</v>
      </c>
      <c r="G1367">
        <v>11</v>
      </c>
      <c r="H1367" t="s">
        <v>157</v>
      </c>
      <c r="I1367">
        <v>15</v>
      </c>
      <c r="J1367">
        <v>25.9</v>
      </c>
      <c r="K1367">
        <v>3</v>
      </c>
      <c r="L1367">
        <v>0</v>
      </c>
      <c r="M1367">
        <v>11</v>
      </c>
      <c r="N1367" t="s">
        <v>390</v>
      </c>
    </row>
    <row r="1368" spans="1:14" x14ac:dyDescent="0.35">
      <c r="A1368" t="s">
        <v>776</v>
      </c>
      <c r="B1368" t="s">
        <v>238</v>
      </c>
      <c r="C1368" t="s">
        <v>16</v>
      </c>
      <c r="D1368">
        <v>0</v>
      </c>
      <c r="E1368">
        <v>12</v>
      </c>
      <c r="F1368" t="s">
        <v>637</v>
      </c>
      <c r="G1368">
        <v>12</v>
      </c>
      <c r="H1368" t="s">
        <v>157</v>
      </c>
      <c r="I1368">
        <v>15</v>
      </c>
      <c r="J1368">
        <v>26.7</v>
      </c>
      <c r="K1368">
        <v>3</v>
      </c>
      <c r="L1368">
        <v>3</v>
      </c>
      <c r="M1368">
        <v>15</v>
      </c>
      <c r="N1368" t="s">
        <v>491</v>
      </c>
    </row>
    <row r="1369" spans="1:14" x14ac:dyDescent="0.35">
      <c r="A1369" t="s">
        <v>776</v>
      </c>
      <c r="B1369" t="s">
        <v>754</v>
      </c>
      <c r="C1369" t="s">
        <v>16</v>
      </c>
      <c r="D1369">
        <v>0</v>
      </c>
      <c r="E1369">
        <v>14</v>
      </c>
      <c r="F1369" t="s">
        <v>762</v>
      </c>
      <c r="G1369">
        <v>14</v>
      </c>
      <c r="H1369" t="s">
        <v>157</v>
      </c>
      <c r="I1369">
        <v>15</v>
      </c>
      <c r="J1369">
        <v>27.9</v>
      </c>
      <c r="K1369">
        <v>0</v>
      </c>
      <c r="L1369">
        <v>0</v>
      </c>
      <c r="M1369">
        <v>14</v>
      </c>
      <c r="N1369" t="s">
        <v>763</v>
      </c>
    </row>
    <row r="1370" spans="1:14" x14ac:dyDescent="0.35">
      <c r="A1370" t="s">
        <v>776</v>
      </c>
      <c r="B1370" t="s">
        <v>487</v>
      </c>
      <c r="C1370" t="s">
        <v>16</v>
      </c>
      <c r="D1370">
        <v>0</v>
      </c>
      <c r="E1370">
        <v>18</v>
      </c>
      <c r="F1370" t="s">
        <v>779</v>
      </c>
      <c r="G1370">
        <v>18</v>
      </c>
      <c r="H1370" t="s">
        <v>18</v>
      </c>
      <c r="I1370">
        <v>12</v>
      </c>
      <c r="J1370">
        <v>30.2</v>
      </c>
      <c r="K1370">
        <v>3</v>
      </c>
      <c r="L1370">
        <v>2</v>
      </c>
      <c r="M1370">
        <v>20</v>
      </c>
      <c r="N1370" t="s">
        <v>494</v>
      </c>
    </row>
    <row r="1371" spans="1:14" x14ac:dyDescent="0.35">
      <c r="A1371" t="s">
        <v>776</v>
      </c>
      <c r="B1371" t="s">
        <v>249</v>
      </c>
      <c r="C1371" t="s">
        <v>16</v>
      </c>
      <c r="D1371">
        <v>0</v>
      </c>
      <c r="E1371">
        <v>16</v>
      </c>
      <c r="F1371" t="s">
        <v>250</v>
      </c>
      <c r="G1371">
        <v>16</v>
      </c>
      <c r="H1371" t="s">
        <v>157</v>
      </c>
      <c r="I1371">
        <v>15</v>
      </c>
      <c r="J1371">
        <v>31.8</v>
      </c>
      <c r="K1371">
        <v>2</v>
      </c>
      <c r="L1371">
        <v>1</v>
      </c>
      <c r="M1371">
        <v>17</v>
      </c>
      <c r="N1371" t="s">
        <v>780</v>
      </c>
    </row>
    <row r="1372" spans="1:14" x14ac:dyDescent="0.35">
      <c r="A1372" t="s">
        <v>781</v>
      </c>
      <c r="B1372" t="s">
        <v>15</v>
      </c>
      <c r="C1372" t="s">
        <v>16</v>
      </c>
      <c r="D1372">
        <v>0</v>
      </c>
      <c r="E1372">
        <v>22</v>
      </c>
      <c r="F1372" t="s">
        <v>20</v>
      </c>
      <c r="G1372">
        <v>18</v>
      </c>
      <c r="H1372" t="s">
        <v>18</v>
      </c>
      <c r="I1372">
        <v>4</v>
      </c>
      <c r="J1372">
        <v>26.7</v>
      </c>
      <c r="K1372">
        <v>2</v>
      </c>
      <c r="L1372">
        <v>4</v>
      </c>
      <c r="M1372">
        <v>22</v>
      </c>
      <c r="N1372" t="s">
        <v>41</v>
      </c>
    </row>
    <row r="1373" spans="1:14" x14ac:dyDescent="0.35">
      <c r="A1373" t="s">
        <v>781</v>
      </c>
      <c r="B1373" t="s">
        <v>254</v>
      </c>
      <c r="C1373" t="s">
        <v>16</v>
      </c>
      <c r="D1373">
        <v>4</v>
      </c>
      <c r="E1373">
        <v>15</v>
      </c>
      <c r="F1373" t="s">
        <v>404</v>
      </c>
      <c r="G1373">
        <v>18</v>
      </c>
      <c r="H1373" t="s">
        <v>18</v>
      </c>
      <c r="I1373">
        <v>4</v>
      </c>
      <c r="J1373">
        <v>23.6</v>
      </c>
      <c r="K1373">
        <v>1</v>
      </c>
      <c r="L1373">
        <v>6</v>
      </c>
      <c r="M1373">
        <v>24</v>
      </c>
      <c r="N1373" t="s">
        <v>19</v>
      </c>
    </row>
    <row r="1374" spans="1:14" x14ac:dyDescent="0.35">
      <c r="A1374" t="s">
        <v>781</v>
      </c>
      <c r="B1374" t="s">
        <v>24</v>
      </c>
      <c r="C1374" t="s">
        <v>16</v>
      </c>
      <c r="D1374">
        <v>1</v>
      </c>
      <c r="E1374">
        <v>17</v>
      </c>
      <c r="F1374" t="s">
        <v>256</v>
      </c>
      <c r="G1374">
        <v>18</v>
      </c>
      <c r="H1374" t="s">
        <v>18</v>
      </c>
      <c r="I1374">
        <v>3</v>
      </c>
      <c r="J1374">
        <v>25.6</v>
      </c>
      <c r="K1374">
        <v>4</v>
      </c>
      <c r="L1374">
        <v>4</v>
      </c>
      <c r="M1374">
        <v>22</v>
      </c>
      <c r="N1374" t="s">
        <v>501</v>
      </c>
    </row>
    <row r="1375" spans="1:14" x14ac:dyDescent="0.35">
      <c r="A1375" t="s">
        <v>781</v>
      </c>
      <c r="B1375" t="s">
        <v>15</v>
      </c>
      <c r="C1375" t="s">
        <v>29</v>
      </c>
      <c r="D1375">
        <v>0</v>
      </c>
      <c r="E1375">
        <v>19</v>
      </c>
      <c r="F1375" t="s">
        <v>256</v>
      </c>
      <c r="G1375">
        <v>18</v>
      </c>
      <c r="H1375" t="s">
        <v>18</v>
      </c>
      <c r="I1375">
        <v>13</v>
      </c>
      <c r="J1375">
        <v>23</v>
      </c>
      <c r="K1375">
        <v>0</v>
      </c>
      <c r="L1375">
        <v>0</v>
      </c>
      <c r="M1375">
        <v>18</v>
      </c>
      <c r="N1375" t="s">
        <v>503</v>
      </c>
    </row>
    <row r="1376" spans="1:14" x14ac:dyDescent="0.35">
      <c r="A1376" t="s">
        <v>781</v>
      </c>
      <c r="B1376" t="s">
        <v>263</v>
      </c>
      <c r="C1376" t="s">
        <v>16</v>
      </c>
      <c r="D1376">
        <v>0</v>
      </c>
      <c r="E1376">
        <v>18</v>
      </c>
      <c r="F1376" t="s">
        <v>499</v>
      </c>
      <c r="G1376">
        <v>18</v>
      </c>
      <c r="H1376" t="s">
        <v>18</v>
      </c>
      <c r="I1376">
        <v>4</v>
      </c>
      <c r="J1376">
        <v>28.4</v>
      </c>
      <c r="K1376">
        <v>2</v>
      </c>
      <c r="L1376">
        <v>4</v>
      </c>
      <c r="M1376">
        <v>22</v>
      </c>
      <c r="N1376" t="s">
        <v>618</v>
      </c>
    </row>
    <row r="1377" spans="1:14" x14ac:dyDescent="0.35">
      <c r="A1377" t="s">
        <v>781</v>
      </c>
      <c r="B1377" t="s">
        <v>260</v>
      </c>
      <c r="C1377" t="s">
        <v>16</v>
      </c>
      <c r="D1377">
        <v>0</v>
      </c>
      <c r="E1377">
        <v>21</v>
      </c>
      <c r="F1377" t="s">
        <v>34</v>
      </c>
      <c r="G1377">
        <v>18</v>
      </c>
      <c r="H1377" t="s">
        <v>18</v>
      </c>
      <c r="I1377">
        <v>6</v>
      </c>
      <c r="J1377">
        <v>25.7</v>
      </c>
      <c r="K1377">
        <v>1</v>
      </c>
      <c r="L1377">
        <v>2</v>
      </c>
      <c r="M1377">
        <v>20</v>
      </c>
      <c r="N1377" t="s">
        <v>262</v>
      </c>
    </row>
    <row r="1378" spans="1:14" x14ac:dyDescent="0.35">
      <c r="A1378" t="s">
        <v>781</v>
      </c>
      <c r="B1378" t="s">
        <v>38</v>
      </c>
      <c r="C1378" t="s">
        <v>16</v>
      </c>
      <c r="D1378">
        <v>3</v>
      </c>
      <c r="E1378">
        <v>16</v>
      </c>
      <c r="F1378" t="s">
        <v>50</v>
      </c>
      <c r="G1378">
        <v>18</v>
      </c>
      <c r="H1378" t="s">
        <v>18</v>
      </c>
      <c r="I1378">
        <v>2</v>
      </c>
      <c r="J1378">
        <v>27.8</v>
      </c>
      <c r="K1378">
        <v>4</v>
      </c>
      <c r="L1378">
        <v>4</v>
      </c>
      <c r="M1378">
        <v>22</v>
      </c>
      <c r="N1378" t="s">
        <v>40</v>
      </c>
    </row>
    <row r="1379" spans="1:14" x14ac:dyDescent="0.35">
      <c r="A1379" t="s">
        <v>781</v>
      </c>
      <c r="B1379" t="s">
        <v>263</v>
      </c>
      <c r="C1379" t="s">
        <v>29</v>
      </c>
      <c r="D1379">
        <v>1</v>
      </c>
      <c r="E1379">
        <v>17</v>
      </c>
      <c r="F1379" t="s">
        <v>41</v>
      </c>
      <c r="G1379">
        <v>18</v>
      </c>
      <c r="H1379" t="s">
        <v>18</v>
      </c>
      <c r="I1379">
        <v>16</v>
      </c>
      <c r="J1379">
        <v>20.2</v>
      </c>
      <c r="K1379">
        <v>1</v>
      </c>
      <c r="L1379">
        <v>3</v>
      </c>
      <c r="M1379">
        <v>21</v>
      </c>
      <c r="N1379" t="s">
        <v>262</v>
      </c>
    </row>
    <row r="1380" spans="1:14" x14ac:dyDescent="0.35">
      <c r="A1380" t="s">
        <v>781</v>
      </c>
      <c r="B1380" t="s">
        <v>39</v>
      </c>
      <c r="C1380" t="s">
        <v>16</v>
      </c>
      <c r="D1380">
        <v>1</v>
      </c>
      <c r="E1380">
        <v>17</v>
      </c>
      <c r="F1380" t="s">
        <v>497</v>
      </c>
      <c r="G1380">
        <v>18</v>
      </c>
      <c r="H1380" t="s">
        <v>18</v>
      </c>
      <c r="I1380">
        <v>13</v>
      </c>
      <c r="J1380">
        <v>28.1</v>
      </c>
      <c r="K1380">
        <v>3</v>
      </c>
      <c r="L1380">
        <v>3</v>
      </c>
      <c r="M1380">
        <v>21</v>
      </c>
      <c r="N1380" t="s">
        <v>55</v>
      </c>
    </row>
    <row r="1381" spans="1:14" x14ac:dyDescent="0.35">
      <c r="A1381" t="s">
        <v>781</v>
      </c>
      <c r="B1381" t="s">
        <v>408</v>
      </c>
      <c r="C1381" t="s">
        <v>16</v>
      </c>
      <c r="D1381">
        <v>0</v>
      </c>
      <c r="E1381">
        <v>19</v>
      </c>
      <c r="F1381" t="s">
        <v>500</v>
      </c>
      <c r="G1381">
        <v>18</v>
      </c>
      <c r="H1381" t="s">
        <v>18</v>
      </c>
      <c r="I1381">
        <v>11</v>
      </c>
      <c r="J1381">
        <v>28.6</v>
      </c>
      <c r="K1381">
        <v>2</v>
      </c>
      <c r="L1381">
        <v>3</v>
      </c>
      <c r="M1381">
        <v>21</v>
      </c>
      <c r="N1381" t="s">
        <v>51</v>
      </c>
    </row>
    <row r="1382" spans="1:14" x14ac:dyDescent="0.35">
      <c r="A1382" t="s">
        <v>781</v>
      </c>
      <c r="B1382" t="s">
        <v>40</v>
      </c>
      <c r="C1382" t="s">
        <v>16</v>
      </c>
      <c r="D1382">
        <v>1</v>
      </c>
      <c r="E1382">
        <v>20</v>
      </c>
      <c r="F1382" t="s">
        <v>269</v>
      </c>
      <c r="G1382">
        <v>18</v>
      </c>
      <c r="H1382" t="s">
        <v>18</v>
      </c>
      <c r="I1382">
        <v>7</v>
      </c>
      <c r="J1382">
        <v>27</v>
      </c>
      <c r="K1382">
        <v>4</v>
      </c>
      <c r="L1382">
        <v>4</v>
      </c>
      <c r="M1382">
        <v>22</v>
      </c>
      <c r="N1382" t="s">
        <v>279</v>
      </c>
    </row>
    <row r="1383" spans="1:14" x14ac:dyDescent="0.35">
      <c r="A1383" t="s">
        <v>781</v>
      </c>
      <c r="B1383" t="s">
        <v>48</v>
      </c>
      <c r="C1383" t="s">
        <v>16</v>
      </c>
      <c r="D1383">
        <v>3</v>
      </c>
      <c r="E1383">
        <v>21</v>
      </c>
      <c r="F1383" t="s">
        <v>411</v>
      </c>
      <c r="G1383">
        <v>18</v>
      </c>
      <c r="H1383" t="s">
        <v>18</v>
      </c>
      <c r="I1383">
        <v>3</v>
      </c>
      <c r="J1383">
        <v>26.4</v>
      </c>
      <c r="K1383">
        <v>2</v>
      </c>
      <c r="L1383">
        <v>3</v>
      </c>
      <c r="M1383">
        <v>21</v>
      </c>
      <c r="N1383" t="s">
        <v>410</v>
      </c>
    </row>
    <row r="1384" spans="1:14" x14ac:dyDescent="0.35">
      <c r="A1384" t="s">
        <v>781</v>
      </c>
      <c r="B1384" t="s">
        <v>270</v>
      </c>
      <c r="C1384" t="s">
        <v>16</v>
      </c>
      <c r="D1384">
        <v>6</v>
      </c>
      <c r="E1384">
        <v>15</v>
      </c>
      <c r="F1384" t="s">
        <v>55</v>
      </c>
      <c r="G1384">
        <v>18</v>
      </c>
      <c r="H1384" t="s">
        <v>18</v>
      </c>
      <c r="I1384">
        <v>3</v>
      </c>
      <c r="J1384">
        <v>26.5</v>
      </c>
      <c r="K1384">
        <v>4</v>
      </c>
      <c r="L1384">
        <v>5</v>
      </c>
      <c r="M1384">
        <v>23</v>
      </c>
      <c r="N1384" t="s">
        <v>271</v>
      </c>
    </row>
    <row r="1385" spans="1:14" x14ac:dyDescent="0.35">
      <c r="A1385" t="s">
        <v>781</v>
      </c>
      <c r="B1385" t="s">
        <v>253</v>
      </c>
      <c r="C1385" t="s">
        <v>29</v>
      </c>
      <c r="D1385">
        <v>0</v>
      </c>
      <c r="E1385">
        <v>18</v>
      </c>
      <c r="F1385" t="s">
        <v>273</v>
      </c>
      <c r="G1385">
        <v>18</v>
      </c>
      <c r="H1385" t="s">
        <v>18</v>
      </c>
      <c r="I1385">
        <v>40</v>
      </c>
      <c r="J1385">
        <v>19.2</v>
      </c>
      <c r="K1385">
        <v>4</v>
      </c>
      <c r="L1385">
        <v>4</v>
      </c>
      <c r="M1385">
        <v>22</v>
      </c>
      <c r="N1385" t="s">
        <v>280</v>
      </c>
    </row>
    <row r="1386" spans="1:14" x14ac:dyDescent="0.35">
      <c r="A1386" t="s">
        <v>781</v>
      </c>
      <c r="B1386" t="s">
        <v>273</v>
      </c>
      <c r="C1386" t="s">
        <v>16</v>
      </c>
      <c r="D1386">
        <v>3</v>
      </c>
      <c r="E1386">
        <v>17</v>
      </c>
      <c r="F1386" t="s">
        <v>274</v>
      </c>
      <c r="G1386">
        <v>18</v>
      </c>
      <c r="H1386" t="s">
        <v>18</v>
      </c>
      <c r="I1386">
        <v>4</v>
      </c>
      <c r="J1386">
        <v>27.7</v>
      </c>
      <c r="K1386">
        <v>4</v>
      </c>
      <c r="L1386">
        <v>2</v>
      </c>
      <c r="M1386">
        <v>20</v>
      </c>
      <c r="N1386" t="s">
        <v>505</v>
      </c>
    </row>
    <row r="1387" spans="1:14" x14ac:dyDescent="0.35">
      <c r="A1387" t="s">
        <v>781</v>
      </c>
      <c r="B1387" t="s">
        <v>59</v>
      </c>
      <c r="C1387" t="s">
        <v>16</v>
      </c>
      <c r="D1387">
        <v>2</v>
      </c>
      <c r="E1387">
        <v>18</v>
      </c>
      <c r="F1387" t="s">
        <v>63</v>
      </c>
      <c r="G1387">
        <v>18</v>
      </c>
      <c r="H1387" t="s">
        <v>18</v>
      </c>
      <c r="I1387">
        <v>4</v>
      </c>
      <c r="J1387">
        <v>30.6</v>
      </c>
      <c r="K1387">
        <v>1</v>
      </c>
      <c r="L1387">
        <v>3</v>
      </c>
      <c r="M1387">
        <v>21</v>
      </c>
      <c r="N1387" t="s">
        <v>276</v>
      </c>
    </row>
    <row r="1388" spans="1:14" x14ac:dyDescent="0.35">
      <c r="A1388" t="s">
        <v>781</v>
      </c>
      <c r="B1388" t="s">
        <v>56</v>
      </c>
      <c r="C1388" t="s">
        <v>29</v>
      </c>
      <c r="D1388">
        <v>0</v>
      </c>
      <c r="E1388">
        <v>18</v>
      </c>
      <c r="F1388" t="s">
        <v>51</v>
      </c>
      <c r="G1388">
        <v>18</v>
      </c>
      <c r="H1388" t="s">
        <v>18</v>
      </c>
      <c r="I1388">
        <v>10</v>
      </c>
      <c r="J1388">
        <v>24.5</v>
      </c>
      <c r="K1388">
        <v>1</v>
      </c>
      <c r="L1388">
        <v>4</v>
      </c>
      <c r="M1388">
        <v>22</v>
      </c>
      <c r="N1388" t="s">
        <v>275</v>
      </c>
    </row>
    <row r="1389" spans="1:14" x14ac:dyDescent="0.35">
      <c r="A1389" t="s">
        <v>781</v>
      </c>
      <c r="B1389" t="s">
        <v>277</v>
      </c>
      <c r="C1389" t="s">
        <v>16</v>
      </c>
      <c r="D1389">
        <v>2</v>
      </c>
      <c r="E1389">
        <v>16</v>
      </c>
      <c r="F1389" t="s">
        <v>65</v>
      </c>
      <c r="G1389">
        <v>18</v>
      </c>
      <c r="H1389" t="s">
        <v>18</v>
      </c>
      <c r="I1389">
        <v>4</v>
      </c>
      <c r="J1389">
        <v>30.5</v>
      </c>
      <c r="K1389">
        <v>2</v>
      </c>
      <c r="L1389">
        <v>3</v>
      </c>
      <c r="M1389">
        <v>21</v>
      </c>
      <c r="N1389" t="s">
        <v>416</v>
      </c>
    </row>
    <row r="1390" spans="1:14" x14ac:dyDescent="0.35">
      <c r="A1390" t="s">
        <v>781</v>
      </c>
      <c r="B1390" t="s">
        <v>68</v>
      </c>
      <c r="C1390" t="s">
        <v>16</v>
      </c>
      <c r="D1390">
        <v>0</v>
      </c>
      <c r="E1390">
        <v>18</v>
      </c>
      <c r="F1390" t="s">
        <v>280</v>
      </c>
      <c r="G1390">
        <v>18</v>
      </c>
      <c r="H1390" t="s">
        <v>18</v>
      </c>
      <c r="I1390">
        <v>4</v>
      </c>
      <c r="J1390">
        <v>24.4</v>
      </c>
      <c r="K1390">
        <v>3</v>
      </c>
      <c r="L1390">
        <v>3</v>
      </c>
      <c r="M1390">
        <v>21</v>
      </c>
      <c r="N1390" t="s">
        <v>578</v>
      </c>
    </row>
    <row r="1391" spans="1:14" x14ac:dyDescent="0.35">
      <c r="A1391" t="s">
        <v>781</v>
      </c>
      <c r="B1391" t="s">
        <v>268</v>
      </c>
      <c r="C1391" t="s">
        <v>16</v>
      </c>
      <c r="D1391">
        <v>0</v>
      </c>
      <c r="E1391">
        <v>20</v>
      </c>
      <c r="F1391" t="s">
        <v>72</v>
      </c>
      <c r="G1391">
        <v>18</v>
      </c>
      <c r="H1391" t="s">
        <v>18</v>
      </c>
      <c r="I1391">
        <v>14</v>
      </c>
      <c r="J1391">
        <v>35.200000000000003</v>
      </c>
      <c r="K1391">
        <v>3</v>
      </c>
      <c r="L1391">
        <v>3</v>
      </c>
      <c r="M1391">
        <v>21</v>
      </c>
      <c r="N1391" t="s">
        <v>88</v>
      </c>
    </row>
    <row r="1392" spans="1:14" x14ac:dyDescent="0.35">
      <c r="A1392" t="s">
        <v>781</v>
      </c>
      <c r="B1392" t="s">
        <v>275</v>
      </c>
      <c r="C1392" t="s">
        <v>16</v>
      </c>
      <c r="D1392">
        <v>2</v>
      </c>
      <c r="E1392">
        <v>16</v>
      </c>
      <c r="F1392" t="s">
        <v>284</v>
      </c>
      <c r="G1392">
        <v>18</v>
      </c>
      <c r="H1392" t="s">
        <v>18</v>
      </c>
      <c r="I1392">
        <v>10</v>
      </c>
      <c r="J1392">
        <v>29</v>
      </c>
      <c r="K1392">
        <v>3</v>
      </c>
      <c r="L1392">
        <v>3</v>
      </c>
      <c r="M1392">
        <v>21</v>
      </c>
      <c r="N1392" t="s">
        <v>420</v>
      </c>
    </row>
    <row r="1393" spans="1:14" x14ac:dyDescent="0.35">
      <c r="A1393" t="s">
        <v>781</v>
      </c>
      <c r="B1393" t="s">
        <v>67</v>
      </c>
      <c r="C1393" t="s">
        <v>29</v>
      </c>
      <c r="D1393">
        <v>0</v>
      </c>
      <c r="E1393">
        <v>18</v>
      </c>
      <c r="F1393" t="s">
        <v>278</v>
      </c>
      <c r="G1393">
        <v>18</v>
      </c>
      <c r="H1393" t="s">
        <v>18</v>
      </c>
      <c r="I1393">
        <v>35</v>
      </c>
      <c r="J1393">
        <v>24.4</v>
      </c>
      <c r="K1393">
        <v>1</v>
      </c>
      <c r="L1393">
        <v>4</v>
      </c>
      <c r="M1393">
        <v>22</v>
      </c>
      <c r="N1393" t="s">
        <v>91</v>
      </c>
    </row>
    <row r="1394" spans="1:14" x14ac:dyDescent="0.35">
      <c r="A1394" t="s">
        <v>781</v>
      </c>
      <c r="B1394" t="s">
        <v>286</v>
      </c>
      <c r="C1394" t="s">
        <v>16</v>
      </c>
      <c r="D1394">
        <v>0</v>
      </c>
      <c r="E1394">
        <v>18</v>
      </c>
      <c r="F1394" t="s">
        <v>90</v>
      </c>
      <c r="G1394">
        <v>18</v>
      </c>
      <c r="H1394" t="s">
        <v>18</v>
      </c>
      <c r="I1394">
        <v>5</v>
      </c>
      <c r="J1394">
        <v>27</v>
      </c>
      <c r="K1394">
        <v>4</v>
      </c>
      <c r="L1394">
        <v>2</v>
      </c>
      <c r="M1394">
        <v>20</v>
      </c>
      <c r="N1394" t="s">
        <v>74</v>
      </c>
    </row>
    <row r="1395" spans="1:14" x14ac:dyDescent="0.35">
      <c r="A1395" t="s">
        <v>781</v>
      </c>
      <c r="B1395" t="s">
        <v>417</v>
      </c>
      <c r="C1395" t="s">
        <v>16</v>
      </c>
      <c r="D1395">
        <v>0</v>
      </c>
      <c r="E1395">
        <v>18</v>
      </c>
      <c r="F1395" t="s">
        <v>644</v>
      </c>
      <c r="G1395">
        <v>18</v>
      </c>
      <c r="H1395" t="s">
        <v>18</v>
      </c>
      <c r="I1395">
        <v>4</v>
      </c>
      <c r="J1395">
        <v>24.6</v>
      </c>
      <c r="K1395">
        <v>2</v>
      </c>
      <c r="L1395">
        <v>4</v>
      </c>
      <c r="M1395">
        <v>22</v>
      </c>
      <c r="N1395" t="s">
        <v>296</v>
      </c>
    </row>
    <row r="1396" spans="1:14" x14ac:dyDescent="0.35">
      <c r="A1396" t="s">
        <v>781</v>
      </c>
      <c r="B1396" t="s">
        <v>288</v>
      </c>
      <c r="C1396" t="s">
        <v>16</v>
      </c>
      <c r="D1396">
        <v>0</v>
      </c>
      <c r="E1396">
        <v>23</v>
      </c>
      <c r="F1396" t="s">
        <v>290</v>
      </c>
      <c r="G1396">
        <v>18</v>
      </c>
      <c r="H1396" t="s">
        <v>18</v>
      </c>
      <c r="I1396">
        <v>4</v>
      </c>
      <c r="J1396">
        <v>27.8</v>
      </c>
      <c r="K1396">
        <v>0</v>
      </c>
      <c r="L1396">
        <v>0</v>
      </c>
      <c r="M1396">
        <v>18</v>
      </c>
      <c r="N1396" t="s">
        <v>99</v>
      </c>
    </row>
    <row r="1397" spans="1:14" x14ac:dyDescent="0.35">
      <c r="A1397" t="s">
        <v>781</v>
      </c>
      <c r="B1397" t="s">
        <v>71</v>
      </c>
      <c r="C1397" t="s">
        <v>29</v>
      </c>
      <c r="D1397">
        <v>0</v>
      </c>
      <c r="E1397">
        <v>19</v>
      </c>
      <c r="F1397" t="s">
        <v>85</v>
      </c>
      <c r="G1397">
        <v>18</v>
      </c>
      <c r="H1397" t="s">
        <v>18</v>
      </c>
      <c r="I1397">
        <v>14</v>
      </c>
      <c r="J1397">
        <v>25.3</v>
      </c>
      <c r="K1397">
        <v>0</v>
      </c>
      <c r="L1397">
        <v>0</v>
      </c>
      <c r="M1397">
        <v>18</v>
      </c>
      <c r="N1397" t="s">
        <v>99</v>
      </c>
    </row>
    <row r="1398" spans="1:14" x14ac:dyDescent="0.35">
      <c r="A1398" t="s">
        <v>781</v>
      </c>
      <c r="B1398" t="s">
        <v>83</v>
      </c>
      <c r="C1398" t="s">
        <v>16</v>
      </c>
      <c r="D1398">
        <v>5</v>
      </c>
      <c r="E1398">
        <v>16</v>
      </c>
      <c r="F1398" t="s">
        <v>419</v>
      </c>
      <c r="G1398">
        <v>18</v>
      </c>
      <c r="H1398" t="s">
        <v>18</v>
      </c>
      <c r="I1398">
        <v>3</v>
      </c>
      <c r="J1398">
        <v>28.8</v>
      </c>
      <c r="K1398">
        <v>3</v>
      </c>
      <c r="L1398">
        <v>4</v>
      </c>
      <c r="M1398">
        <v>22</v>
      </c>
      <c r="N1398" t="s">
        <v>299</v>
      </c>
    </row>
    <row r="1399" spans="1:14" x14ac:dyDescent="0.35">
      <c r="A1399" t="s">
        <v>781</v>
      </c>
      <c r="B1399" t="s">
        <v>73</v>
      </c>
      <c r="C1399" t="s">
        <v>16</v>
      </c>
      <c r="D1399">
        <v>3</v>
      </c>
      <c r="E1399">
        <v>18</v>
      </c>
      <c r="F1399" t="s">
        <v>293</v>
      </c>
      <c r="G1399">
        <v>18</v>
      </c>
      <c r="H1399" t="s">
        <v>18</v>
      </c>
      <c r="I1399">
        <v>2</v>
      </c>
      <c r="J1399">
        <v>33.200000000000003</v>
      </c>
      <c r="K1399">
        <v>2</v>
      </c>
      <c r="L1399">
        <v>2</v>
      </c>
      <c r="M1399">
        <v>20</v>
      </c>
      <c r="N1399" t="s">
        <v>579</v>
      </c>
    </row>
    <row r="1400" spans="1:14" x14ac:dyDescent="0.35">
      <c r="A1400" t="s">
        <v>781</v>
      </c>
      <c r="B1400" t="s">
        <v>88</v>
      </c>
      <c r="C1400" t="s">
        <v>16</v>
      </c>
      <c r="D1400">
        <v>3</v>
      </c>
      <c r="E1400">
        <v>19</v>
      </c>
      <c r="F1400" t="s">
        <v>91</v>
      </c>
      <c r="G1400">
        <v>18</v>
      </c>
      <c r="H1400" t="s">
        <v>18</v>
      </c>
      <c r="I1400">
        <v>3</v>
      </c>
      <c r="J1400">
        <v>27.1</v>
      </c>
      <c r="K1400">
        <v>1</v>
      </c>
      <c r="L1400">
        <v>2</v>
      </c>
      <c r="M1400">
        <v>20</v>
      </c>
      <c r="N1400" t="s">
        <v>86</v>
      </c>
    </row>
    <row r="1401" spans="1:14" x14ac:dyDescent="0.35">
      <c r="A1401" t="s">
        <v>781</v>
      </c>
      <c r="B1401" t="s">
        <v>292</v>
      </c>
      <c r="C1401" t="s">
        <v>29</v>
      </c>
      <c r="D1401">
        <v>1</v>
      </c>
      <c r="E1401">
        <v>18</v>
      </c>
      <c r="F1401" t="s">
        <v>91</v>
      </c>
      <c r="G1401">
        <v>18</v>
      </c>
      <c r="H1401" t="s">
        <v>18</v>
      </c>
      <c r="I1401">
        <v>8</v>
      </c>
      <c r="J1401">
        <v>23</v>
      </c>
      <c r="K1401">
        <v>4</v>
      </c>
      <c r="L1401">
        <v>4</v>
      </c>
      <c r="M1401">
        <v>22</v>
      </c>
      <c r="N1401" t="s">
        <v>92</v>
      </c>
    </row>
    <row r="1402" spans="1:14" x14ac:dyDescent="0.35">
      <c r="A1402" t="s">
        <v>781</v>
      </c>
      <c r="B1402" t="s">
        <v>76</v>
      </c>
      <c r="C1402" t="s">
        <v>16</v>
      </c>
      <c r="D1402">
        <v>4</v>
      </c>
      <c r="E1402">
        <v>14</v>
      </c>
      <c r="F1402" t="s">
        <v>94</v>
      </c>
      <c r="G1402">
        <v>18</v>
      </c>
      <c r="H1402" t="s">
        <v>18</v>
      </c>
      <c r="I1402">
        <v>2</v>
      </c>
      <c r="J1402">
        <v>29.4</v>
      </c>
      <c r="K1402">
        <v>0</v>
      </c>
      <c r="L1402">
        <v>0</v>
      </c>
      <c r="M1402">
        <v>18</v>
      </c>
      <c r="N1402" t="s">
        <v>424</v>
      </c>
    </row>
    <row r="1403" spans="1:14" x14ac:dyDescent="0.35">
      <c r="A1403" t="s">
        <v>781</v>
      </c>
      <c r="B1403" t="s">
        <v>96</v>
      </c>
      <c r="C1403" t="s">
        <v>16</v>
      </c>
      <c r="D1403">
        <v>0</v>
      </c>
      <c r="E1403">
        <v>19</v>
      </c>
      <c r="F1403" t="s">
        <v>296</v>
      </c>
      <c r="G1403">
        <v>18</v>
      </c>
      <c r="H1403" t="s">
        <v>18</v>
      </c>
      <c r="I1403">
        <v>4</v>
      </c>
      <c r="J1403">
        <v>26.3</v>
      </c>
      <c r="K1403">
        <v>4</v>
      </c>
      <c r="L1403">
        <v>3</v>
      </c>
      <c r="M1403">
        <v>21</v>
      </c>
      <c r="N1403" t="s">
        <v>106</v>
      </c>
    </row>
    <row r="1404" spans="1:14" x14ac:dyDescent="0.35">
      <c r="A1404" t="s">
        <v>781</v>
      </c>
      <c r="B1404" t="s">
        <v>78</v>
      </c>
      <c r="C1404" t="s">
        <v>16</v>
      </c>
      <c r="D1404">
        <v>1</v>
      </c>
      <c r="E1404">
        <v>17</v>
      </c>
      <c r="F1404" t="s">
        <v>89</v>
      </c>
      <c r="G1404">
        <v>18</v>
      </c>
      <c r="H1404" t="s">
        <v>18</v>
      </c>
      <c r="I1404">
        <v>15</v>
      </c>
      <c r="J1404">
        <v>26.7</v>
      </c>
      <c r="K1404">
        <v>0</v>
      </c>
      <c r="L1404">
        <v>0</v>
      </c>
      <c r="M1404">
        <v>18</v>
      </c>
      <c r="N1404" t="s">
        <v>315</v>
      </c>
    </row>
    <row r="1405" spans="1:14" x14ac:dyDescent="0.35">
      <c r="A1405" t="s">
        <v>781</v>
      </c>
      <c r="B1405" t="s">
        <v>76</v>
      </c>
      <c r="C1405" t="s">
        <v>29</v>
      </c>
      <c r="D1405">
        <v>1</v>
      </c>
      <c r="E1405">
        <v>18</v>
      </c>
      <c r="F1405" t="s">
        <v>579</v>
      </c>
      <c r="G1405">
        <v>18</v>
      </c>
      <c r="H1405" t="s">
        <v>18</v>
      </c>
      <c r="I1405">
        <v>28</v>
      </c>
      <c r="J1405">
        <v>27.4</v>
      </c>
      <c r="K1405">
        <v>4</v>
      </c>
      <c r="L1405">
        <v>3</v>
      </c>
      <c r="M1405">
        <v>21</v>
      </c>
      <c r="N1405" t="s">
        <v>111</v>
      </c>
    </row>
    <row r="1406" spans="1:14" x14ac:dyDescent="0.35">
      <c r="A1406" t="s">
        <v>781</v>
      </c>
      <c r="B1406" t="s">
        <v>294</v>
      </c>
      <c r="C1406" t="s">
        <v>16</v>
      </c>
      <c r="D1406">
        <v>0</v>
      </c>
      <c r="E1406">
        <v>19</v>
      </c>
      <c r="F1406" t="s">
        <v>703</v>
      </c>
      <c r="G1406">
        <v>18</v>
      </c>
      <c r="H1406" t="s">
        <v>18</v>
      </c>
      <c r="I1406">
        <v>14</v>
      </c>
      <c r="J1406">
        <v>25.4</v>
      </c>
      <c r="K1406">
        <v>2</v>
      </c>
      <c r="L1406">
        <v>2</v>
      </c>
      <c r="M1406">
        <v>20</v>
      </c>
      <c r="N1406" t="s">
        <v>620</v>
      </c>
    </row>
    <row r="1407" spans="1:14" x14ac:dyDescent="0.35">
      <c r="A1407" t="s">
        <v>781</v>
      </c>
      <c r="B1407" t="s">
        <v>302</v>
      </c>
      <c r="C1407" t="s">
        <v>16</v>
      </c>
      <c r="D1407">
        <v>1</v>
      </c>
      <c r="E1407">
        <v>17</v>
      </c>
      <c r="F1407" t="s">
        <v>782</v>
      </c>
      <c r="G1407">
        <v>18</v>
      </c>
      <c r="H1407" t="s">
        <v>18</v>
      </c>
      <c r="I1407">
        <v>22</v>
      </c>
      <c r="J1407">
        <v>29.8</v>
      </c>
      <c r="K1407">
        <v>2</v>
      </c>
      <c r="L1407">
        <v>0</v>
      </c>
      <c r="M1407">
        <v>18</v>
      </c>
      <c r="N1407" t="s">
        <v>783</v>
      </c>
    </row>
    <row r="1408" spans="1:14" x14ac:dyDescent="0.35">
      <c r="A1408" t="s">
        <v>781</v>
      </c>
      <c r="B1408" t="s">
        <v>95</v>
      </c>
      <c r="C1408" t="s">
        <v>29</v>
      </c>
      <c r="D1408">
        <v>1</v>
      </c>
      <c r="E1408">
        <v>17</v>
      </c>
      <c r="F1408" t="s">
        <v>303</v>
      </c>
      <c r="G1408">
        <v>18</v>
      </c>
      <c r="H1408" t="s">
        <v>18</v>
      </c>
      <c r="I1408">
        <v>39</v>
      </c>
      <c r="J1408">
        <v>25.6</v>
      </c>
      <c r="K1408">
        <v>4</v>
      </c>
      <c r="L1408">
        <v>0</v>
      </c>
      <c r="M1408">
        <v>18</v>
      </c>
      <c r="N1408" t="s">
        <v>769</v>
      </c>
    </row>
    <row r="1409" spans="1:14" x14ac:dyDescent="0.35">
      <c r="A1409" t="s">
        <v>781</v>
      </c>
      <c r="B1409" t="s">
        <v>511</v>
      </c>
      <c r="C1409" t="s">
        <v>16</v>
      </c>
      <c r="D1409">
        <v>0</v>
      </c>
      <c r="E1409">
        <v>19</v>
      </c>
      <c r="F1409" t="s">
        <v>748</v>
      </c>
      <c r="G1409">
        <v>18</v>
      </c>
      <c r="H1409" t="s">
        <v>18</v>
      </c>
      <c r="I1409">
        <v>21</v>
      </c>
      <c r="J1409">
        <v>33.200000000000003</v>
      </c>
      <c r="K1409">
        <v>1</v>
      </c>
      <c r="L1409">
        <v>3</v>
      </c>
      <c r="M1409">
        <v>21</v>
      </c>
      <c r="N1409" t="s">
        <v>520</v>
      </c>
    </row>
    <row r="1410" spans="1:14" x14ac:dyDescent="0.35">
      <c r="A1410" t="s">
        <v>781</v>
      </c>
      <c r="B1410" t="s">
        <v>429</v>
      </c>
      <c r="C1410" t="s">
        <v>16</v>
      </c>
      <c r="D1410">
        <v>1</v>
      </c>
      <c r="E1410">
        <v>18</v>
      </c>
      <c r="F1410" t="s">
        <v>428</v>
      </c>
      <c r="G1410">
        <v>18</v>
      </c>
      <c r="H1410" t="s">
        <v>18</v>
      </c>
      <c r="I1410">
        <v>33</v>
      </c>
      <c r="J1410">
        <v>31.9</v>
      </c>
      <c r="K1410">
        <v>3</v>
      </c>
      <c r="L1410">
        <v>3</v>
      </c>
      <c r="M1410">
        <v>21</v>
      </c>
      <c r="N1410" t="s">
        <v>585</v>
      </c>
    </row>
    <row r="1411" spans="1:14" x14ac:dyDescent="0.35">
      <c r="A1411" t="s">
        <v>781</v>
      </c>
      <c r="B1411" t="s">
        <v>118</v>
      </c>
      <c r="C1411" t="s">
        <v>16</v>
      </c>
      <c r="D1411">
        <v>1</v>
      </c>
      <c r="E1411">
        <v>17</v>
      </c>
      <c r="F1411" t="s">
        <v>125</v>
      </c>
      <c r="G1411">
        <v>18</v>
      </c>
      <c r="H1411" t="s">
        <v>18</v>
      </c>
      <c r="I1411">
        <v>23</v>
      </c>
      <c r="J1411">
        <v>26.9</v>
      </c>
      <c r="K1411">
        <v>2</v>
      </c>
      <c r="L1411">
        <v>3</v>
      </c>
      <c r="M1411">
        <v>21</v>
      </c>
      <c r="N1411" t="s">
        <v>138</v>
      </c>
    </row>
    <row r="1412" spans="1:14" x14ac:dyDescent="0.35">
      <c r="A1412" t="s">
        <v>781</v>
      </c>
      <c r="B1412" t="s">
        <v>309</v>
      </c>
      <c r="C1412" t="s">
        <v>29</v>
      </c>
      <c r="D1412">
        <v>0</v>
      </c>
      <c r="E1412">
        <v>19</v>
      </c>
      <c r="F1412" t="s">
        <v>738</v>
      </c>
      <c r="G1412">
        <v>18</v>
      </c>
      <c r="H1412" t="s">
        <v>18</v>
      </c>
      <c r="I1412">
        <v>66</v>
      </c>
      <c r="J1412">
        <v>20.9</v>
      </c>
      <c r="K1412">
        <v>2</v>
      </c>
      <c r="L1412">
        <v>2</v>
      </c>
      <c r="M1412">
        <v>20</v>
      </c>
      <c r="N1412" t="s">
        <v>322</v>
      </c>
    </row>
    <row r="1413" spans="1:14" x14ac:dyDescent="0.35">
      <c r="A1413" t="s">
        <v>781</v>
      </c>
      <c r="B1413" t="s">
        <v>318</v>
      </c>
      <c r="C1413" t="s">
        <v>16</v>
      </c>
      <c r="D1413">
        <v>0</v>
      </c>
      <c r="E1413">
        <v>19</v>
      </c>
      <c r="F1413" t="s">
        <v>126</v>
      </c>
      <c r="G1413">
        <v>18</v>
      </c>
      <c r="H1413" t="s">
        <v>18</v>
      </c>
      <c r="I1413">
        <v>10</v>
      </c>
      <c r="J1413">
        <v>28.5</v>
      </c>
      <c r="K1413">
        <v>1</v>
      </c>
      <c r="L1413">
        <v>5</v>
      </c>
      <c r="M1413">
        <v>23</v>
      </c>
      <c r="N1413" t="s">
        <v>149</v>
      </c>
    </row>
    <row r="1414" spans="1:14" x14ac:dyDescent="0.35">
      <c r="A1414" t="s">
        <v>781</v>
      </c>
      <c r="B1414" t="s">
        <v>128</v>
      </c>
      <c r="C1414" t="s">
        <v>16</v>
      </c>
      <c r="D1414">
        <v>1</v>
      </c>
      <c r="E1414">
        <v>24</v>
      </c>
      <c r="F1414" t="s">
        <v>436</v>
      </c>
      <c r="G1414">
        <v>18</v>
      </c>
      <c r="H1414" t="s">
        <v>18</v>
      </c>
      <c r="I1414">
        <v>2</v>
      </c>
      <c r="J1414">
        <v>29.9</v>
      </c>
      <c r="K1414">
        <v>2</v>
      </c>
      <c r="L1414">
        <v>3</v>
      </c>
      <c r="M1414">
        <v>21</v>
      </c>
      <c r="N1414" t="s">
        <v>588</v>
      </c>
    </row>
    <row r="1415" spans="1:14" x14ac:dyDescent="0.35">
      <c r="A1415" t="s">
        <v>781</v>
      </c>
      <c r="B1415" t="s">
        <v>318</v>
      </c>
      <c r="C1415" t="s">
        <v>29</v>
      </c>
      <c r="D1415">
        <v>1</v>
      </c>
      <c r="E1415">
        <v>19</v>
      </c>
      <c r="F1415" t="s">
        <v>320</v>
      </c>
      <c r="G1415">
        <v>18</v>
      </c>
      <c r="H1415" t="s">
        <v>18</v>
      </c>
      <c r="I1415">
        <v>14</v>
      </c>
      <c r="J1415">
        <v>22.5</v>
      </c>
      <c r="K1415">
        <v>1</v>
      </c>
      <c r="L1415">
        <v>5</v>
      </c>
      <c r="M1415">
        <v>23</v>
      </c>
      <c r="N1415" t="s">
        <v>524</v>
      </c>
    </row>
    <row r="1416" spans="1:14" x14ac:dyDescent="0.35">
      <c r="A1416" t="s">
        <v>781</v>
      </c>
      <c r="B1416" t="s">
        <v>320</v>
      </c>
      <c r="C1416" t="s">
        <v>16</v>
      </c>
      <c r="D1416">
        <v>7</v>
      </c>
      <c r="E1416">
        <v>12</v>
      </c>
      <c r="F1416" t="s">
        <v>132</v>
      </c>
      <c r="G1416">
        <v>18</v>
      </c>
      <c r="H1416" t="s">
        <v>18</v>
      </c>
      <c r="I1416">
        <v>3</v>
      </c>
      <c r="J1416">
        <v>28.9</v>
      </c>
      <c r="K1416">
        <v>3</v>
      </c>
      <c r="L1416">
        <v>4</v>
      </c>
      <c r="M1416">
        <v>22</v>
      </c>
      <c r="N1416" t="s">
        <v>437</v>
      </c>
    </row>
    <row r="1417" spans="1:14" x14ac:dyDescent="0.35">
      <c r="A1417" t="s">
        <v>781</v>
      </c>
      <c r="B1417" t="s">
        <v>134</v>
      </c>
      <c r="C1417" t="s">
        <v>16</v>
      </c>
      <c r="D1417">
        <v>1</v>
      </c>
      <c r="E1417">
        <v>19</v>
      </c>
      <c r="F1417" t="s">
        <v>135</v>
      </c>
      <c r="G1417">
        <v>18</v>
      </c>
      <c r="H1417" t="s">
        <v>18</v>
      </c>
      <c r="I1417">
        <v>4</v>
      </c>
      <c r="J1417">
        <v>28.6</v>
      </c>
      <c r="K1417">
        <v>1</v>
      </c>
      <c r="L1417">
        <v>4</v>
      </c>
      <c r="M1417">
        <v>22</v>
      </c>
      <c r="N1417" t="s">
        <v>656</v>
      </c>
    </row>
    <row r="1418" spans="1:14" x14ac:dyDescent="0.35">
      <c r="A1418" t="s">
        <v>781</v>
      </c>
      <c r="B1418" t="s">
        <v>138</v>
      </c>
      <c r="C1418" t="s">
        <v>16</v>
      </c>
      <c r="D1418">
        <v>2</v>
      </c>
      <c r="E1418">
        <v>22</v>
      </c>
      <c r="F1418" t="s">
        <v>122</v>
      </c>
      <c r="G1418">
        <v>18</v>
      </c>
      <c r="H1418" t="s">
        <v>18</v>
      </c>
      <c r="I1418">
        <v>5</v>
      </c>
      <c r="J1418">
        <v>31.9</v>
      </c>
      <c r="K1418">
        <v>3</v>
      </c>
      <c r="L1418">
        <v>3</v>
      </c>
      <c r="M1418">
        <v>21</v>
      </c>
      <c r="N1418" t="s">
        <v>325</v>
      </c>
    </row>
    <row r="1419" spans="1:14" x14ac:dyDescent="0.35">
      <c r="A1419" t="s">
        <v>781</v>
      </c>
      <c r="B1419" t="s">
        <v>142</v>
      </c>
      <c r="C1419" t="s">
        <v>16</v>
      </c>
      <c r="D1419">
        <v>6</v>
      </c>
      <c r="E1419">
        <v>14</v>
      </c>
      <c r="F1419" t="s">
        <v>522</v>
      </c>
      <c r="G1419">
        <v>18</v>
      </c>
      <c r="H1419" t="s">
        <v>18</v>
      </c>
      <c r="I1419">
        <v>3</v>
      </c>
      <c r="J1419">
        <v>30.2</v>
      </c>
      <c r="K1419">
        <v>4</v>
      </c>
      <c r="L1419">
        <v>3</v>
      </c>
      <c r="M1419">
        <v>21</v>
      </c>
      <c r="N1419" t="s">
        <v>146</v>
      </c>
    </row>
    <row r="1420" spans="1:14" x14ac:dyDescent="0.35">
      <c r="A1420" t="s">
        <v>781</v>
      </c>
      <c r="B1420" t="s">
        <v>129</v>
      </c>
      <c r="C1420" t="s">
        <v>29</v>
      </c>
      <c r="D1420">
        <v>2</v>
      </c>
      <c r="E1420">
        <v>16</v>
      </c>
      <c r="F1420" t="s">
        <v>522</v>
      </c>
      <c r="G1420">
        <v>18</v>
      </c>
      <c r="H1420" t="s">
        <v>18</v>
      </c>
      <c r="I1420">
        <v>17</v>
      </c>
      <c r="J1420">
        <v>19.600000000000001</v>
      </c>
      <c r="K1420">
        <v>0</v>
      </c>
      <c r="L1420">
        <v>0</v>
      </c>
      <c r="M1420">
        <v>18</v>
      </c>
      <c r="N1420" t="s">
        <v>136</v>
      </c>
    </row>
    <row r="1421" spans="1:14" x14ac:dyDescent="0.35">
      <c r="A1421" t="s">
        <v>781</v>
      </c>
      <c r="B1421" t="s">
        <v>145</v>
      </c>
      <c r="C1421" t="s">
        <v>16</v>
      </c>
      <c r="D1421">
        <v>2</v>
      </c>
      <c r="E1421">
        <v>17</v>
      </c>
      <c r="F1421" t="s">
        <v>524</v>
      </c>
      <c r="G1421">
        <v>18</v>
      </c>
      <c r="H1421" t="s">
        <v>18</v>
      </c>
      <c r="I1421">
        <v>3</v>
      </c>
      <c r="J1421">
        <v>26.9</v>
      </c>
      <c r="K1421">
        <v>4</v>
      </c>
      <c r="L1421">
        <v>6</v>
      </c>
      <c r="M1421">
        <v>24</v>
      </c>
      <c r="N1421" t="s">
        <v>146</v>
      </c>
    </row>
    <row r="1422" spans="1:14" x14ac:dyDescent="0.35">
      <c r="A1422" t="s">
        <v>781</v>
      </c>
      <c r="B1422" t="s">
        <v>319</v>
      </c>
      <c r="C1422" t="s">
        <v>16</v>
      </c>
      <c r="D1422">
        <v>1</v>
      </c>
      <c r="E1422">
        <v>17</v>
      </c>
      <c r="F1422" t="s">
        <v>130</v>
      </c>
      <c r="G1422">
        <v>18</v>
      </c>
      <c r="H1422" t="s">
        <v>18</v>
      </c>
      <c r="I1422">
        <v>7</v>
      </c>
      <c r="J1422">
        <v>28.1</v>
      </c>
      <c r="K1422">
        <v>4</v>
      </c>
      <c r="L1422">
        <v>4</v>
      </c>
      <c r="M1422">
        <v>22</v>
      </c>
      <c r="N1422" t="s">
        <v>441</v>
      </c>
    </row>
    <row r="1423" spans="1:14" x14ac:dyDescent="0.35">
      <c r="A1423" t="s">
        <v>781</v>
      </c>
      <c r="B1423" t="s">
        <v>437</v>
      </c>
      <c r="C1423" t="s">
        <v>16</v>
      </c>
      <c r="D1423">
        <v>0</v>
      </c>
      <c r="E1423">
        <v>18</v>
      </c>
      <c r="F1423" t="s">
        <v>140</v>
      </c>
      <c r="G1423">
        <v>18</v>
      </c>
      <c r="H1423" t="s">
        <v>18</v>
      </c>
      <c r="I1423">
        <v>13</v>
      </c>
      <c r="J1423">
        <v>30.6</v>
      </c>
      <c r="K1423">
        <v>2</v>
      </c>
      <c r="L1423">
        <v>3</v>
      </c>
      <c r="M1423">
        <v>21</v>
      </c>
      <c r="N1423" t="s">
        <v>171</v>
      </c>
    </row>
    <row r="1424" spans="1:14" x14ac:dyDescent="0.35">
      <c r="A1424" t="s">
        <v>781</v>
      </c>
      <c r="B1424" t="s">
        <v>155</v>
      </c>
      <c r="C1424" t="s">
        <v>29</v>
      </c>
      <c r="D1424">
        <v>0</v>
      </c>
      <c r="E1424">
        <v>18</v>
      </c>
      <c r="F1424" t="s">
        <v>325</v>
      </c>
      <c r="G1424">
        <v>18</v>
      </c>
      <c r="H1424" t="s">
        <v>18</v>
      </c>
      <c r="I1424">
        <v>24</v>
      </c>
      <c r="J1424">
        <v>23.1</v>
      </c>
      <c r="K1424">
        <v>1</v>
      </c>
      <c r="L1424">
        <v>4</v>
      </c>
      <c r="M1424">
        <v>22</v>
      </c>
      <c r="N1424" t="s">
        <v>168</v>
      </c>
    </row>
    <row r="1425" spans="1:14" x14ac:dyDescent="0.35">
      <c r="A1425" t="s">
        <v>781</v>
      </c>
      <c r="B1425" t="s">
        <v>527</v>
      </c>
      <c r="C1425" t="s">
        <v>16</v>
      </c>
      <c r="D1425">
        <v>0</v>
      </c>
      <c r="E1425">
        <v>20</v>
      </c>
      <c r="F1425" t="s">
        <v>328</v>
      </c>
      <c r="G1425">
        <v>18</v>
      </c>
      <c r="H1425" t="s">
        <v>18</v>
      </c>
      <c r="I1425">
        <v>9</v>
      </c>
      <c r="J1425">
        <v>30.1</v>
      </c>
      <c r="K1425">
        <v>1</v>
      </c>
      <c r="L1425">
        <v>3</v>
      </c>
      <c r="M1425">
        <v>21</v>
      </c>
      <c r="N1425" t="s">
        <v>161</v>
      </c>
    </row>
    <row r="1426" spans="1:14" x14ac:dyDescent="0.35">
      <c r="A1426" t="s">
        <v>781</v>
      </c>
      <c r="B1426" t="s">
        <v>150</v>
      </c>
      <c r="C1426" t="s">
        <v>16</v>
      </c>
      <c r="D1426">
        <v>2</v>
      </c>
      <c r="E1426">
        <v>18</v>
      </c>
      <c r="F1426" t="s">
        <v>441</v>
      </c>
      <c r="G1426">
        <v>18</v>
      </c>
      <c r="H1426" t="s">
        <v>18</v>
      </c>
      <c r="I1426">
        <v>2</v>
      </c>
      <c r="J1426">
        <v>28.3</v>
      </c>
      <c r="K1426">
        <v>0</v>
      </c>
      <c r="L1426">
        <v>0</v>
      </c>
      <c r="M1426">
        <v>18</v>
      </c>
      <c r="N1426" t="s">
        <v>449</v>
      </c>
    </row>
    <row r="1427" spans="1:14" x14ac:dyDescent="0.35">
      <c r="A1427" t="s">
        <v>781</v>
      </c>
      <c r="B1427" t="s">
        <v>160</v>
      </c>
      <c r="C1427" t="s">
        <v>16</v>
      </c>
      <c r="D1427">
        <v>2</v>
      </c>
      <c r="E1427">
        <v>22</v>
      </c>
      <c r="F1427" t="s">
        <v>329</v>
      </c>
      <c r="G1427">
        <v>18</v>
      </c>
      <c r="H1427" t="s">
        <v>18</v>
      </c>
      <c r="I1427">
        <v>2</v>
      </c>
      <c r="J1427">
        <v>33.6</v>
      </c>
      <c r="K1427">
        <v>1</v>
      </c>
      <c r="L1427">
        <v>4</v>
      </c>
      <c r="M1427">
        <v>22</v>
      </c>
      <c r="N1427" t="s">
        <v>530</v>
      </c>
    </row>
    <row r="1428" spans="1:14" x14ac:dyDescent="0.35">
      <c r="A1428" t="s">
        <v>781</v>
      </c>
      <c r="B1428" t="s">
        <v>739</v>
      </c>
      <c r="C1428" t="s">
        <v>29</v>
      </c>
      <c r="D1428">
        <v>0</v>
      </c>
      <c r="E1428">
        <v>15</v>
      </c>
      <c r="F1428" t="s">
        <v>331</v>
      </c>
      <c r="G1428">
        <v>15</v>
      </c>
      <c r="H1428" t="s">
        <v>157</v>
      </c>
      <c r="I1428">
        <v>15</v>
      </c>
      <c r="J1428">
        <v>23.3</v>
      </c>
      <c r="K1428">
        <v>3</v>
      </c>
      <c r="L1428">
        <v>1</v>
      </c>
      <c r="M1428">
        <v>16</v>
      </c>
      <c r="N1428" t="s">
        <v>161</v>
      </c>
    </row>
    <row r="1429" spans="1:14" x14ac:dyDescent="0.35">
      <c r="A1429" t="s">
        <v>781</v>
      </c>
      <c r="B1429" t="s">
        <v>331</v>
      </c>
      <c r="C1429" t="s">
        <v>16</v>
      </c>
      <c r="D1429">
        <v>6</v>
      </c>
      <c r="E1429">
        <v>14</v>
      </c>
      <c r="F1429" t="s">
        <v>165</v>
      </c>
      <c r="G1429">
        <v>18</v>
      </c>
      <c r="H1429" t="s">
        <v>18</v>
      </c>
      <c r="I1429">
        <v>2</v>
      </c>
      <c r="J1429">
        <v>31.8</v>
      </c>
      <c r="K1429">
        <v>2</v>
      </c>
      <c r="L1429">
        <v>4</v>
      </c>
      <c r="M1429">
        <v>22</v>
      </c>
      <c r="N1429" t="s">
        <v>181</v>
      </c>
    </row>
    <row r="1430" spans="1:14" x14ac:dyDescent="0.35">
      <c r="A1430" t="s">
        <v>781</v>
      </c>
      <c r="B1430" t="s">
        <v>153</v>
      </c>
      <c r="C1430" t="s">
        <v>16</v>
      </c>
      <c r="D1430">
        <v>2</v>
      </c>
      <c r="E1430">
        <v>16</v>
      </c>
      <c r="F1430" t="s">
        <v>168</v>
      </c>
      <c r="G1430">
        <v>18</v>
      </c>
      <c r="H1430" t="s">
        <v>18</v>
      </c>
      <c r="I1430">
        <v>3</v>
      </c>
      <c r="J1430">
        <v>25.7</v>
      </c>
      <c r="K1430">
        <v>1</v>
      </c>
      <c r="L1430">
        <v>3</v>
      </c>
      <c r="M1430">
        <v>21</v>
      </c>
      <c r="N1430" t="s">
        <v>164</v>
      </c>
    </row>
    <row r="1431" spans="1:14" x14ac:dyDescent="0.35">
      <c r="A1431" t="s">
        <v>781</v>
      </c>
      <c r="B1431" t="s">
        <v>333</v>
      </c>
      <c r="C1431" t="s">
        <v>16</v>
      </c>
      <c r="D1431">
        <v>0</v>
      </c>
      <c r="E1431">
        <v>20</v>
      </c>
      <c r="F1431" t="s">
        <v>590</v>
      </c>
      <c r="G1431">
        <v>18</v>
      </c>
      <c r="H1431" t="s">
        <v>18</v>
      </c>
      <c r="I1431">
        <v>3</v>
      </c>
      <c r="J1431">
        <v>30.9</v>
      </c>
      <c r="K1431">
        <v>3</v>
      </c>
      <c r="L1431">
        <v>5</v>
      </c>
      <c r="M1431">
        <v>23</v>
      </c>
      <c r="N1431" t="s">
        <v>451</v>
      </c>
    </row>
    <row r="1432" spans="1:14" x14ac:dyDescent="0.35">
      <c r="A1432" t="s">
        <v>781</v>
      </c>
      <c r="B1432" t="s">
        <v>163</v>
      </c>
      <c r="C1432" t="s">
        <v>29</v>
      </c>
      <c r="D1432">
        <v>0</v>
      </c>
      <c r="E1432">
        <v>19</v>
      </c>
      <c r="F1432" t="s">
        <v>171</v>
      </c>
      <c r="G1432">
        <v>18</v>
      </c>
      <c r="H1432" t="s">
        <v>18</v>
      </c>
      <c r="I1432">
        <v>11</v>
      </c>
      <c r="J1432">
        <v>20.3</v>
      </c>
      <c r="K1432">
        <v>3</v>
      </c>
      <c r="L1432">
        <v>4</v>
      </c>
      <c r="M1432">
        <v>22</v>
      </c>
      <c r="N1432" t="s">
        <v>530</v>
      </c>
    </row>
    <row r="1433" spans="1:14" x14ac:dyDescent="0.35">
      <c r="A1433" t="s">
        <v>781</v>
      </c>
      <c r="B1433" t="s">
        <v>169</v>
      </c>
      <c r="C1433" t="s">
        <v>16</v>
      </c>
      <c r="D1433">
        <v>2</v>
      </c>
      <c r="E1433">
        <v>16</v>
      </c>
      <c r="F1433" t="s">
        <v>528</v>
      </c>
      <c r="G1433">
        <v>18</v>
      </c>
      <c r="H1433" t="s">
        <v>18</v>
      </c>
      <c r="I1433">
        <v>2</v>
      </c>
      <c r="J1433">
        <v>32.5</v>
      </c>
      <c r="K1433">
        <v>4</v>
      </c>
      <c r="L1433">
        <v>2</v>
      </c>
      <c r="M1433">
        <v>20</v>
      </c>
      <c r="N1433" t="s">
        <v>172</v>
      </c>
    </row>
    <row r="1434" spans="1:14" x14ac:dyDescent="0.35">
      <c r="A1434" t="s">
        <v>781</v>
      </c>
      <c r="B1434" t="s">
        <v>158</v>
      </c>
      <c r="C1434" t="s">
        <v>16</v>
      </c>
      <c r="D1434">
        <v>0</v>
      </c>
      <c r="E1434">
        <v>22</v>
      </c>
      <c r="F1434" t="s">
        <v>176</v>
      </c>
      <c r="G1434">
        <v>18</v>
      </c>
      <c r="H1434" t="s">
        <v>18</v>
      </c>
      <c r="I1434">
        <v>5</v>
      </c>
      <c r="J1434">
        <v>30.5</v>
      </c>
      <c r="K1434">
        <v>0</v>
      </c>
      <c r="L1434">
        <v>0</v>
      </c>
      <c r="M1434">
        <v>18</v>
      </c>
      <c r="N1434" t="s">
        <v>187</v>
      </c>
    </row>
    <row r="1435" spans="1:14" x14ac:dyDescent="0.35">
      <c r="A1435" t="s">
        <v>781</v>
      </c>
      <c r="B1435" t="s">
        <v>178</v>
      </c>
      <c r="C1435" t="s">
        <v>16</v>
      </c>
      <c r="D1435">
        <v>4</v>
      </c>
      <c r="E1435">
        <v>14</v>
      </c>
      <c r="F1435" t="s">
        <v>339</v>
      </c>
      <c r="G1435">
        <v>18</v>
      </c>
      <c r="H1435" t="s">
        <v>18</v>
      </c>
      <c r="I1435">
        <v>1</v>
      </c>
      <c r="J1435">
        <v>26.2</v>
      </c>
      <c r="K1435">
        <v>2</v>
      </c>
      <c r="L1435">
        <v>2</v>
      </c>
      <c r="M1435">
        <v>20</v>
      </c>
      <c r="N1435" t="s">
        <v>531</v>
      </c>
    </row>
    <row r="1436" spans="1:14" x14ac:dyDescent="0.35">
      <c r="A1436" t="s">
        <v>781</v>
      </c>
      <c r="B1436" t="s">
        <v>528</v>
      </c>
      <c r="C1436" t="s">
        <v>29</v>
      </c>
      <c r="D1436">
        <v>1</v>
      </c>
      <c r="E1436">
        <v>13</v>
      </c>
      <c r="F1436" t="s">
        <v>179</v>
      </c>
      <c r="G1436">
        <v>14</v>
      </c>
      <c r="H1436" t="s">
        <v>157</v>
      </c>
      <c r="I1436">
        <v>15</v>
      </c>
      <c r="J1436">
        <v>19.899999999999999</v>
      </c>
      <c r="K1436">
        <v>1</v>
      </c>
      <c r="L1436">
        <v>5</v>
      </c>
      <c r="M1436">
        <v>19</v>
      </c>
      <c r="N1436" t="s">
        <v>531</v>
      </c>
    </row>
    <row r="1437" spans="1:14" x14ac:dyDescent="0.35">
      <c r="A1437" t="s">
        <v>781</v>
      </c>
      <c r="B1437" t="s">
        <v>529</v>
      </c>
      <c r="C1437" t="s">
        <v>16</v>
      </c>
      <c r="D1437">
        <v>0</v>
      </c>
      <c r="E1437">
        <v>18</v>
      </c>
      <c r="F1437" t="s">
        <v>446</v>
      </c>
      <c r="G1437">
        <v>18</v>
      </c>
      <c r="H1437" t="s">
        <v>18</v>
      </c>
      <c r="I1437">
        <v>8</v>
      </c>
      <c r="J1437">
        <v>27.1</v>
      </c>
      <c r="K1437">
        <v>2</v>
      </c>
      <c r="L1437">
        <v>5</v>
      </c>
      <c r="M1437">
        <v>23</v>
      </c>
      <c r="N1437" t="s">
        <v>180</v>
      </c>
    </row>
    <row r="1438" spans="1:14" x14ac:dyDescent="0.35">
      <c r="A1438" t="s">
        <v>781</v>
      </c>
      <c r="B1438" t="s">
        <v>530</v>
      </c>
      <c r="C1438" t="s">
        <v>16</v>
      </c>
      <c r="D1438">
        <v>0</v>
      </c>
      <c r="E1438">
        <v>19</v>
      </c>
      <c r="F1438" t="s">
        <v>338</v>
      </c>
      <c r="G1438">
        <v>18</v>
      </c>
      <c r="H1438" t="s">
        <v>18</v>
      </c>
      <c r="I1438">
        <v>14</v>
      </c>
      <c r="J1438">
        <v>29.4</v>
      </c>
      <c r="K1438">
        <v>2</v>
      </c>
      <c r="L1438">
        <v>5</v>
      </c>
      <c r="M1438">
        <v>23</v>
      </c>
      <c r="N1438" t="s">
        <v>532</v>
      </c>
    </row>
    <row r="1439" spans="1:14" x14ac:dyDescent="0.35">
      <c r="A1439" t="s">
        <v>781</v>
      </c>
      <c r="B1439" t="s">
        <v>530</v>
      </c>
      <c r="C1439" t="s">
        <v>29</v>
      </c>
      <c r="D1439">
        <v>0</v>
      </c>
      <c r="E1439">
        <v>7</v>
      </c>
      <c r="F1439" t="s">
        <v>531</v>
      </c>
      <c r="G1439">
        <v>7</v>
      </c>
      <c r="H1439" t="s">
        <v>157</v>
      </c>
      <c r="I1439">
        <v>15</v>
      </c>
      <c r="J1439">
        <v>25.1</v>
      </c>
      <c r="K1439">
        <v>1</v>
      </c>
      <c r="L1439">
        <v>3</v>
      </c>
      <c r="M1439">
        <v>10</v>
      </c>
      <c r="N1439" t="s">
        <v>194</v>
      </c>
    </row>
    <row r="1440" spans="1:14" x14ac:dyDescent="0.35">
      <c r="A1440" t="s">
        <v>781</v>
      </c>
      <c r="B1440" t="s">
        <v>531</v>
      </c>
      <c r="C1440" t="s">
        <v>16</v>
      </c>
      <c r="D1440">
        <v>1</v>
      </c>
      <c r="E1440">
        <v>12</v>
      </c>
      <c r="F1440" t="s">
        <v>658</v>
      </c>
      <c r="G1440">
        <v>13</v>
      </c>
      <c r="H1440" t="s">
        <v>157</v>
      </c>
      <c r="I1440">
        <v>15</v>
      </c>
      <c r="J1440">
        <v>28</v>
      </c>
      <c r="K1440">
        <v>1</v>
      </c>
      <c r="L1440">
        <v>3</v>
      </c>
      <c r="M1440">
        <v>16</v>
      </c>
      <c r="N1440" t="s">
        <v>201</v>
      </c>
    </row>
    <row r="1441" spans="1:14" x14ac:dyDescent="0.35">
      <c r="A1441" t="s">
        <v>781</v>
      </c>
      <c r="B1441" t="s">
        <v>447</v>
      </c>
      <c r="C1441" t="s">
        <v>29</v>
      </c>
      <c r="D1441">
        <v>0</v>
      </c>
      <c r="E1441">
        <v>4</v>
      </c>
      <c r="F1441" t="s">
        <v>185</v>
      </c>
      <c r="G1441">
        <v>4</v>
      </c>
      <c r="H1441" t="s">
        <v>157</v>
      </c>
      <c r="I1441">
        <v>15</v>
      </c>
      <c r="J1441">
        <v>19.600000000000001</v>
      </c>
      <c r="K1441">
        <v>4</v>
      </c>
      <c r="L1441">
        <v>3</v>
      </c>
      <c r="M1441">
        <v>7</v>
      </c>
      <c r="N1441" t="s">
        <v>537</v>
      </c>
    </row>
    <row r="1442" spans="1:14" x14ac:dyDescent="0.35">
      <c r="A1442" t="s">
        <v>781</v>
      </c>
      <c r="B1442" t="s">
        <v>625</v>
      </c>
      <c r="C1442" t="s">
        <v>16</v>
      </c>
      <c r="D1442">
        <v>0</v>
      </c>
      <c r="E1442">
        <v>15</v>
      </c>
      <c r="F1442" t="s">
        <v>351</v>
      </c>
      <c r="G1442">
        <v>15</v>
      </c>
      <c r="H1442" t="s">
        <v>157</v>
      </c>
      <c r="I1442">
        <v>15</v>
      </c>
      <c r="J1442">
        <v>28.4</v>
      </c>
      <c r="K1442">
        <v>4</v>
      </c>
      <c r="L1442">
        <v>3</v>
      </c>
      <c r="M1442">
        <v>18</v>
      </c>
      <c r="N1442" t="s">
        <v>204</v>
      </c>
    </row>
    <row r="1443" spans="1:14" x14ac:dyDescent="0.35">
      <c r="A1443" t="s">
        <v>781</v>
      </c>
      <c r="B1443" t="s">
        <v>191</v>
      </c>
      <c r="C1443" t="s">
        <v>16</v>
      </c>
      <c r="D1443">
        <v>0</v>
      </c>
      <c r="E1443">
        <v>16</v>
      </c>
      <c r="F1443" t="s">
        <v>356</v>
      </c>
      <c r="G1443">
        <v>16</v>
      </c>
      <c r="H1443" t="s">
        <v>157</v>
      </c>
      <c r="I1443">
        <v>15</v>
      </c>
      <c r="J1443">
        <v>28.1</v>
      </c>
      <c r="K1443">
        <v>4</v>
      </c>
      <c r="L1443">
        <v>3</v>
      </c>
      <c r="M1443">
        <v>19</v>
      </c>
      <c r="N1443" t="s">
        <v>207</v>
      </c>
    </row>
    <row r="1444" spans="1:14" x14ac:dyDescent="0.35">
      <c r="A1444" t="s">
        <v>781</v>
      </c>
      <c r="B1444" t="s">
        <v>353</v>
      </c>
      <c r="C1444" t="s">
        <v>29</v>
      </c>
      <c r="D1444">
        <v>0</v>
      </c>
      <c r="E1444">
        <v>3</v>
      </c>
      <c r="F1444" t="s">
        <v>354</v>
      </c>
      <c r="G1444">
        <v>3</v>
      </c>
      <c r="H1444" t="s">
        <v>157</v>
      </c>
      <c r="I1444">
        <v>15</v>
      </c>
      <c r="J1444">
        <v>23.7</v>
      </c>
      <c r="K1444">
        <v>0</v>
      </c>
      <c r="L1444">
        <v>0</v>
      </c>
      <c r="M1444">
        <v>3</v>
      </c>
      <c r="N1444" t="s">
        <v>207</v>
      </c>
    </row>
    <row r="1445" spans="1:14" x14ac:dyDescent="0.35">
      <c r="A1445" t="s">
        <v>781</v>
      </c>
      <c r="B1445" t="s">
        <v>626</v>
      </c>
      <c r="C1445" t="s">
        <v>16</v>
      </c>
      <c r="D1445">
        <v>0</v>
      </c>
      <c r="E1445">
        <v>12</v>
      </c>
      <c r="F1445" t="s">
        <v>536</v>
      </c>
      <c r="G1445">
        <v>12</v>
      </c>
      <c r="H1445" t="s">
        <v>157</v>
      </c>
      <c r="I1445">
        <v>15</v>
      </c>
      <c r="J1445">
        <v>31.7</v>
      </c>
      <c r="K1445">
        <v>2</v>
      </c>
      <c r="L1445">
        <v>1</v>
      </c>
      <c r="M1445">
        <v>13</v>
      </c>
      <c r="N1445" t="s">
        <v>365</v>
      </c>
    </row>
    <row r="1446" spans="1:14" x14ac:dyDescent="0.35">
      <c r="A1446" t="s">
        <v>781</v>
      </c>
      <c r="B1446" t="s">
        <v>708</v>
      </c>
      <c r="C1446" t="s">
        <v>16</v>
      </c>
      <c r="D1446">
        <v>0</v>
      </c>
      <c r="E1446">
        <v>10</v>
      </c>
      <c r="F1446" t="s">
        <v>749</v>
      </c>
      <c r="G1446">
        <v>10</v>
      </c>
      <c r="H1446" t="s">
        <v>157</v>
      </c>
      <c r="I1446">
        <v>15</v>
      </c>
      <c r="J1446">
        <v>31.7</v>
      </c>
      <c r="K1446">
        <v>0</v>
      </c>
      <c r="L1446">
        <v>0</v>
      </c>
      <c r="M1446">
        <v>10</v>
      </c>
      <c r="N1446" t="s">
        <v>361</v>
      </c>
    </row>
    <row r="1447" spans="1:14" x14ac:dyDescent="0.35">
      <c r="A1447" t="s">
        <v>781</v>
      </c>
      <c r="B1447" t="s">
        <v>593</v>
      </c>
      <c r="C1447" t="s">
        <v>16</v>
      </c>
      <c r="D1447">
        <v>0</v>
      </c>
      <c r="E1447">
        <v>8</v>
      </c>
      <c r="F1447" t="s">
        <v>689</v>
      </c>
      <c r="G1447">
        <v>8</v>
      </c>
      <c r="H1447" t="s">
        <v>157</v>
      </c>
      <c r="I1447">
        <v>15</v>
      </c>
      <c r="J1447">
        <v>26.7</v>
      </c>
      <c r="K1447">
        <v>0</v>
      </c>
      <c r="L1447">
        <v>0</v>
      </c>
      <c r="M1447">
        <v>8</v>
      </c>
      <c r="N1447" t="s">
        <v>214</v>
      </c>
    </row>
    <row r="1448" spans="1:14" x14ac:dyDescent="0.35">
      <c r="A1448" t="s">
        <v>781</v>
      </c>
      <c r="B1448" t="s">
        <v>466</v>
      </c>
      <c r="C1448" t="s">
        <v>16</v>
      </c>
      <c r="D1448">
        <v>0</v>
      </c>
      <c r="E1448">
        <v>9</v>
      </c>
      <c r="F1448" t="s">
        <v>209</v>
      </c>
      <c r="G1448">
        <v>9</v>
      </c>
      <c r="H1448" t="s">
        <v>157</v>
      </c>
      <c r="I1448">
        <v>15</v>
      </c>
      <c r="J1448">
        <v>32.700000000000003</v>
      </c>
      <c r="K1448">
        <v>4</v>
      </c>
      <c r="L1448">
        <v>3</v>
      </c>
      <c r="M1448">
        <v>12</v>
      </c>
      <c r="N1448" t="s">
        <v>471</v>
      </c>
    </row>
    <row r="1449" spans="1:14" x14ac:dyDescent="0.35">
      <c r="A1449" t="s">
        <v>781</v>
      </c>
      <c r="B1449" t="s">
        <v>662</v>
      </c>
      <c r="C1449" t="s">
        <v>16</v>
      </c>
      <c r="D1449">
        <v>0</v>
      </c>
      <c r="E1449">
        <v>18</v>
      </c>
      <c r="F1449" t="s">
        <v>691</v>
      </c>
      <c r="G1449">
        <v>18</v>
      </c>
      <c r="H1449" t="s">
        <v>18</v>
      </c>
      <c r="I1449">
        <v>12</v>
      </c>
      <c r="J1449">
        <v>27.2</v>
      </c>
      <c r="K1449">
        <v>3</v>
      </c>
      <c r="L1449">
        <v>1</v>
      </c>
      <c r="M1449">
        <v>19</v>
      </c>
      <c r="N1449" t="s">
        <v>469</v>
      </c>
    </row>
    <row r="1450" spans="1:14" x14ac:dyDescent="0.35">
      <c r="A1450" t="s">
        <v>781</v>
      </c>
      <c r="B1450" t="s">
        <v>544</v>
      </c>
      <c r="C1450" t="s">
        <v>16</v>
      </c>
      <c r="D1450">
        <v>0</v>
      </c>
      <c r="E1450">
        <v>13</v>
      </c>
      <c r="F1450" t="s">
        <v>467</v>
      </c>
      <c r="G1450">
        <v>13</v>
      </c>
      <c r="H1450" t="s">
        <v>157</v>
      </c>
      <c r="I1450">
        <v>15</v>
      </c>
      <c r="J1450">
        <v>30.3</v>
      </c>
      <c r="K1450">
        <v>1</v>
      </c>
      <c r="L1450">
        <v>0</v>
      </c>
      <c r="M1450">
        <v>13</v>
      </c>
      <c r="N1450" t="s">
        <v>376</v>
      </c>
    </row>
    <row r="1451" spans="1:14" x14ac:dyDescent="0.35">
      <c r="A1451" t="s">
        <v>781</v>
      </c>
      <c r="B1451" t="s">
        <v>690</v>
      </c>
      <c r="C1451" t="s">
        <v>16</v>
      </c>
      <c r="D1451">
        <v>0</v>
      </c>
      <c r="E1451">
        <v>14</v>
      </c>
      <c r="F1451" t="s">
        <v>601</v>
      </c>
      <c r="G1451">
        <v>14</v>
      </c>
      <c r="H1451" t="s">
        <v>157</v>
      </c>
      <c r="I1451">
        <v>15</v>
      </c>
      <c r="J1451">
        <v>34.1</v>
      </c>
      <c r="K1451">
        <v>4</v>
      </c>
      <c r="L1451">
        <v>2</v>
      </c>
      <c r="M1451">
        <v>16</v>
      </c>
      <c r="N1451" t="s">
        <v>552</v>
      </c>
    </row>
    <row r="1452" spans="1:14" x14ac:dyDescent="0.35">
      <c r="A1452" t="s">
        <v>781</v>
      </c>
      <c r="B1452" t="s">
        <v>741</v>
      </c>
      <c r="C1452" t="s">
        <v>16</v>
      </c>
      <c r="D1452">
        <v>0</v>
      </c>
      <c r="E1452">
        <v>18</v>
      </c>
      <c r="F1452" t="s">
        <v>376</v>
      </c>
      <c r="G1452">
        <v>18</v>
      </c>
      <c r="H1452" t="s">
        <v>18</v>
      </c>
      <c r="I1452">
        <v>13</v>
      </c>
      <c r="J1452">
        <v>27.8</v>
      </c>
      <c r="K1452">
        <v>0</v>
      </c>
      <c r="L1452">
        <v>0</v>
      </c>
      <c r="M1452">
        <v>18</v>
      </c>
      <c r="N1452" t="s">
        <v>602</v>
      </c>
    </row>
    <row r="1453" spans="1:14" x14ac:dyDescent="0.35">
      <c r="A1453" t="s">
        <v>781</v>
      </c>
      <c r="B1453" t="s">
        <v>554</v>
      </c>
      <c r="C1453" t="s">
        <v>16</v>
      </c>
      <c r="D1453">
        <v>0</v>
      </c>
      <c r="E1453">
        <v>13</v>
      </c>
      <c r="F1453" t="s">
        <v>603</v>
      </c>
      <c r="G1453">
        <v>13</v>
      </c>
      <c r="H1453" t="s">
        <v>157</v>
      </c>
      <c r="I1453">
        <v>15</v>
      </c>
      <c r="J1453">
        <v>26.6</v>
      </c>
      <c r="K1453">
        <v>4</v>
      </c>
      <c r="L1453">
        <v>2</v>
      </c>
      <c r="M1453">
        <v>15</v>
      </c>
      <c r="N1453" t="s">
        <v>729</v>
      </c>
    </row>
    <row r="1454" spans="1:14" x14ac:dyDescent="0.35">
      <c r="A1454" t="s">
        <v>781</v>
      </c>
      <c r="B1454" t="s">
        <v>552</v>
      </c>
      <c r="C1454" t="s">
        <v>16</v>
      </c>
      <c r="D1454">
        <v>0</v>
      </c>
      <c r="E1454">
        <v>10</v>
      </c>
      <c r="F1454" t="s">
        <v>751</v>
      </c>
      <c r="G1454">
        <v>10</v>
      </c>
      <c r="H1454" t="s">
        <v>157</v>
      </c>
      <c r="I1454">
        <v>15</v>
      </c>
      <c r="J1454">
        <v>29.7</v>
      </c>
      <c r="K1454">
        <v>4</v>
      </c>
      <c r="L1454">
        <v>0</v>
      </c>
      <c r="M1454">
        <v>10</v>
      </c>
      <c r="N1454" t="s">
        <v>386</v>
      </c>
    </row>
    <row r="1455" spans="1:14" x14ac:dyDescent="0.35">
      <c r="A1455" t="s">
        <v>781</v>
      </c>
      <c r="B1455" t="s">
        <v>555</v>
      </c>
      <c r="C1455" t="s">
        <v>16</v>
      </c>
      <c r="D1455">
        <v>0</v>
      </c>
      <c r="E1455">
        <v>15</v>
      </c>
      <c r="F1455" t="s">
        <v>604</v>
      </c>
      <c r="G1455">
        <v>15</v>
      </c>
      <c r="H1455" t="s">
        <v>157</v>
      </c>
      <c r="I1455">
        <v>15</v>
      </c>
      <c r="J1455">
        <v>29.8</v>
      </c>
      <c r="K1455">
        <v>3</v>
      </c>
      <c r="L1455">
        <v>3</v>
      </c>
      <c r="M1455">
        <v>18</v>
      </c>
      <c r="N1455" t="s">
        <v>389</v>
      </c>
    </row>
    <row r="1456" spans="1:14" x14ac:dyDescent="0.35">
      <c r="A1456" t="s">
        <v>781</v>
      </c>
      <c r="B1456" t="s">
        <v>559</v>
      </c>
      <c r="C1456" t="s">
        <v>16</v>
      </c>
      <c r="D1456">
        <v>0</v>
      </c>
      <c r="E1456">
        <v>11</v>
      </c>
      <c r="F1456" t="s">
        <v>772</v>
      </c>
      <c r="G1456">
        <v>11</v>
      </c>
      <c r="H1456" t="s">
        <v>157</v>
      </c>
      <c r="I1456">
        <v>15</v>
      </c>
      <c r="J1456">
        <v>26.7</v>
      </c>
      <c r="K1456">
        <v>1</v>
      </c>
      <c r="L1456">
        <v>0</v>
      </c>
      <c r="M1456">
        <v>11</v>
      </c>
      <c r="N1456" t="s">
        <v>241</v>
      </c>
    </row>
    <row r="1457" spans="1:14" x14ac:dyDescent="0.35">
      <c r="A1457" t="s">
        <v>781</v>
      </c>
      <c r="B1457" t="s">
        <v>561</v>
      </c>
      <c r="C1457" t="s">
        <v>16</v>
      </c>
      <c r="D1457">
        <v>0</v>
      </c>
      <c r="E1457">
        <v>8</v>
      </c>
      <c r="F1457" t="s">
        <v>753</v>
      </c>
      <c r="G1457">
        <v>8</v>
      </c>
      <c r="H1457" t="s">
        <v>157</v>
      </c>
      <c r="I1457">
        <v>15</v>
      </c>
      <c r="J1457">
        <v>31.2</v>
      </c>
      <c r="K1457">
        <v>1</v>
      </c>
      <c r="L1457">
        <v>0</v>
      </c>
      <c r="M1457">
        <v>8</v>
      </c>
      <c r="N1457" t="s">
        <v>394</v>
      </c>
    </row>
    <row r="1458" spans="1:14" x14ac:dyDescent="0.35">
      <c r="A1458" t="s">
        <v>781</v>
      </c>
      <c r="B1458" t="s">
        <v>611</v>
      </c>
      <c r="C1458" t="s">
        <v>16</v>
      </c>
      <c r="D1458">
        <v>0</v>
      </c>
      <c r="E1458">
        <v>11</v>
      </c>
      <c r="F1458" t="s">
        <v>639</v>
      </c>
      <c r="G1458">
        <v>11</v>
      </c>
      <c r="H1458" t="s">
        <v>157</v>
      </c>
      <c r="I1458">
        <v>15</v>
      </c>
      <c r="J1458">
        <v>32.4</v>
      </c>
      <c r="K1458">
        <v>3</v>
      </c>
      <c r="L1458">
        <v>2</v>
      </c>
      <c r="M1458">
        <v>13</v>
      </c>
      <c r="N1458" t="s">
        <v>399</v>
      </c>
    </row>
    <row r="1459" spans="1:14" x14ac:dyDescent="0.35">
      <c r="A1459" t="s">
        <v>781</v>
      </c>
      <c r="B1459" t="s">
        <v>489</v>
      </c>
      <c r="C1459" t="s">
        <v>16</v>
      </c>
      <c r="D1459">
        <v>0</v>
      </c>
      <c r="E1459">
        <v>15</v>
      </c>
      <c r="F1459" t="s">
        <v>638</v>
      </c>
      <c r="G1459">
        <v>15</v>
      </c>
      <c r="H1459" t="s">
        <v>157</v>
      </c>
      <c r="I1459">
        <v>15</v>
      </c>
      <c r="J1459">
        <v>28.2</v>
      </c>
      <c r="K1459">
        <v>1</v>
      </c>
      <c r="L1459">
        <v>1</v>
      </c>
      <c r="M1459">
        <v>16</v>
      </c>
      <c r="N1459" t="s">
        <v>734</v>
      </c>
    </row>
    <row r="1460" spans="1:14" x14ac:dyDescent="0.35">
      <c r="A1460" t="s">
        <v>781</v>
      </c>
      <c r="B1460" t="s">
        <v>674</v>
      </c>
      <c r="C1460" t="s">
        <v>16</v>
      </c>
      <c r="D1460">
        <v>0</v>
      </c>
      <c r="E1460">
        <v>13</v>
      </c>
      <c r="F1460" t="s">
        <v>784</v>
      </c>
      <c r="G1460">
        <v>13</v>
      </c>
      <c r="H1460" t="s">
        <v>157</v>
      </c>
      <c r="I1460">
        <v>15</v>
      </c>
      <c r="J1460">
        <v>27.8</v>
      </c>
      <c r="K1460">
        <v>4</v>
      </c>
      <c r="L1460">
        <v>0</v>
      </c>
      <c r="M1460">
        <v>13</v>
      </c>
      <c r="N1460" t="s">
        <v>785</v>
      </c>
    </row>
    <row r="1461" spans="1:14" x14ac:dyDescent="0.35">
      <c r="A1461" t="s">
        <v>781</v>
      </c>
      <c r="B1461" t="s">
        <v>694</v>
      </c>
      <c r="C1461" t="s">
        <v>16</v>
      </c>
      <c r="D1461">
        <v>0</v>
      </c>
      <c r="E1461">
        <v>15</v>
      </c>
      <c r="F1461" t="s">
        <v>676</v>
      </c>
      <c r="G1461">
        <v>15</v>
      </c>
      <c r="H1461" t="s">
        <v>157</v>
      </c>
      <c r="I1461">
        <v>15</v>
      </c>
      <c r="J1461">
        <v>26.9</v>
      </c>
      <c r="K1461">
        <v>1</v>
      </c>
      <c r="L1461">
        <v>1</v>
      </c>
      <c r="M1461">
        <v>16</v>
      </c>
      <c r="N1461" t="s">
        <v>756</v>
      </c>
    </row>
    <row r="1462" spans="1:14" x14ac:dyDescent="0.35">
      <c r="A1462" t="s">
        <v>786</v>
      </c>
      <c r="B1462" t="s">
        <v>15</v>
      </c>
      <c r="C1462" t="s">
        <v>16</v>
      </c>
      <c r="D1462">
        <v>0</v>
      </c>
      <c r="E1462">
        <v>18</v>
      </c>
      <c r="F1462" t="s">
        <v>20</v>
      </c>
      <c r="G1462">
        <v>18</v>
      </c>
      <c r="H1462" t="s">
        <v>18</v>
      </c>
      <c r="I1462">
        <v>4</v>
      </c>
      <c r="J1462">
        <v>28.3</v>
      </c>
      <c r="K1462">
        <v>2</v>
      </c>
      <c r="L1462">
        <v>5</v>
      </c>
      <c r="M1462">
        <v>23</v>
      </c>
      <c r="N1462" t="s">
        <v>19</v>
      </c>
    </row>
    <row r="1463" spans="1:14" x14ac:dyDescent="0.35">
      <c r="A1463" t="s">
        <v>786</v>
      </c>
      <c r="B1463" t="s">
        <v>254</v>
      </c>
      <c r="C1463" t="s">
        <v>16</v>
      </c>
      <c r="D1463">
        <v>0</v>
      </c>
      <c r="E1463">
        <v>18</v>
      </c>
      <c r="F1463" t="s">
        <v>404</v>
      </c>
      <c r="G1463">
        <v>18</v>
      </c>
      <c r="H1463" t="s">
        <v>18</v>
      </c>
      <c r="I1463">
        <v>4</v>
      </c>
      <c r="J1463">
        <v>31.6</v>
      </c>
      <c r="K1463">
        <v>0</v>
      </c>
      <c r="L1463">
        <v>0</v>
      </c>
      <c r="M1463">
        <v>18</v>
      </c>
      <c r="N1463" t="s">
        <v>255</v>
      </c>
    </row>
    <row r="1464" spans="1:14" x14ac:dyDescent="0.35">
      <c r="A1464" t="s">
        <v>786</v>
      </c>
      <c r="B1464" t="s">
        <v>405</v>
      </c>
      <c r="C1464" t="s">
        <v>29</v>
      </c>
      <c r="D1464">
        <v>0</v>
      </c>
      <c r="E1464">
        <v>18</v>
      </c>
      <c r="F1464" t="s">
        <v>256</v>
      </c>
      <c r="G1464">
        <v>18</v>
      </c>
      <c r="H1464" t="s">
        <v>18</v>
      </c>
      <c r="I1464">
        <v>12</v>
      </c>
      <c r="J1464">
        <v>20.9</v>
      </c>
      <c r="K1464">
        <v>0</v>
      </c>
      <c r="L1464">
        <v>0</v>
      </c>
      <c r="M1464">
        <v>18</v>
      </c>
      <c r="N1464" t="s">
        <v>403</v>
      </c>
    </row>
    <row r="1465" spans="1:14" x14ac:dyDescent="0.35">
      <c r="A1465" t="s">
        <v>786</v>
      </c>
      <c r="B1465" t="s">
        <v>24</v>
      </c>
      <c r="C1465" t="s">
        <v>16</v>
      </c>
      <c r="D1465">
        <v>0</v>
      </c>
      <c r="E1465">
        <v>20</v>
      </c>
      <c r="F1465" t="s">
        <v>263</v>
      </c>
      <c r="G1465">
        <v>18</v>
      </c>
      <c r="H1465" t="s">
        <v>18</v>
      </c>
      <c r="I1465">
        <v>4</v>
      </c>
      <c r="J1465">
        <v>25.5</v>
      </c>
      <c r="K1465">
        <v>3</v>
      </c>
      <c r="L1465">
        <v>2</v>
      </c>
      <c r="M1465">
        <v>20</v>
      </c>
      <c r="N1465" t="s">
        <v>264</v>
      </c>
    </row>
    <row r="1466" spans="1:14" x14ac:dyDescent="0.35">
      <c r="A1466" t="s">
        <v>786</v>
      </c>
      <c r="B1466" t="s">
        <v>258</v>
      </c>
      <c r="C1466" t="s">
        <v>16</v>
      </c>
      <c r="D1466">
        <v>2</v>
      </c>
      <c r="E1466">
        <v>18</v>
      </c>
      <c r="F1466" t="s">
        <v>30</v>
      </c>
      <c r="G1466">
        <v>18</v>
      </c>
      <c r="H1466" t="s">
        <v>18</v>
      </c>
      <c r="I1466">
        <v>2</v>
      </c>
      <c r="J1466">
        <v>27.6</v>
      </c>
      <c r="K1466">
        <v>1</v>
      </c>
      <c r="L1466">
        <v>4</v>
      </c>
      <c r="M1466">
        <v>22</v>
      </c>
      <c r="N1466" t="s">
        <v>681</v>
      </c>
    </row>
    <row r="1467" spans="1:14" x14ac:dyDescent="0.35">
      <c r="A1467" t="s">
        <v>786</v>
      </c>
      <c r="B1467" t="s">
        <v>499</v>
      </c>
      <c r="C1467" t="s">
        <v>16</v>
      </c>
      <c r="D1467">
        <v>2</v>
      </c>
      <c r="E1467">
        <v>17</v>
      </c>
      <c r="F1467" t="s">
        <v>33</v>
      </c>
      <c r="G1467">
        <v>18</v>
      </c>
      <c r="H1467" t="s">
        <v>18</v>
      </c>
      <c r="I1467">
        <v>3</v>
      </c>
      <c r="J1467">
        <v>25.8</v>
      </c>
      <c r="K1467">
        <v>3</v>
      </c>
      <c r="L1467">
        <v>6</v>
      </c>
      <c r="M1467">
        <v>24</v>
      </c>
      <c r="N1467" t="s">
        <v>618</v>
      </c>
    </row>
    <row r="1468" spans="1:14" x14ac:dyDescent="0.35">
      <c r="A1468" t="s">
        <v>786</v>
      </c>
      <c r="B1468" t="s">
        <v>701</v>
      </c>
      <c r="C1468" t="s">
        <v>16</v>
      </c>
      <c r="D1468">
        <v>1</v>
      </c>
      <c r="E1468">
        <v>17</v>
      </c>
      <c r="F1468" t="s">
        <v>34</v>
      </c>
      <c r="G1468">
        <v>18</v>
      </c>
      <c r="H1468" t="s">
        <v>18</v>
      </c>
      <c r="I1468">
        <v>3</v>
      </c>
      <c r="J1468">
        <v>32.9</v>
      </c>
      <c r="K1468">
        <v>1</v>
      </c>
      <c r="L1468">
        <v>2</v>
      </c>
      <c r="M1468">
        <v>20</v>
      </c>
      <c r="N1468" t="s">
        <v>45</v>
      </c>
    </row>
    <row r="1469" spans="1:14" x14ac:dyDescent="0.35">
      <c r="A1469" t="s">
        <v>786</v>
      </c>
      <c r="B1469" t="s">
        <v>263</v>
      </c>
      <c r="C1469" t="s">
        <v>29</v>
      </c>
      <c r="D1469">
        <v>0</v>
      </c>
      <c r="E1469">
        <v>18</v>
      </c>
      <c r="F1469" t="s">
        <v>253</v>
      </c>
      <c r="G1469">
        <v>18</v>
      </c>
      <c r="H1469" t="s">
        <v>18</v>
      </c>
      <c r="I1469">
        <v>17</v>
      </c>
      <c r="J1469">
        <v>23.1</v>
      </c>
      <c r="K1469">
        <v>2</v>
      </c>
      <c r="L1469">
        <v>2</v>
      </c>
      <c r="M1469">
        <v>20</v>
      </c>
      <c r="N1469" t="s">
        <v>500</v>
      </c>
    </row>
    <row r="1470" spans="1:14" x14ac:dyDescent="0.35">
      <c r="A1470" t="s">
        <v>786</v>
      </c>
      <c r="B1470" t="s">
        <v>36</v>
      </c>
      <c r="C1470" t="s">
        <v>16</v>
      </c>
      <c r="D1470">
        <v>0</v>
      </c>
      <c r="E1470">
        <v>21</v>
      </c>
      <c r="F1470" t="s">
        <v>503</v>
      </c>
      <c r="G1470">
        <v>18</v>
      </c>
      <c r="H1470" t="s">
        <v>18</v>
      </c>
      <c r="I1470">
        <v>9</v>
      </c>
      <c r="J1470">
        <v>29.6</v>
      </c>
      <c r="K1470">
        <v>1</v>
      </c>
      <c r="L1470">
        <v>4</v>
      </c>
      <c r="M1470">
        <v>22</v>
      </c>
      <c r="N1470" t="s">
        <v>265</v>
      </c>
    </row>
    <row r="1471" spans="1:14" x14ac:dyDescent="0.35">
      <c r="A1471" t="s">
        <v>786</v>
      </c>
      <c r="B1471" t="s">
        <v>25</v>
      </c>
      <c r="C1471" t="s">
        <v>16</v>
      </c>
      <c r="D1471">
        <v>3</v>
      </c>
      <c r="E1471">
        <v>15</v>
      </c>
      <c r="F1471" t="s">
        <v>44</v>
      </c>
      <c r="G1471">
        <v>18</v>
      </c>
      <c r="H1471" t="s">
        <v>18</v>
      </c>
      <c r="I1471">
        <v>11</v>
      </c>
      <c r="J1471">
        <v>33.5</v>
      </c>
      <c r="K1471">
        <v>3</v>
      </c>
      <c r="L1471">
        <v>4</v>
      </c>
      <c r="M1471">
        <v>22</v>
      </c>
      <c r="N1471" t="s">
        <v>277</v>
      </c>
    </row>
    <row r="1472" spans="1:14" x14ac:dyDescent="0.35">
      <c r="A1472" t="s">
        <v>786</v>
      </c>
      <c r="B1472" t="s">
        <v>22</v>
      </c>
      <c r="C1472" t="s">
        <v>29</v>
      </c>
      <c r="D1472">
        <v>0</v>
      </c>
      <c r="E1472">
        <v>18</v>
      </c>
      <c r="F1472" t="s">
        <v>498</v>
      </c>
      <c r="G1472">
        <v>18</v>
      </c>
      <c r="H1472" t="s">
        <v>18</v>
      </c>
      <c r="I1472">
        <v>22</v>
      </c>
      <c r="J1472">
        <v>21.9</v>
      </c>
      <c r="K1472">
        <v>2</v>
      </c>
      <c r="L1472">
        <v>2</v>
      </c>
      <c r="M1472">
        <v>20</v>
      </c>
      <c r="N1472" t="s">
        <v>61</v>
      </c>
    </row>
    <row r="1473" spans="1:14" x14ac:dyDescent="0.35">
      <c r="A1473" t="s">
        <v>786</v>
      </c>
      <c r="B1473" t="s">
        <v>37</v>
      </c>
      <c r="C1473" t="s">
        <v>16</v>
      </c>
      <c r="D1473">
        <v>0</v>
      </c>
      <c r="E1473">
        <v>18</v>
      </c>
      <c r="F1473" t="s">
        <v>269</v>
      </c>
      <c r="G1473">
        <v>18</v>
      </c>
      <c r="H1473" t="s">
        <v>18</v>
      </c>
      <c r="I1473">
        <v>13</v>
      </c>
      <c r="J1473">
        <v>32.1</v>
      </c>
      <c r="K1473">
        <v>0</v>
      </c>
      <c r="L1473">
        <v>0</v>
      </c>
      <c r="M1473">
        <v>18</v>
      </c>
      <c r="N1473" t="s">
        <v>70</v>
      </c>
    </row>
    <row r="1474" spans="1:14" x14ac:dyDescent="0.35">
      <c r="A1474" t="s">
        <v>786</v>
      </c>
      <c r="B1474" t="s">
        <v>48</v>
      </c>
      <c r="C1474" t="s">
        <v>16</v>
      </c>
      <c r="D1474">
        <v>0</v>
      </c>
      <c r="E1474">
        <v>20</v>
      </c>
      <c r="F1474" t="s">
        <v>53</v>
      </c>
      <c r="G1474">
        <v>18</v>
      </c>
      <c r="H1474" t="s">
        <v>18</v>
      </c>
      <c r="I1474">
        <v>6</v>
      </c>
      <c r="J1474">
        <v>28.6</v>
      </c>
      <c r="K1474">
        <v>1</v>
      </c>
      <c r="L1474">
        <v>4</v>
      </c>
      <c r="M1474">
        <v>22</v>
      </c>
      <c r="N1474" t="s">
        <v>412</v>
      </c>
    </row>
    <row r="1475" spans="1:14" x14ac:dyDescent="0.35">
      <c r="A1475" t="s">
        <v>786</v>
      </c>
      <c r="B1475" t="s">
        <v>55</v>
      </c>
      <c r="C1475" t="s">
        <v>16</v>
      </c>
      <c r="D1475">
        <v>2</v>
      </c>
      <c r="E1475">
        <v>18</v>
      </c>
      <c r="F1475" t="s">
        <v>43</v>
      </c>
      <c r="G1475">
        <v>18</v>
      </c>
      <c r="H1475" t="s">
        <v>18</v>
      </c>
      <c r="I1475">
        <v>3</v>
      </c>
      <c r="J1475">
        <v>30.2</v>
      </c>
      <c r="K1475">
        <v>2</v>
      </c>
      <c r="L1475">
        <v>5</v>
      </c>
      <c r="M1475">
        <v>23</v>
      </c>
      <c r="N1475" t="s">
        <v>281</v>
      </c>
    </row>
    <row r="1476" spans="1:14" x14ac:dyDescent="0.35">
      <c r="A1476" t="s">
        <v>786</v>
      </c>
      <c r="B1476" t="s">
        <v>414</v>
      </c>
      <c r="C1476" t="s">
        <v>16</v>
      </c>
      <c r="D1476">
        <v>2</v>
      </c>
      <c r="E1476">
        <v>16</v>
      </c>
      <c r="F1476" t="s">
        <v>59</v>
      </c>
      <c r="G1476">
        <v>18</v>
      </c>
      <c r="H1476" t="s">
        <v>18</v>
      </c>
      <c r="I1476">
        <v>2</v>
      </c>
      <c r="J1476">
        <v>25.7</v>
      </c>
      <c r="K1476">
        <v>0</v>
      </c>
      <c r="L1476">
        <v>0</v>
      </c>
      <c r="M1476">
        <v>18</v>
      </c>
      <c r="N1476" t="s">
        <v>577</v>
      </c>
    </row>
    <row r="1477" spans="1:14" x14ac:dyDescent="0.35">
      <c r="A1477" t="s">
        <v>786</v>
      </c>
      <c r="B1477" t="s">
        <v>45</v>
      </c>
      <c r="C1477" t="s">
        <v>29</v>
      </c>
      <c r="D1477">
        <v>0</v>
      </c>
      <c r="E1477">
        <v>18</v>
      </c>
      <c r="F1477" t="s">
        <v>61</v>
      </c>
      <c r="G1477">
        <v>18</v>
      </c>
      <c r="H1477" t="s">
        <v>18</v>
      </c>
      <c r="I1477">
        <v>20</v>
      </c>
      <c r="J1477">
        <v>20.9</v>
      </c>
      <c r="K1477">
        <v>0</v>
      </c>
      <c r="L1477">
        <v>0</v>
      </c>
      <c r="M1477">
        <v>18</v>
      </c>
      <c r="N1477" t="s">
        <v>412</v>
      </c>
    </row>
    <row r="1478" spans="1:14" x14ac:dyDescent="0.35">
      <c r="A1478" t="s">
        <v>786</v>
      </c>
      <c r="B1478" t="s">
        <v>61</v>
      </c>
      <c r="C1478" t="s">
        <v>16</v>
      </c>
      <c r="D1478">
        <v>0</v>
      </c>
      <c r="E1478">
        <v>18</v>
      </c>
      <c r="F1478" t="s">
        <v>63</v>
      </c>
      <c r="G1478">
        <v>18</v>
      </c>
      <c r="H1478" t="s">
        <v>18</v>
      </c>
      <c r="I1478">
        <v>3</v>
      </c>
      <c r="J1478">
        <v>26.9</v>
      </c>
      <c r="K1478">
        <v>4</v>
      </c>
      <c r="L1478">
        <v>5</v>
      </c>
      <c r="M1478">
        <v>23</v>
      </c>
      <c r="N1478" t="s">
        <v>275</v>
      </c>
    </row>
    <row r="1479" spans="1:14" x14ac:dyDescent="0.35">
      <c r="A1479" t="s">
        <v>786</v>
      </c>
      <c r="B1479" t="s">
        <v>277</v>
      </c>
      <c r="C1479" t="s">
        <v>16</v>
      </c>
      <c r="D1479">
        <v>0</v>
      </c>
      <c r="E1479">
        <v>20</v>
      </c>
      <c r="F1479" t="s">
        <v>67</v>
      </c>
      <c r="G1479">
        <v>18</v>
      </c>
      <c r="H1479" t="s">
        <v>18</v>
      </c>
      <c r="I1479">
        <v>3</v>
      </c>
      <c r="J1479">
        <v>26.8</v>
      </c>
      <c r="K1479">
        <v>3</v>
      </c>
      <c r="L1479">
        <v>4</v>
      </c>
      <c r="M1479">
        <v>22</v>
      </c>
      <c r="N1479" t="s">
        <v>276</v>
      </c>
    </row>
    <row r="1480" spans="1:14" x14ac:dyDescent="0.35">
      <c r="A1480" t="s">
        <v>786</v>
      </c>
      <c r="B1480" t="s">
        <v>65</v>
      </c>
      <c r="C1480" t="s">
        <v>16</v>
      </c>
      <c r="D1480">
        <v>2</v>
      </c>
      <c r="E1480">
        <v>16</v>
      </c>
      <c r="F1480" t="s">
        <v>415</v>
      </c>
      <c r="G1480">
        <v>18</v>
      </c>
      <c r="H1480" t="s">
        <v>18</v>
      </c>
      <c r="I1480">
        <v>3</v>
      </c>
      <c r="J1480">
        <v>26.4</v>
      </c>
      <c r="K1480">
        <v>1</v>
      </c>
      <c r="L1480">
        <v>2</v>
      </c>
      <c r="M1480">
        <v>20</v>
      </c>
      <c r="N1480" t="s">
        <v>578</v>
      </c>
    </row>
    <row r="1481" spans="1:14" x14ac:dyDescent="0.35">
      <c r="A1481" t="s">
        <v>786</v>
      </c>
      <c r="B1481" t="s">
        <v>504</v>
      </c>
      <c r="C1481" t="s">
        <v>29</v>
      </c>
      <c r="D1481">
        <v>0</v>
      </c>
      <c r="E1481">
        <v>18</v>
      </c>
      <c r="F1481" t="s">
        <v>279</v>
      </c>
      <c r="G1481">
        <v>18</v>
      </c>
      <c r="H1481" t="s">
        <v>18</v>
      </c>
      <c r="I1481">
        <v>11</v>
      </c>
      <c r="J1481">
        <v>23.2</v>
      </c>
      <c r="K1481">
        <v>3</v>
      </c>
      <c r="L1481">
        <v>3</v>
      </c>
      <c r="M1481">
        <v>21</v>
      </c>
      <c r="N1481" t="s">
        <v>506</v>
      </c>
    </row>
    <row r="1482" spans="1:14" x14ac:dyDescent="0.35">
      <c r="A1482" t="s">
        <v>786</v>
      </c>
      <c r="B1482" t="s">
        <v>279</v>
      </c>
      <c r="C1482" t="s">
        <v>16</v>
      </c>
      <c r="D1482">
        <v>0</v>
      </c>
      <c r="E1482">
        <v>19</v>
      </c>
      <c r="F1482" t="s">
        <v>275</v>
      </c>
      <c r="G1482">
        <v>18</v>
      </c>
      <c r="H1482" t="s">
        <v>18</v>
      </c>
      <c r="I1482">
        <v>17</v>
      </c>
      <c r="J1482">
        <v>29</v>
      </c>
      <c r="K1482">
        <v>0</v>
      </c>
      <c r="L1482">
        <v>0</v>
      </c>
      <c r="M1482">
        <v>18</v>
      </c>
      <c r="N1482" t="s">
        <v>292</v>
      </c>
    </row>
    <row r="1483" spans="1:14" x14ac:dyDescent="0.35">
      <c r="A1483" t="s">
        <v>786</v>
      </c>
      <c r="B1483" t="s">
        <v>413</v>
      </c>
      <c r="C1483" t="s">
        <v>16</v>
      </c>
      <c r="D1483">
        <v>1</v>
      </c>
      <c r="E1483">
        <v>17</v>
      </c>
      <c r="F1483" t="s">
        <v>71</v>
      </c>
      <c r="G1483">
        <v>18</v>
      </c>
      <c r="H1483" t="s">
        <v>18</v>
      </c>
      <c r="I1483">
        <v>13</v>
      </c>
      <c r="J1483">
        <v>28.6</v>
      </c>
      <c r="K1483">
        <v>4</v>
      </c>
      <c r="L1483">
        <v>3</v>
      </c>
      <c r="M1483">
        <v>21</v>
      </c>
      <c r="N1483" t="s">
        <v>295</v>
      </c>
    </row>
    <row r="1484" spans="1:14" x14ac:dyDescent="0.35">
      <c r="A1484" t="s">
        <v>786</v>
      </c>
      <c r="B1484" t="s">
        <v>280</v>
      </c>
      <c r="C1484" t="s">
        <v>29</v>
      </c>
      <c r="D1484">
        <v>0</v>
      </c>
      <c r="E1484">
        <v>20</v>
      </c>
      <c r="F1484" t="s">
        <v>75</v>
      </c>
      <c r="G1484">
        <v>18</v>
      </c>
      <c r="H1484" t="s">
        <v>18</v>
      </c>
      <c r="I1484">
        <v>31</v>
      </c>
      <c r="J1484">
        <v>24.5</v>
      </c>
      <c r="K1484">
        <v>3</v>
      </c>
      <c r="L1484">
        <v>2</v>
      </c>
      <c r="M1484">
        <v>20</v>
      </c>
      <c r="N1484" t="s">
        <v>420</v>
      </c>
    </row>
    <row r="1485" spans="1:14" x14ac:dyDescent="0.35">
      <c r="A1485" t="s">
        <v>786</v>
      </c>
      <c r="B1485" t="s">
        <v>75</v>
      </c>
      <c r="C1485" t="s">
        <v>16</v>
      </c>
      <c r="D1485">
        <v>0</v>
      </c>
      <c r="E1485">
        <v>18</v>
      </c>
      <c r="F1485" t="s">
        <v>644</v>
      </c>
      <c r="G1485">
        <v>18</v>
      </c>
      <c r="H1485" t="s">
        <v>18</v>
      </c>
      <c r="I1485">
        <v>6</v>
      </c>
      <c r="J1485">
        <v>31.2</v>
      </c>
      <c r="K1485">
        <v>3</v>
      </c>
      <c r="L1485">
        <v>3</v>
      </c>
      <c r="M1485">
        <v>21</v>
      </c>
      <c r="N1485" t="s">
        <v>418</v>
      </c>
    </row>
    <row r="1486" spans="1:14" x14ac:dyDescent="0.35">
      <c r="A1486" t="s">
        <v>786</v>
      </c>
      <c r="B1486" t="s">
        <v>288</v>
      </c>
      <c r="C1486" t="s">
        <v>16</v>
      </c>
      <c r="D1486">
        <v>0</v>
      </c>
      <c r="E1486">
        <v>18</v>
      </c>
      <c r="F1486" t="s">
        <v>282</v>
      </c>
      <c r="G1486">
        <v>18</v>
      </c>
      <c r="H1486" t="s">
        <v>18</v>
      </c>
      <c r="I1486">
        <v>3</v>
      </c>
      <c r="J1486">
        <v>33</v>
      </c>
      <c r="K1486">
        <v>3</v>
      </c>
      <c r="L1486">
        <v>3</v>
      </c>
      <c r="M1486">
        <v>21</v>
      </c>
      <c r="N1486" t="s">
        <v>299</v>
      </c>
    </row>
    <row r="1487" spans="1:14" x14ac:dyDescent="0.35">
      <c r="A1487" t="s">
        <v>786</v>
      </c>
      <c r="B1487" t="s">
        <v>90</v>
      </c>
      <c r="C1487" t="s">
        <v>29</v>
      </c>
      <c r="D1487">
        <v>2</v>
      </c>
      <c r="E1487">
        <v>17</v>
      </c>
      <c r="F1487" t="s">
        <v>292</v>
      </c>
      <c r="G1487">
        <v>18</v>
      </c>
      <c r="H1487" t="s">
        <v>18</v>
      </c>
      <c r="I1487">
        <v>13</v>
      </c>
      <c r="J1487">
        <v>23.6</v>
      </c>
      <c r="K1487">
        <v>0</v>
      </c>
      <c r="L1487">
        <v>0</v>
      </c>
      <c r="M1487">
        <v>18</v>
      </c>
      <c r="N1487" t="s">
        <v>418</v>
      </c>
    </row>
    <row r="1488" spans="1:14" x14ac:dyDescent="0.35">
      <c r="A1488" t="s">
        <v>786</v>
      </c>
      <c r="B1488" t="s">
        <v>290</v>
      </c>
      <c r="C1488" t="s">
        <v>16</v>
      </c>
      <c r="D1488">
        <v>0</v>
      </c>
      <c r="E1488">
        <v>24</v>
      </c>
      <c r="F1488" t="s">
        <v>419</v>
      </c>
      <c r="G1488">
        <v>18</v>
      </c>
      <c r="H1488" t="s">
        <v>18</v>
      </c>
      <c r="I1488">
        <v>4</v>
      </c>
      <c r="J1488">
        <v>25.3</v>
      </c>
      <c r="K1488">
        <v>1</v>
      </c>
      <c r="L1488">
        <v>3</v>
      </c>
      <c r="M1488">
        <v>21</v>
      </c>
      <c r="N1488" t="s">
        <v>291</v>
      </c>
    </row>
    <row r="1489" spans="1:14" x14ac:dyDescent="0.35">
      <c r="A1489" t="s">
        <v>786</v>
      </c>
      <c r="B1489" t="s">
        <v>73</v>
      </c>
      <c r="C1489" t="s">
        <v>16</v>
      </c>
      <c r="D1489">
        <v>6</v>
      </c>
      <c r="E1489">
        <v>14</v>
      </c>
      <c r="F1489" t="s">
        <v>293</v>
      </c>
      <c r="G1489">
        <v>18</v>
      </c>
      <c r="H1489" t="s">
        <v>18</v>
      </c>
      <c r="I1489">
        <v>2</v>
      </c>
      <c r="J1489">
        <v>28.9</v>
      </c>
      <c r="K1489">
        <v>3</v>
      </c>
      <c r="L1489">
        <v>4</v>
      </c>
      <c r="M1489">
        <v>22</v>
      </c>
      <c r="N1489" t="s">
        <v>89</v>
      </c>
    </row>
    <row r="1490" spans="1:14" x14ac:dyDescent="0.35">
      <c r="A1490" t="s">
        <v>786</v>
      </c>
      <c r="B1490" t="s">
        <v>88</v>
      </c>
      <c r="C1490" t="s">
        <v>16</v>
      </c>
      <c r="D1490">
        <v>2</v>
      </c>
      <c r="E1490">
        <v>17</v>
      </c>
      <c r="F1490" t="s">
        <v>91</v>
      </c>
      <c r="G1490">
        <v>18</v>
      </c>
      <c r="H1490" t="s">
        <v>18</v>
      </c>
      <c r="I1490">
        <v>3</v>
      </c>
      <c r="J1490">
        <v>25.2</v>
      </c>
      <c r="K1490">
        <v>2</v>
      </c>
      <c r="L1490">
        <v>6</v>
      </c>
      <c r="M1490">
        <v>24</v>
      </c>
      <c r="N1490" t="s">
        <v>702</v>
      </c>
    </row>
    <row r="1491" spans="1:14" x14ac:dyDescent="0.35">
      <c r="A1491" t="s">
        <v>786</v>
      </c>
      <c r="B1491" t="s">
        <v>419</v>
      </c>
      <c r="C1491" t="s">
        <v>29</v>
      </c>
      <c r="D1491">
        <v>1</v>
      </c>
      <c r="E1491">
        <v>17</v>
      </c>
      <c r="F1491" t="s">
        <v>420</v>
      </c>
      <c r="G1491">
        <v>18</v>
      </c>
      <c r="H1491" t="s">
        <v>18</v>
      </c>
      <c r="I1491">
        <v>9</v>
      </c>
      <c r="J1491">
        <v>15.4</v>
      </c>
      <c r="K1491">
        <v>0</v>
      </c>
      <c r="L1491">
        <v>0</v>
      </c>
      <c r="M1491">
        <v>18</v>
      </c>
      <c r="N1491" t="s">
        <v>103</v>
      </c>
    </row>
    <row r="1492" spans="1:14" x14ac:dyDescent="0.35">
      <c r="A1492" t="s">
        <v>786</v>
      </c>
      <c r="B1492" t="s">
        <v>76</v>
      </c>
      <c r="C1492" t="s">
        <v>16</v>
      </c>
      <c r="D1492">
        <v>1</v>
      </c>
      <c r="E1492">
        <v>17</v>
      </c>
      <c r="F1492" t="s">
        <v>94</v>
      </c>
      <c r="G1492">
        <v>18</v>
      </c>
      <c r="H1492" t="s">
        <v>18</v>
      </c>
      <c r="I1492">
        <v>2</v>
      </c>
      <c r="J1492">
        <v>33.200000000000003</v>
      </c>
      <c r="K1492">
        <v>2</v>
      </c>
      <c r="L1492">
        <v>4</v>
      </c>
      <c r="M1492">
        <v>22</v>
      </c>
      <c r="N1492" t="s">
        <v>512</v>
      </c>
    </row>
    <row r="1493" spans="1:14" x14ac:dyDescent="0.35">
      <c r="A1493" t="s">
        <v>786</v>
      </c>
      <c r="B1493" t="s">
        <v>96</v>
      </c>
      <c r="C1493" t="s">
        <v>16</v>
      </c>
      <c r="D1493">
        <v>0</v>
      </c>
      <c r="E1493">
        <v>19</v>
      </c>
      <c r="F1493" t="s">
        <v>78</v>
      </c>
      <c r="G1493">
        <v>18</v>
      </c>
      <c r="H1493" t="s">
        <v>18</v>
      </c>
      <c r="I1493">
        <v>5</v>
      </c>
      <c r="J1493">
        <v>28.8</v>
      </c>
      <c r="K1493">
        <v>0</v>
      </c>
      <c r="L1493">
        <v>0</v>
      </c>
      <c r="M1493">
        <v>18</v>
      </c>
      <c r="N1493" t="s">
        <v>646</v>
      </c>
    </row>
    <row r="1494" spans="1:14" x14ac:dyDescent="0.35">
      <c r="A1494" t="s">
        <v>786</v>
      </c>
      <c r="B1494" t="s">
        <v>301</v>
      </c>
      <c r="C1494" t="s">
        <v>16</v>
      </c>
      <c r="D1494">
        <v>1</v>
      </c>
      <c r="E1494">
        <v>17</v>
      </c>
      <c r="F1494" t="s">
        <v>299</v>
      </c>
      <c r="G1494">
        <v>18</v>
      </c>
      <c r="H1494" t="s">
        <v>18</v>
      </c>
      <c r="I1494">
        <v>11</v>
      </c>
      <c r="J1494">
        <v>29</v>
      </c>
      <c r="K1494">
        <v>2</v>
      </c>
      <c r="L1494">
        <v>4</v>
      </c>
      <c r="M1494">
        <v>22</v>
      </c>
      <c r="N1494" t="s">
        <v>315</v>
      </c>
    </row>
    <row r="1495" spans="1:14" x14ac:dyDescent="0.35">
      <c r="A1495" t="s">
        <v>786</v>
      </c>
      <c r="B1495" t="s">
        <v>94</v>
      </c>
      <c r="C1495" t="s">
        <v>29</v>
      </c>
      <c r="D1495">
        <v>0</v>
      </c>
      <c r="E1495">
        <v>18</v>
      </c>
      <c r="F1495" t="s">
        <v>89</v>
      </c>
      <c r="G1495">
        <v>18</v>
      </c>
      <c r="H1495" t="s">
        <v>18</v>
      </c>
      <c r="I1495">
        <v>21</v>
      </c>
      <c r="J1495">
        <v>23.8</v>
      </c>
      <c r="K1495">
        <v>1</v>
      </c>
      <c r="L1495">
        <v>5</v>
      </c>
      <c r="M1495">
        <v>23</v>
      </c>
      <c r="N1495" t="s">
        <v>722</v>
      </c>
    </row>
    <row r="1496" spans="1:14" x14ac:dyDescent="0.35">
      <c r="A1496" t="s">
        <v>786</v>
      </c>
      <c r="B1496" t="s">
        <v>101</v>
      </c>
      <c r="C1496" t="s">
        <v>16</v>
      </c>
      <c r="D1496">
        <v>0</v>
      </c>
      <c r="E1496">
        <v>18</v>
      </c>
      <c r="F1496" t="s">
        <v>424</v>
      </c>
      <c r="G1496">
        <v>18</v>
      </c>
      <c r="H1496" t="s">
        <v>18</v>
      </c>
      <c r="I1496">
        <v>10</v>
      </c>
      <c r="J1496">
        <v>26.2</v>
      </c>
      <c r="K1496">
        <v>1</v>
      </c>
      <c r="L1496">
        <v>4</v>
      </c>
      <c r="M1496">
        <v>22</v>
      </c>
      <c r="N1496" t="s">
        <v>105</v>
      </c>
    </row>
    <row r="1497" spans="1:14" x14ac:dyDescent="0.35">
      <c r="A1497" t="s">
        <v>786</v>
      </c>
      <c r="B1497" t="s">
        <v>104</v>
      </c>
      <c r="C1497" t="s">
        <v>16</v>
      </c>
      <c r="D1497">
        <v>0</v>
      </c>
      <c r="E1497">
        <v>18</v>
      </c>
      <c r="F1497" t="s">
        <v>100</v>
      </c>
      <c r="G1497">
        <v>18</v>
      </c>
      <c r="H1497" t="s">
        <v>18</v>
      </c>
      <c r="I1497">
        <v>13</v>
      </c>
      <c r="J1497">
        <v>25.1</v>
      </c>
      <c r="K1497">
        <v>1</v>
      </c>
      <c r="L1497">
        <v>1</v>
      </c>
      <c r="M1497">
        <v>19</v>
      </c>
      <c r="N1497" t="s">
        <v>516</v>
      </c>
    </row>
    <row r="1498" spans="1:14" x14ac:dyDescent="0.35">
      <c r="A1498" t="s">
        <v>786</v>
      </c>
      <c r="B1498" t="s">
        <v>721</v>
      </c>
      <c r="C1498" t="s">
        <v>16</v>
      </c>
      <c r="D1498">
        <v>0</v>
      </c>
      <c r="E1498">
        <v>19</v>
      </c>
      <c r="F1498" t="s">
        <v>511</v>
      </c>
      <c r="G1498">
        <v>18</v>
      </c>
      <c r="H1498" t="s">
        <v>18</v>
      </c>
      <c r="I1498">
        <v>16</v>
      </c>
      <c r="J1498">
        <v>31.2</v>
      </c>
      <c r="K1498">
        <v>2</v>
      </c>
      <c r="L1498">
        <v>2</v>
      </c>
      <c r="M1498">
        <v>20</v>
      </c>
      <c r="N1498" t="s">
        <v>650</v>
      </c>
    </row>
    <row r="1499" spans="1:14" x14ac:dyDescent="0.35">
      <c r="A1499" t="s">
        <v>786</v>
      </c>
      <c r="B1499" t="s">
        <v>723</v>
      </c>
      <c r="C1499" t="s">
        <v>16</v>
      </c>
      <c r="D1499">
        <v>1</v>
      </c>
      <c r="E1499">
        <v>20</v>
      </c>
      <c r="F1499" t="s">
        <v>769</v>
      </c>
      <c r="G1499">
        <v>18</v>
      </c>
      <c r="H1499" t="s">
        <v>18</v>
      </c>
      <c r="I1499">
        <v>26</v>
      </c>
      <c r="J1499">
        <v>26.7</v>
      </c>
      <c r="K1499">
        <v>1</v>
      </c>
      <c r="L1499">
        <v>2</v>
      </c>
      <c r="M1499">
        <v>20</v>
      </c>
      <c r="N1499" t="s">
        <v>523</v>
      </c>
    </row>
    <row r="1500" spans="1:14" x14ac:dyDescent="0.35">
      <c r="A1500" t="s">
        <v>786</v>
      </c>
      <c r="B1500" t="s">
        <v>702</v>
      </c>
      <c r="C1500" t="s">
        <v>29</v>
      </c>
      <c r="D1500">
        <v>0</v>
      </c>
      <c r="E1500">
        <v>18</v>
      </c>
      <c r="F1500" t="s">
        <v>110</v>
      </c>
      <c r="G1500">
        <v>18</v>
      </c>
      <c r="H1500" t="s">
        <v>18</v>
      </c>
      <c r="I1500">
        <v>70</v>
      </c>
      <c r="J1500">
        <v>19</v>
      </c>
      <c r="K1500">
        <v>2</v>
      </c>
      <c r="L1500">
        <v>2</v>
      </c>
      <c r="M1500">
        <v>20</v>
      </c>
      <c r="N1500" t="s">
        <v>430</v>
      </c>
    </row>
    <row r="1501" spans="1:14" x14ac:dyDescent="0.35">
      <c r="A1501" t="s">
        <v>786</v>
      </c>
      <c r="B1501" t="s">
        <v>110</v>
      </c>
      <c r="C1501" t="s">
        <v>16</v>
      </c>
      <c r="D1501">
        <v>3</v>
      </c>
      <c r="E1501">
        <v>15</v>
      </c>
      <c r="F1501" t="s">
        <v>737</v>
      </c>
      <c r="G1501">
        <v>18</v>
      </c>
      <c r="H1501" t="s">
        <v>18</v>
      </c>
      <c r="I1501">
        <v>22</v>
      </c>
      <c r="J1501">
        <v>26.3</v>
      </c>
      <c r="K1501">
        <v>0</v>
      </c>
      <c r="L1501">
        <v>0</v>
      </c>
      <c r="M1501">
        <v>18</v>
      </c>
      <c r="N1501" t="s">
        <v>323</v>
      </c>
    </row>
    <row r="1502" spans="1:14" x14ac:dyDescent="0.35">
      <c r="A1502" t="s">
        <v>786</v>
      </c>
      <c r="B1502" t="s">
        <v>787</v>
      </c>
      <c r="C1502" t="s">
        <v>16</v>
      </c>
      <c r="D1502">
        <v>0</v>
      </c>
      <c r="E1502">
        <v>18</v>
      </c>
      <c r="F1502" t="s">
        <v>311</v>
      </c>
      <c r="G1502">
        <v>18</v>
      </c>
      <c r="H1502" t="s">
        <v>18</v>
      </c>
      <c r="I1502">
        <v>13</v>
      </c>
      <c r="J1502">
        <v>28.7</v>
      </c>
      <c r="K1502">
        <v>2</v>
      </c>
      <c r="L1502">
        <v>0</v>
      </c>
      <c r="M1502">
        <v>18</v>
      </c>
      <c r="N1502" t="s">
        <v>126</v>
      </c>
    </row>
    <row r="1503" spans="1:14" x14ac:dyDescent="0.35">
      <c r="A1503" t="s">
        <v>786</v>
      </c>
      <c r="B1503" t="s">
        <v>684</v>
      </c>
      <c r="C1503" t="s">
        <v>16</v>
      </c>
      <c r="D1503">
        <v>0</v>
      </c>
      <c r="E1503">
        <v>18</v>
      </c>
      <c r="F1503" t="s">
        <v>654</v>
      </c>
      <c r="G1503">
        <v>18</v>
      </c>
      <c r="H1503" t="s">
        <v>18</v>
      </c>
      <c r="I1503">
        <v>23</v>
      </c>
      <c r="J1503">
        <v>26.1</v>
      </c>
      <c r="K1503">
        <v>2</v>
      </c>
      <c r="L1503">
        <v>3</v>
      </c>
      <c r="M1503">
        <v>21</v>
      </c>
      <c r="N1503" t="s">
        <v>522</v>
      </c>
    </row>
    <row r="1504" spans="1:14" x14ac:dyDescent="0.35">
      <c r="A1504" t="s">
        <v>786</v>
      </c>
      <c r="B1504" t="s">
        <v>650</v>
      </c>
      <c r="C1504" t="s">
        <v>29</v>
      </c>
      <c r="D1504">
        <v>0</v>
      </c>
      <c r="E1504">
        <v>18</v>
      </c>
      <c r="F1504" t="s">
        <v>124</v>
      </c>
      <c r="G1504">
        <v>18</v>
      </c>
      <c r="H1504" t="s">
        <v>18</v>
      </c>
      <c r="I1504">
        <v>59</v>
      </c>
      <c r="J1504">
        <v>22.5</v>
      </c>
      <c r="K1504">
        <v>0</v>
      </c>
      <c r="L1504">
        <v>0</v>
      </c>
      <c r="M1504">
        <v>18</v>
      </c>
      <c r="N1504" t="s">
        <v>144</v>
      </c>
    </row>
    <row r="1505" spans="1:14" x14ac:dyDescent="0.35">
      <c r="A1505" t="s">
        <v>786</v>
      </c>
      <c r="B1505" t="s">
        <v>788</v>
      </c>
      <c r="C1505" t="s">
        <v>16</v>
      </c>
      <c r="D1505">
        <v>0</v>
      </c>
      <c r="E1505">
        <v>18</v>
      </c>
      <c r="F1505" t="s">
        <v>436</v>
      </c>
      <c r="G1505">
        <v>18</v>
      </c>
      <c r="H1505" t="s">
        <v>18</v>
      </c>
      <c r="I1505">
        <v>6</v>
      </c>
      <c r="J1505">
        <v>29.7</v>
      </c>
      <c r="K1505">
        <v>1</v>
      </c>
      <c r="L1505">
        <v>3</v>
      </c>
      <c r="M1505">
        <v>21</v>
      </c>
      <c r="N1505" t="s">
        <v>588</v>
      </c>
    </row>
    <row r="1506" spans="1:14" x14ac:dyDescent="0.35">
      <c r="A1506" t="s">
        <v>786</v>
      </c>
      <c r="B1506" t="s">
        <v>320</v>
      </c>
      <c r="C1506" t="s">
        <v>16</v>
      </c>
      <c r="D1506">
        <v>0</v>
      </c>
      <c r="E1506">
        <v>20</v>
      </c>
      <c r="F1506" t="s">
        <v>134</v>
      </c>
      <c r="G1506">
        <v>18</v>
      </c>
      <c r="H1506" t="s">
        <v>18</v>
      </c>
      <c r="I1506">
        <v>4</v>
      </c>
      <c r="J1506">
        <v>28.3</v>
      </c>
      <c r="K1506">
        <v>3</v>
      </c>
      <c r="L1506">
        <v>3</v>
      </c>
      <c r="M1506">
        <v>21</v>
      </c>
      <c r="N1506" t="s">
        <v>133</v>
      </c>
    </row>
    <row r="1507" spans="1:14" x14ac:dyDescent="0.35">
      <c r="A1507" t="s">
        <v>786</v>
      </c>
      <c r="B1507" t="s">
        <v>322</v>
      </c>
      <c r="C1507" t="s">
        <v>16</v>
      </c>
      <c r="D1507">
        <v>2</v>
      </c>
      <c r="E1507">
        <v>18</v>
      </c>
      <c r="F1507" t="s">
        <v>135</v>
      </c>
      <c r="G1507">
        <v>18</v>
      </c>
      <c r="H1507" t="s">
        <v>18</v>
      </c>
      <c r="I1507">
        <v>3</v>
      </c>
      <c r="J1507">
        <v>29.4</v>
      </c>
      <c r="K1507">
        <v>2</v>
      </c>
      <c r="L1507">
        <v>3</v>
      </c>
      <c r="M1507">
        <v>21</v>
      </c>
      <c r="N1507" t="s">
        <v>136</v>
      </c>
    </row>
    <row r="1508" spans="1:14" x14ac:dyDescent="0.35">
      <c r="A1508" t="s">
        <v>786</v>
      </c>
      <c r="B1508" t="s">
        <v>137</v>
      </c>
      <c r="C1508" t="s">
        <v>29</v>
      </c>
      <c r="D1508">
        <v>0</v>
      </c>
      <c r="E1508">
        <v>18</v>
      </c>
      <c r="F1508" t="s">
        <v>141</v>
      </c>
      <c r="G1508">
        <v>18</v>
      </c>
      <c r="H1508" t="s">
        <v>18</v>
      </c>
      <c r="I1508">
        <v>16</v>
      </c>
      <c r="J1508">
        <v>20.6</v>
      </c>
      <c r="K1508">
        <v>2</v>
      </c>
      <c r="L1508">
        <v>3</v>
      </c>
      <c r="M1508">
        <v>21</v>
      </c>
      <c r="N1508" t="s">
        <v>437</v>
      </c>
    </row>
    <row r="1509" spans="1:14" x14ac:dyDescent="0.35">
      <c r="A1509" t="s">
        <v>786</v>
      </c>
      <c r="B1509" t="s">
        <v>138</v>
      </c>
      <c r="C1509" t="s">
        <v>16</v>
      </c>
      <c r="D1509">
        <v>2</v>
      </c>
      <c r="E1509">
        <v>18</v>
      </c>
      <c r="F1509" t="s">
        <v>439</v>
      </c>
      <c r="G1509">
        <v>18</v>
      </c>
      <c r="H1509" t="s">
        <v>18</v>
      </c>
      <c r="I1509">
        <v>4</v>
      </c>
      <c r="J1509">
        <v>27.3</v>
      </c>
      <c r="K1509">
        <v>2</v>
      </c>
      <c r="L1509">
        <v>3</v>
      </c>
      <c r="M1509">
        <v>21</v>
      </c>
      <c r="N1509" t="s">
        <v>442</v>
      </c>
    </row>
    <row r="1510" spans="1:14" x14ac:dyDescent="0.35">
      <c r="A1510" t="s">
        <v>786</v>
      </c>
      <c r="B1510" t="s">
        <v>122</v>
      </c>
      <c r="C1510" t="s">
        <v>16</v>
      </c>
      <c r="D1510">
        <v>2</v>
      </c>
      <c r="E1510">
        <v>20</v>
      </c>
      <c r="F1510" t="s">
        <v>522</v>
      </c>
      <c r="G1510">
        <v>18</v>
      </c>
      <c r="H1510" t="s">
        <v>18</v>
      </c>
      <c r="I1510">
        <v>4</v>
      </c>
      <c r="J1510">
        <v>30.9</v>
      </c>
      <c r="K1510">
        <v>4</v>
      </c>
      <c r="L1510">
        <v>4</v>
      </c>
      <c r="M1510">
        <v>22</v>
      </c>
      <c r="N1510" t="s">
        <v>146</v>
      </c>
    </row>
    <row r="1511" spans="1:14" x14ac:dyDescent="0.35">
      <c r="A1511" t="s">
        <v>786</v>
      </c>
      <c r="B1511" t="s">
        <v>145</v>
      </c>
      <c r="C1511" t="s">
        <v>16</v>
      </c>
      <c r="D1511">
        <v>4</v>
      </c>
      <c r="E1511">
        <v>17</v>
      </c>
      <c r="F1511" t="s">
        <v>319</v>
      </c>
      <c r="G1511">
        <v>18</v>
      </c>
      <c r="H1511" t="s">
        <v>18</v>
      </c>
      <c r="I1511">
        <v>4</v>
      </c>
      <c r="J1511">
        <v>26.6</v>
      </c>
      <c r="K1511">
        <v>2</v>
      </c>
      <c r="L1511">
        <v>4</v>
      </c>
      <c r="M1511">
        <v>22</v>
      </c>
      <c r="N1511" t="s">
        <v>686</v>
      </c>
    </row>
    <row r="1512" spans="1:14" x14ac:dyDescent="0.35">
      <c r="A1512" t="s">
        <v>786</v>
      </c>
      <c r="B1512" t="s">
        <v>149</v>
      </c>
      <c r="C1512" t="s">
        <v>16</v>
      </c>
      <c r="D1512">
        <v>3</v>
      </c>
      <c r="E1512">
        <v>17</v>
      </c>
      <c r="F1512" t="s">
        <v>589</v>
      </c>
      <c r="G1512">
        <v>18</v>
      </c>
      <c r="H1512" t="s">
        <v>18</v>
      </c>
      <c r="I1512">
        <v>9</v>
      </c>
      <c r="J1512">
        <v>34</v>
      </c>
      <c r="K1512">
        <v>4</v>
      </c>
      <c r="L1512">
        <v>3</v>
      </c>
      <c r="M1512">
        <v>21</v>
      </c>
      <c r="N1512" t="s">
        <v>166</v>
      </c>
    </row>
    <row r="1513" spans="1:14" x14ac:dyDescent="0.35">
      <c r="A1513" t="s">
        <v>786</v>
      </c>
      <c r="B1513" t="s">
        <v>122</v>
      </c>
      <c r="C1513" t="s">
        <v>29</v>
      </c>
      <c r="D1513">
        <v>0</v>
      </c>
      <c r="E1513">
        <v>18</v>
      </c>
      <c r="F1513" t="s">
        <v>589</v>
      </c>
      <c r="G1513">
        <v>18</v>
      </c>
      <c r="H1513" t="s">
        <v>18</v>
      </c>
      <c r="I1513">
        <v>19</v>
      </c>
      <c r="J1513">
        <v>24.5</v>
      </c>
      <c r="K1513">
        <v>1</v>
      </c>
      <c r="L1513">
        <v>4</v>
      </c>
      <c r="M1513">
        <v>22</v>
      </c>
      <c r="N1513" t="s">
        <v>444</v>
      </c>
    </row>
    <row r="1514" spans="1:14" x14ac:dyDescent="0.35">
      <c r="A1514" t="s">
        <v>786</v>
      </c>
      <c r="B1514" t="s">
        <v>438</v>
      </c>
      <c r="C1514" t="s">
        <v>16</v>
      </c>
      <c r="D1514">
        <v>2</v>
      </c>
      <c r="E1514">
        <v>17</v>
      </c>
      <c r="F1514" t="s">
        <v>148</v>
      </c>
      <c r="G1514">
        <v>18</v>
      </c>
      <c r="H1514" t="s">
        <v>18</v>
      </c>
      <c r="I1514">
        <v>5</v>
      </c>
      <c r="J1514">
        <v>24.7</v>
      </c>
      <c r="K1514">
        <v>3</v>
      </c>
      <c r="L1514">
        <v>2</v>
      </c>
      <c r="M1514">
        <v>20</v>
      </c>
      <c r="N1514" t="s">
        <v>163</v>
      </c>
    </row>
    <row r="1515" spans="1:14" x14ac:dyDescent="0.35">
      <c r="A1515" t="s">
        <v>786</v>
      </c>
      <c r="B1515" t="s">
        <v>442</v>
      </c>
      <c r="C1515" t="s">
        <v>16</v>
      </c>
      <c r="D1515">
        <v>1</v>
      </c>
      <c r="E1515">
        <v>17</v>
      </c>
      <c r="F1515" t="s">
        <v>143</v>
      </c>
      <c r="G1515">
        <v>18</v>
      </c>
      <c r="H1515" t="s">
        <v>18</v>
      </c>
      <c r="I1515">
        <v>10</v>
      </c>
      <c r="J1515">
        <v>30.1</v>
      </c>
      <c r="K1515">
        <v>1</v>
      </c>
      <c r="L1515">
        <v>3</v>
      </c>
      <c r="M1515">
        <v>21</v>
      </c>
      <c r="N1515" t="s">
        <v>154</v>
      </c>
    </row>
    <row r="1516" spans="1:14" x14ac:dyDescent="0.35">
      <c r="A1516" t="s">
        <v>786</v>
      </c>
      <c r="B1516" t="s">
        <v>623</v>
      </c>
      <c r="C1516" t="s">
        <v>29</v>
      </c>
      <c r="D1516">
        <v>0</v>
      </c>
      <c r="E1516">
        <v>11</v>
      </c>
      <c r="F1516" t="s">
        <v>156</v>
      </c>
      <c r="G1516">
        <v>11</v>
      </c>
      <c r="H1516" t="s">
        <v>157</v>
      </c>
      <c r="I1516">
        <v>19</v>
      </c>
      <c r="J1516">
        <v>28.1</v>
      </c>
      <c r="K1516">
        <v>2</v>
      </c>
      <c r="L1516">
        <v>3</v>
      </c>
      <c r="M1516">
        <v>14</v>
      </c>
      <c r="N1516" t="s">
        <v>178</v>
      </c>
    </row>
    <row r="1517" spans="1:14" x14ac:dyDescent="0.35">
      <c r="A1517" t="s">
        <v>786</v>
      </c>
      <c r="B1517" t="s">
        <v>156</v>
      </c>
      <c r="C1517" t="s">
        <v>16</v>
      </c>
      <c r="D1517">
        <v>0</v>
      </c>
      <c r="E1517">
        <v>21</v>
      </c>
      <c r="F1517" t="s">
        <v>441</v>
      </c>
      <c r="G1517">
        <v>18</v>
      </c>
      <c r="H1517" t="s">
        <v>18</v>
      </c>
      <c r="I1517">
        <v>4</v>
      </c>
      <c r="J1517">
        <v>31.2</v>
      </c>
      <c r="K1517">
        <v>3</v>
      </c>
      <c r="L1517">
        <v>2</v>
      </c>
      <c r="M1517">
        <v>20</v>
      </c>
      <c r="N1517" t="s">
        <v>167</v>
      </c>
    </row>
    <row r="1518" spans="1:14" x14ac:dyDescent="0.35">
      <c r="A1518" t="s">
        <v>786</v>
      </c>
      <c r="B1518" t="s">
        <v>160</v>
      </c>
      <c r="C1518" t="s">
        <v>16</v>
      </c>
      <c r="D1518">
        <v>3</v>
      </c>
      <c r="E1518">
        <v>16</v>
      </c>
      <c r="F1518" t="s">
        <v>163</v>
      </c>
      <c r="G1518">
        <v>18</v>
      </c>
      <c r="H1518" t="s">
        <v>18</v>
      </c>
      <c r="I1518">
        <v>4</v>
      </c>
      <c r="J1518">
        <v>27.9</v>
      </c>
      <c r="K1518">
        <v>0</v>
      </c>
      <c r="L1518">
        <v>0</v>
      </c>
      <c r="M1518">
        <v>18</v>
      </c>
      <c r="N1518" t="s">
        <v>179</v>
      </c>
    </row>
    <row r="1519" spans="1:14" x14ac:dyDescent="0.35">
      <c r="A1519" t="s">
        <v>786</v>
      </c>
      <c r="B1519" t="s">
        <v>165</v>
      </c>
      <c r="C1519" t="s">
        <v>16</v>
      </c>
      <c r="D1519">
        <v>1</v>
      </c>
      <c r="E1519">
        <v>18</v>
      </c>
      <c r="F1519" t="s">
        <v>168</v>
      </c>
      <c r="G1519">
        <v>18</v>
      </c>
      <c r="H1519" t="s">
        <v>18</v>
      </c>
      <c r="I1519">
        <v>4</v>
      </c>
      <c r="J1519">
        <v>28</v>
      </c>
      <c r="K1519">
        <v>3</v>
      </c>
      <c r="L1519">
        <v>4</v>
      </c>
      <c r="M1519">
        <v>22</v>
      </c>
      <c r="N1519" t="s">
        <v>186</v>
      </c>
    </row>
    <row r="1520" spans="1:14" x14ac:dyDescent="0.35">
      <c r="A1520" t="s">
        <v>786</v>
      </c>
      <c r="B1520" t="s">
        <v>328</v>
      </c>
      <c r="C1520" t="s">
        <v>29</v>
      </c>
      <c r="D1520">
        <v>0</v>
      </c>
      <c r="E1520">
        <v>16</v>
      </c>
      <c r="F1520" t="s">
        <v>335</v>
      </c>
      <c r="G1520">
        <v>16</v>
      </c>
      <c r="H1520" t="s">
        <v>157</v>
      </c>
      <c r="I1520">
        <v>15</v>
      </c>
      <c r="J1520">
        <v>25.2</v>
      </c>
      <c r="K1520">
        <v>1</v>
      </c>
      <c r="L1520">
        <v>2</v>
      </c>
      <c r="M1520">
        <v>18</v>
      </c>
      <c r="N1520" t="s">
        <v>181</v>
      </c>
    </row>
    <row r="1521" spans="1:14" x14ac:dyDescent="0.35">
      <c r="A1521" t="s">
        <v>786</v>
      </c>
      <c r="B1521" t="s">
        <v>333</v>
      </c>
      <c r="C1521" t="s">
        <v>16</v>
      </c>
      <c r="D1521">
        <v>1</v>
      </c>
      <c r="E1521">
        <v>21</v>
      </c>
      <c r="F1521" t="s">
        <v>169</v>
      </c>
      <c r="G1521">
        <v>18</v>
      </c>
      <c r="H1521" t="s">
        <v>18</v>
      </c>
      <c r="I1521">
        <v>4</v>
      </c>
      <c r="J1521">
        <v>29.6</v>
      </c>
      <c r="K1521">
        <v>2</v>
      </c>
      <c r="L1521">
        <v>4</v>
      </c>
      <c r="M1521">
        <v>22</v>
      </c>
      <c r="N1521" t="s">
        <v>451</v>
      </c>
    </row>
    <row r="1522" spans="1:14" x14ac:dyDescent="0.35">
      <c r="A1522" t="s">
        <v>786</v>
      </c>
      <c r="B1522" t="s">
        <v>171</v>
      </c>
      <c r="C1522" t="s">
        <v>16</v>
      </c>
      <c r="D1522">
        <v>4</v>
      </c>
      <c r="E1522">
        <v>16</v>
      </c>
      <c r="F1522" t="s">
        <v>158</v>
      </c>
      <c r="G1522">
        <v>18</v>
      </c>
      <c r="H1522" t="s">
        <v>18</v>
      </c>
      <c r="I1522">
        <v>2</v>
      </c>
      <c r="J1522">
        <v>32.799999999999997</v>
      </c>
      <c r="K1522">
        <v>3</v>
      </c>
      <c r="L1522">
        <v>2</v>
      </c>
      <c r="M1522">
        <v>20</v>
      </c>
      <c r="N1522" t="s">
        <v>338</v>
      </c>
    </row>
    <row r="1523" spans="1:14" x14ac:dyDescent="0.35">
      <c r="A1523" t="s">
        <v>786</v>
      </c>
      <c r="B1523" t="s">
        <v>175</v>
      </c>
      <c r="C1523" t="s">
        <v>16</v>
      </c>
      <c r="D1523">
        <v>2</v>
      </c>
      <c r="E1523">
        <v>18</v>
      </c>
      <c r="F1523" t="s">
        <v>154</v>
      </c>
      <c r="G1523">
        <v>18</v>
      </c>
      <c r="H1523" t="s">
        <v>18</v>
      </c>
      <c r="I1523">
        <v>3</v>
      </c>
      <c r="J1523">
        <v>24.8</v>
      </c>
      <c r="K1523">
        <v>3</v>
      </c>
      <c r="L1523">
        <v>5</v>
      </c>
      <c r="M1523">
        <v>23</v>
      </c>
      <c r="N1523" t="s">
        <v>337</v>
      </c>
    </row>
    <row r="1524" spans="1:14" x14ac:dyDescent="0.35">
      <c r="A1524" t="s">
        <v>786</v>
      </c>
      <c r="B1524" t="s">
        <v>448</v>
      </c>
      <c r="C1524" t="s">
        <v>29</v>
      </c>
      <c r="D1524">
        <v>0</v>
      </c>
      <c r="E1524">
        <v>18</v>
      </c>
      <c r="F1524" t="s">
        <v>339</v>
      </c>
      <c r="G1524">
        <v>18</v>
      </c>
      <c r="H1524" t="s">
        <v>18</v>
      </c>
      <c r="I1524">
        <v>12</v>
      </c>
      <c r="J1524">
        <v>25.6</v>
      </c>
      <c r="K1524">
        <v>2</v>
      </c>
      <c r="L1524">
        <v>2</v>
      </c>
      <c r="M1524">
        <v>20</v>
      </c>
      <c r="N1524" t="s">
        <v>338</v>
      </c>
    </row>
    <row r="1525" spans="1:14" x14ac:dyDescent="0.35">
      <c r="A1525" t="s">
        <v>786</v>
      </c>
      <c r="B1525" t="s">
        <v>176</v>
      </c>
      <c r="C1525" t="s">
        <v>16</v>
      </c>
      <c r="D1525">
        <v>2</v>
      </c>
      <c r="E1525">
        <v>17</v>
      </c>
      <c r="F1525" t="s">
        <v>449</v>
      </c>
      <c r="G1525">
        <v>18</v>
      </c>
      <c r="H1525" t="s">
        <v>18</v>
      </c>
      <c r="I1525">
        <v>5</v>
      </c>
      <c r="J1525">
        <v>31.1</v>
      </c>
      <c r="K1525">
        <v>2</v>
      </c>
      <c r="L1525">
        <v>2</v>
      </c>
      <c r="M1525">
        <v>20</v>
      </c>
      <c r="N1525" t="s">
        <v>182</v>
      </c>
    </row>
    <row r="1526" spans="1:14" x14ac:dyDescent="0.35">
      <c r="A1526" t="s">
        <v>786</v>
      </c>
      <c r="B1526" t="s">
        <v>445</v>
      </c>
      <c r="C1526" t="s">
        <v>16</v>
      </c>
      <c r="D1526">
        <v>1</v>
      </c>
      <c r="E1526">
        <v>18</v>
      </c>
      <c r="F1526" t="s">
        <v>340</v>
      </c>
      <c r="G1526">
        <v>18</v>
      </c>
      <c r="H1526" t="s">
        <v>18</v>
      </c>
      <c r="I1526">
        <v>10</v>
      </c>
      <c r="J1526">
        <v>28.5</v>
      </c>
      <c r="K1526">
        <v>1</v>
      </c>
      <c r="L1526">
        <v>3</v>
      </c>
      <c r="M1526">
        <v>21</v>
      </c>
      <c r="N1526" t="s">
        <v>625</v>
      </c>
    </row>
    <row r="1527" spans="1:14" x14ac:dyDescent="0.35">
      <c r="A1527" t="s">
        <v>786</v>
      </c>
      <c r="B1527" t="s">
        <v>445</v>
      </c>
      <c r="C1527" t="s">
        <v>29</v>
      </c>
      <c r="D1527">
        <v>0</v>
      </c>
      <c r="E1527">
        <v>8</v>
      </c>
      <c r="F1527" t="s">
        <v>451</v>
      </c>
      <c r="G1527">
        <v>8</v>
      </c>
      <c r="H1527" t="s">
        <v>157</v>
      </c>
      <c r="I1527">
        <v>15</v>
      </c>
      <c r="J1527">
        <v>20.7</v>
      </c>
      <c r="K1527">
        <v>2</v>
      </c>
      <c r="L1527">
        <v>3</v>
      </c>
      <c r="M1527">
        <v>11</v>
      </c>
      <c r="N1527" t="s">
        <v>453</v>
      </c>
    </row>
    <row r="1528" spans="1:14" x14ac:dyDescent="0.35">
      <c r="A1528" t="s">
        <v>786</v>
      </c>
      <c r="B1528" t="s">
        <v>334</v>
      </c>
      <c r="C1528" t="s">
        <v>16</v>
      </c>
      <c r="D1528">
        <v>1</v>
      </c>
      <c r="E1528">
        <v>17</v>
      </c>
      <c r="F1528" t="s">
        <v>187</v>
      </c>
      <c r="G1528">
        <v>18</v>
      </c>
      <c r="H1528" t="s">
        <v>18</v>
      </c>
      <c r="I1528">
        <v>13</v>
      </c>
      <c r="J1528">
        <v>31.7</v>
      </c>
      <c r="K1528">
        <v>1</v>
      </c>
      <c r="L1528">
        <v>2</v>
      </c>
      <c r="M1528">
        <v>20</v>
      </c>
      <c r="N1528" t="s">
        <v>454</v>
      </c>
    </row>
    <row r="1529" spans="1:14" x14ac:dyDescent="0.35">
      <c r="A1529" t="s">
        <v>786</v>
      </c>
      <c r="B1529" t="s">
        <v>337</v>
      </c>
      <c r="C1529" t="s">
        <v>29</v>
      </c>
      <c r="D1529">
        <v>0</v>
      </c>
      <c r="E1529">
        <v>6</v>
      </c>
      <c r="F1529" t="s">
        <v>180</v>
      </c>
      <c r="G1529">
        <v>6</v>
      </c>
      <c r="H1529" t="s">
        <v>157</v>
      </c>
      <c r="I1529">
        <v>15</v>
      </c>
      <c r="J1529">
        <v>26.2</v>
      </c>
      <c r="K1529">
        <v>0</v>
      </c>
      <c r="L1529">
        <v>0</v>
      </c>
      <c r="M1529">
        <v>6</v>
      </c>
      <c r="N1529" t="s">
        <v>198</v>
      </c>
    </row>
    <row r="1530" spans="1:14" x14ac:dyDescent="0.35">
      <c r="A1530" t="s">
        <v>786</v>
      </c>
      <c r="B1530" t="s">
        <v>534</v>
      </c>
      <c r="C1530" t="s">
        <v>16</v>
      </c>
      <c r="D1530">
        <v>0</v>
      </c>
      <c r="E1530">
        <v>11</v>
      </c>
      <c r="F1530" t="s">
        <v>341</v>
      </c>
      <c r="G1530">
        <v>11</v>
      </c>
      <c r="H1530" t="s">
        <v>157</v>
      </c>
      <c r="I1530">
        <v>15</v>
      </c>
      <c r="J1530">
        <v>26</v>
      </c>
      <c r="K1530">
        <v>1</v>
      </c>
      <c r="L1530">
        <v>2</v>
      </c>
      <c r="M1530">
        <v>13</v>
      </c>
      <c r="N1530" t="s">
        <v>771</v>
      </c>
    </row>
    <row r="1531" spans="1:14" x14ac:dyDescent="0.35">
      <c r="A1531" t="s">
        <v>786</v>
      </c>
      <c r="B1531" t="s">
        <v>341</v>
      </c>
      <c r="C1531" t="s">
        <v>29</v>
      </c>
      <c r="D1531">
        <v>0</v>
      </c>
      <c r="E1531">
        <v>7</v>
      </c>
      <c r="F1531" t="s">
        <v>454</v>
      </c>
      <c r="G1531">
        <v>7</v>
      </c>
      <c r="H1531" t="s">
        <v>157</v>
      </c>
      <c r="I1531">
        <v>15</v>
      </c>
      <c r="J1531">
        <v>21.8</v>
      </c>
      <c r="K1531">
        <v>4</v>
      </c>
      <c r="L1531">
        <v>2</v>
      </c>
      <c r="M1531">
        <v>9</v>
      </c>
      <c r="N1531" t="s">
        <v>540</v>
      </c>
    </row>
    <row r="1532" spans="1:14" x14ac:dyDescent="0.35">
      <c r="A1532" t="s">
        <v>786</v>
      </c>
      <c r="B1532" t="s">
        <v>455</v>
      </c>
      <c r="C1532" t="s">
        <v>16</v>
      </c>
      <c r="D1532">
        <v>0</v>
      </c>
      <c r="E1532">
        <v>11</v>
      </c>
      <c r="F1532" t="s">
        <v>535</v>
      </c>
      <c r="G1532">
        <v>11</v>
      </c>
      <c r="H1532" t="s">
        <v>157</v>
      </c>
      <c r="I1532">
        <v>15</v>
      </c>
      <c r="J1532">
        <v>34.5</v>
      </c>
      <c r="K1532">
        <v>1</v>
      </c>
      <c r="L1532">
        <v>3</v>
      </c>
      <c r="M1532">
        <v>14</v>
      </c>
      <c r="N1532" t="s">
        <v>462</v>
      </c>
    </row>
    <row r="1533" spans="1:14" x14ac:dyDescent="0.35">
      <c r="A1533" t="s">
        <v>786</v>
      </c>
      <c r="B1533" t="s">
        <v>198</v>
      </c>
      <c r="C1533" t="s">
        <v>16</v>
      </c>
      <c r="D1533">
        <v>0</v>
      </c>
      <c r="E1533">
        <v>17</v>
      </c>
      <c r="F1533" t="s">
        <v>199</v>
      </c>
      <c r="G1533">
        <v>17</v>
      </c>
      <c r="H1533" t="s">
        <v>157</v>
      </c>
      <c r="I1533">
        <v>15</v>
      </c>
      <c r="J1533">
        <v>31.4</v>
      </c>
      <c r="K1533">
        <v>1</v>
      </c>
      <c r="L1533">
        <v>2</v>
      </c>
      <c r="M1533">
        <v>19</v>
      </c>
      <c r="N1533" t="s">
        <v>749</v>
      </c>
    </row>
    <row r="1534" spans="1:14" x14ac:dyDescent="0.35">
      <c r="A1534" t="s">
        <v>786</v>
      </c>
      <c r="B1534" t="s">
        <v>456</v>
      </c>
      <c r="C1534" t="s">
        <v>29</v>
      </c>
      <c r="D1534">
        <v>0</v>
      </c>
      <c r="E1534">
        <v>3</v>
      </c>
      <c r="F1534" t="s">
        <v>538</v>
      </c>
      <c r="G1534">
        <v>3</v>
      </c>
      <c r="H1534" t="s">
        <v>157</v>
      </c>
      <c r="I1534">
        <v>15</v>
      </c>
      <c r="J1534">
        <v>23.8</v>
      </c>
      <c r="K1534">
        <v>4</v>
      </c>
      <c r="L1534">
        <v>3</v>
      </c>
      <c r="M1534">
        <v>6</v>
      </c>
      <c r="N1534" t="s">
        <v>593</v>
      </c>
    </row>
    <row r="1535" spans="1:14" x14ac:dyDescent="0.35">
      <c r="A1535" t="s">
        <v>786</v>
      </c>
      <c r="B1535" t="s">
        <v>354</v>
      </c>
      <c r="C1535" t="s">
        <v>16</v>
      </c>
      <c r="D1535">
        <v>0</v>
      </c>
      <c r="E1535">
        <v>11</v>
      </c>
      <c r="F1535" t="s">
        <v>708</v>
      </c>
      <c r="G1535">
        <v>11</v>
      </c>
      <c r="H1535" t="s">
        <v>157</v>
      </c>
      <c r="I1535">
        <v>15</v>
      </c>
      <c r="J1535">
        <v>28.3</v>
      </c>
      <c r="K1535">
        <v>0</v>
      </c>
      <c r="L1535">
        <v>0</v>
      </c>
      <c r="M1535">
        <v>11</v>
      </c>
      <c r="N1535" t="s">
        <v>363</v>
      </c>
    </row>
    <row r="1536" spans="1:14" x14ac:dyDescent="0.35">
      <c r="A1536" t="s">
        <v>786</v>
      </c>
      <c r="B1536" t="s">
        <v>200</v>
      </c>
      <c r="C1536" t="s">
        <v>16</v>
      </c>
      <c r="D1536">
        <v>0</v>
      </c>
      <c r="E1536">
        <v>13</v>
      </c>
      <c r="F1536" t="s">
        <v>593</v>
      </c>
      <c r="G1536">
        <v>13</v>
      </c>
      <c r="H1536" t="s">
        <v>157</v>
      </c>
      <c r="I1536">
        <v>15</v>
      </c>
      <c r="J1536">
        <v>27.6</v>
      </c>
      <c r="K1536">
        <v>1</v>
      </c>
      <c r="L1536">
        <v>2</v>
      </c>
      <c r="M1536">
        <v>15</v>
      </c>
      <c r="N1536" t="s">
        <v>366</v>
      </c>
    </row>
    <row r="1537" spans="1:14" x14ac:dyDescent="0.35">
      <c r="A1537" t="s">
        <v>786</v>
      </c>
      <c r="B1537" t="s">
        <v>203</v>
      </c>
      <c r="C1537" t="s">
        <v>16</v>
      </c>
      <c r="D1537">
        <v>0</v>
      </c>
      <c r="E1537">
        <v>11</v>
      </c>
      <c r="F1537" t="s">
        <v>206</v>
      </c>
      <c r="G1537">
        <v>11</v>
      </c>
      <c r="H1537" t="s">
        <v>157</v>
      </c>
      <c r="I1537">
        <v>15</v>
      </c>
      <c r="J1537">
        <v>23.8</v>
      </c>
      <c r="K1537">
        <v>0</v>
      </c>
      <c r="L1537">
        <v>0</v>
      </c>
      <c r="M1537">
        <v>11</v>
      </c>
      <c r="N1537" t="s">
        <v>214</v>
      </c>
    </row>
    <row r="1538" spans="1:14" x14ac:dyDescent="0.35">
      <c r="A1538" t="s">
        <v>786</v>
      </c>
      <c r="B1538" t="s">
        <v>543</v>
      </c>
      <c r="C1538" t="s">
        <v>16</v>
      </c>
      <c r="D1538">
        <v>0</v>
      </c>
      <c r="E1538">
        <v>7</v>
      </c>
      <c r="F1538" t="s">
        <v>662</v>
      </c>
      <c r="G1538">
        <v>7</v>
      </c>
      <c r="H1538" t="s">
        <v>157</v>
      </c>
      <c r="I1538">
        <v>15</v>
      </c>
      <c r="J1538">
        <v>26.8</v>
      </c>
      <c r="K1538">
        <v>0</v>
      </c>
      <c r="L1538">
        <v>0</v>
      </c>
      <c r="M1538">
        <v>7</v>
      </c>
      <c r="N1538" t="s">
        <v>370</v>
      </c>
    </row>
    <row r="1539" spans="1:14" x14ac:dyDescent="0.35">
      <c r="A1539" t="s">
        <v>786</v>
      </c>
      <c r="B1539" t="s">
        <v>546</v>
      </c>
      <c r="C1539" t="s">
        <v>16</v>
      </c>
      <c r="D1539">
        <v>0</v>
      </c>
      <c r="E1539">
        <v>13</v>
      </c>
      <c r="F1539" t="s">
        <v>665</v>
      </c>
      <c r="G1539">
        <v>13</v>
      </c>
      <c r="H1539" t="s">
        <v>157</v>
      </c>
      <c r="I1539">
        <v>15</v>
      </c>
      <c r="J1539">
        <v>23.1</v>
      </c>
      <c r="K1539">
        <v>2</v>
      </c>
      <c r="L1539">
        <v>0</v>
      </c>
      <c r="M1539">
        <v>13</v>
      </c>
      <c r="N1539" t="s">
        <v>220</v>
      </c>
    </row>
    <row r="1540" spans="1:14" x14ac:dyDescent="0.35">
      <c r="A1540" t="s">
        <v>786</v>
      </c>
      <c r="B1540" t="s">
        <v>549</v>
      </c>
      <c r="C1540" t="s">
        <v>16</v>
      </c>
      <c r="D1540">
        <v>0</v>
      </c>
      <c r="E1540">
        <v>12</v>
      </c>
      <c r="F1540" t="s">
        <v>215</v>
      </c>
      <c r="G1540">
        <v>12</v>
      </c>
      <c r="H1540" t="s">
        <v>157</v>
      </c>
      <c r="I1540">
        <v>15</v>
      </c>
      <c r="J1540">
        <v>24.2</v>
      </c>
      <c r="K1540">
        <v>2</v>
      </c>
      <c r="L1540">
        <v>3</v>
      </c>
      <c r="M1540">
        <v>15</v>
      </c>
      <c r="N1540" t="s">
        <v>376</v>
      </c>
    </row>
    <row r="1541" spans="1:14" x14ac:dyDescent="0.35">
      <c r="A1541" t="s">
        <v>786</v>
      </c>
      <c r="B1541" t="s">
        <v>743</v>
      </c>
      <c r="C1541" t="s">
        <v>16</v>
      </c>
      <c r="D1541">
        <v>0</v>
      </c>
      <c r="E1541">
        <v>10</v>
      </c>
      <c r="F1541" t="s">
        <v>727</v>
      </c>
      <c r="G1541">
        <v>10</v>
      </c>
      <c r="H1541" t="s">
        <v>157</v>
      </c>
      <c r="I1541">
        <v>15</v>
      </c>
      <c r="J1541">
        <v>26.4</v>
      </c>
      <c r="K1541">
        <v>3</v>
      </c>
      <c r="L1541">
        <v>1</v>
      </c>
      <c r="M1541">
        <v>11</v>
      </c>
      <c r="N1541" t="s">
        <v>605</v>
      </c>
    </row>
    <row r="1542" spans="1:14" x14ac:dyDescent="0.35">
      <c r="A1542" t="s">
        <v>786</v>
      </c>
      <c r="B1542" t="s">
        <v>599</v>
      </c>
      <c r="C1542" t="s">
        <v>16</v>
      </c>
      <c r="D1542">
        <v>0</v>
      </c>
      <c r="E1542">
        <v>11</v>
      </c>
      <c r="F1542" t="s">
        <v>668</v>
      </c>
      <c r="G1542">
        <v>11</v>
      </c>
      <c r="H1542" t="s">
        <v>157</v>
      </c>
      <c r="I1542">
        <v>15</v>
      </c>
      <c r="J1542">
        <v>28.7</v>
      </c>
      <c r="K1542">
        <v>2</v>
      </c>
      <c r="L1542">
        <v>1</v>
      </c>
      <c r="M1542">
        <v>12</v>
      </c>
      <c r="N1542" t="s">
        <v>558</v>
      </c>
    </row>
    <row r="1543" spans="1:14" x14ac:dyDescent="0.35">
      <c r="A1543" t="s">
        <v>786</v>
      </c>
      <c r="B1543" t="s">
        <v>374</v>
      </c>
      <c r="C1543" t="s">
        <v>16</v>
      </c>
      <c r="D1543">
        <v>0</v>
      </c>
      <c r="E1543">
        <v>13</v>
      </c>
      <c r="F1543" t="s">
        <v>377</v>
      </c>
      <c r="G1543">
        <v>13</v>
      </c>
      <c r="H1543" t="s">
        <v>157</v>
      </c>
      <c r="I1543">
        <v>15</v>
      </c>
      <c r="J1543">
        <v>29.9</v>
      </c>
      <c r="K1543">
        <v>2</v>
      </c>
      <c r="L1543">
        <v>3</v>
      </c>
      <c r="M1543">
        <v>16</v>
      </c>
      <c r="N1543" t="s">
        <v>481</v>
      </c>
    </row>
    <row r="1544" spans="1:14" x14ac:dyDescent="0.35">
      <c r="A1544" t="s">
        <v>786</v>
      </c>
      <c r="B1544" t="s">
        <v>602</v>
      </c>
      <c r="C1544" t="s">
        <v>16</v>
      </c>
      <c r="D1544">
        <v>0</v>
      </c>
      <c r="E1544">
        <v>15</v>
      </c>
      <c r="F1544" t="s">
        <v>789</v>
      </c>
      <c r="G1544">
        <v>15</v>
      </c>
      <c r="H1544" t="s">
        <v>157</v>
      </c>
      <c r="I1544">
        <v>15</v>
      </c>
      <c r="J1544">
        <v>22.3</v>
      </c>
      <c r="K1544">
        <v>1</v>
      </c>
      <c r="L1544">
        <v>2</v>
      </c>
      <c r="M1544">
        <v>17</v>
      </c>
      <c r="N1544" t="s">
        <v>386</v>
      </c>
    </row>
    <row r="1545" spans="1:14" x14ac:dyDescent="0.35">
      <c r="A1545" t="s">
        <v>786</v>
      </c>
      <c r="B1545" t="s">
        <v>730</v>
      </c>
      <c r="C1545" t="s">
        <v>16</v>
      </c>
      <c r="D1545">
        <v>0</v>
      </c>
      <c r="E1545">
        <v>9</v>
      </c>
      <c r="F1545" t="s">
        <v>731</v>
      </c>
      <c r="G1545">
        <v>9</v>
      </c>
      <c r="H1545" t="s">
        <v>157</v>
      </c>
      <c r="I1545">
        <v>15</v>
      </c>
      <c r="J1545">
        <v>28.4</v>
      </c>
      <c r="K1545">
        <v>1</v>
      </c>
      <c r="L1545">
        <v>0</v>
      </c>
      <c r="M1545">
        <v>9</v>
      </c>
      <c r="N1545" t="s">
        <v>488</v>
      </c>
    </row>
    <row r="1546" spans="1:14" x14ac:dyDescent="0.35">
      <c r="A1546" t="s">
        <v>786</v>
      </c>
      <c r="B1546" t="s">
        <v>713</v>
      </c>
      <c r="C1546" t="s">
        <v>16</v>
      </c>
      <c r="D1546">
        <v>0</v>
      </c>
      <c r="E1546">
        <v>11</v>
      </c>
      <c r="F1546" t="s">
        <v>714</v>
      </c>
      <c r="G1546">
        <v>11</v>
      </c>
      <c r="H1546" t="s">
        <v>157</v>
      </c>
      <c r="I1546">
        <v>15</v>
      </c>
      <c r="J1546">
        <v>27.3</v>
      </c>
      <c r="K1546">
        <v>0</v>
      </c>
      <c r="L1546">
        <v>0</v>
      </c>
      <c r="M1546">
        <v>11</v>
      </c>
      <c r="N1546" t="s">
        <v>489</v>
      </c>
    </row>
    <row r="1547" spans="1:14" x14ac:dyDescent="0.35">
      <c r="A1547" t="s">
        <v>786</v>
      </c>
      <c r="B1547" t="s">
        <v>752</v>
      </c>
      <c r="C1547" t="s">
        <v>16</v>
      </c>
      <c r="D1547">
        <v>0</v>
      </c>
      <c r="E1547">
        <v>18</v>
      </c>
      <c r="F1547" t="s">
        <v>715</v>
      </c>
      <c r="G1547">
        <v>18</v>
      </c>
      <c r="H1547" t="s">
        <v>18</v>
      </c>
      <c r="I1547">
        <v>14</v>
      </c>
      <c r="J1547">
        <v>27.3</v>
      </c>
      <c r="K1547">
        <v>2</v>
      </c>
      <c r="L1547">
        <v>3</v>
      </c>
      <c r="M1547">
        <v>21</v>
      </c>
      <c r="N1547" t="s">
        <v>674</v>
      </c>
    </row>
    <row r="1548" spans="1:14" x14ac:dyDescent="0.35">
      <c r="A1548" t="s">
        <v>786</v>
      </c>
      <c r="B1548" t="s">
        <v>610</v>
      </c>
      <c r="C1548" t="s">
        <v>16</v>
      </c>
      <c r="D1548">
        <v>0</v>
      </c>
      <c r="E1548">
        <v>14</v>
      </c>
      <c r="F1548" t="s">
        <v>695</v>
      </c>
      <c r="G1548">
        <v>14</v>
      </c>
      <c r="H1548" t="s">
        <v>157</v>
      </c>
      <c r="I1548">
        <v>15</v>
      </c>
      <c r="J1548">
        <v>28.7</v>
      </c>
      <c r="K1548">
        <v>1</v>
      </c>
      <c r="L1548">
        <v>1</v>
      </c>
      <c r="M1548">
        <v>15</v>
      </c>
      <c r="N1548" t="s">
        <v>245</v>
      </c>
    </row>
    <row r="1549" spans="1:14" x14ac:dyDescent="0.35">
      <c r="A1549" t="s">
        <v>786</v>
      </c>
      <c r="B1549" t="s">
        <v>564</v>
      </c>
      <c r="C1549" t="s">
        <v>16</v>
      </c>
      <c r="D1549">
        <v>0</v>
      </c>
      <c r="E1549">
        <v>15</v>
      </c>
      <c r="F1549" t="s">
        <v>717</v>
      </c>
      <c r="G1549">
        <v>15</v>
      </c>
      <c r="H1549" t="s">
        <v>157</v>
      </c>
      <c r="I1549">
        <v>15</v>
      </c>
      <c r="J1549">
        <v>27.6</v>
      </c>
      <c r="K1549">
        <v>4</v>
      </c>
      <c r="L1549">
        <v>0</v>
      </c>
      <c r="M1549">
        <v>15</v>
      </c>
      <c r="N1549" t="s">
        <v>790</v>
      </c>
    </row>
    <row r="1550" spans="1:14" x14ac:dyDescent="0.35">
      <c r="A1550" t="s">
        <v>786</v>
      </c>
      <c r="B1550" t="s">
        <v>779</v>
      </c>
      <c r="C1550" t="s">
        <v>16</v>
      </c>
      <c r="D1550">
        <v>0</v>
      </c>
      <c r="E1550">
        <v>19</v>
      </c>
      <c r="F1550" t="s">
        <v>571</v>
      </c>
      <c r="G1550">
        <v>18</v>
      </c>
      <c r="H1550" t="s">
        <v>18</v>
      </c>
      <c r="I1550">
        <v>14</v>
      </c>
      <c r="J1550">
        <v>29.3</v>
      </c>
      <c r="K1550">
        <v>3</v>
      </c>
      <c r="L1550">
        <v>2</v>
      </c>
      <c r="M1550">
        <v>20</v>
      </c>
      <c r="N1550" t="s">
        <v>791</v>
      </c>
    </row>
    <row r="1551" spans="1:14" x14ac:dyDescent="0.35">
      <c r="A1551" t="s">
        <v>786</v>
      </c>
      <c r="B1551" t="s">
        <v>493</v>
      </c>
      <c r="C1551" t="s">
        <v>16</v>
      </c>
      <c r="D1551">
        <v>1</v>
      </c>
      <c r="E1551">
        <v>8</v>
      </c>
      <c r="F1551" t="s">
        <v>494</v>
      </c>
      <c r="G1551">
        <v>9</v>
      </c>
      <c r="H1551" t="s">
        <v>157</v>
      </c>
      <c r="I1551">
        <v>15</v>
      </c>
      <c r="J1551">
        <v>27.3</v>
      </c>
      <c r="K1551">
        <v>4</v>
      </c>
      <c r="L1551">
        <v>3</v>
      </c>
      <c r="M1551">
        <v>12</v>
      </c>
      <c r="N1551" t="s">
        <v>495</v>
      </c>
    </row>
    <row r="1552" spans="1:14" x14ac:dyDescent="0.35">
      <c r="A1552" t="s">
        <v>792</v>
      </c>
      <c r="B1552" t="s">
        <v>15</v>
      </c>
      <c r="C1552" t="s">
        <v>16</v>
      </c>
      <c r="D1552">
        <v>0</v>
      </c>
      <c r="E1552">
        <v>21</v>
      </c>
      <c r="F1552" t="s">
        <v>21</v>
      </c>
      <c r="G1552">
        <v>18</v>
      </c>
      <c r="H1552" t="s">
        <v>18</v>
      </c>
      <c r="I1552">
        <v>6</v>
      </c>
      <c r="J1552">
        <v>29.7</v>
      </c>
      <c r="K1552">
        <v>1</v>
      </c>
      <c r="L1552">
        <v>4</v>
      </c>
      <c r="M1552">
        <v>22</v>
      </c>
      <c r="N1552" t="s">
        <v>257</v>
      </c>
    </row>
    <row r="1553" spans="1:14" x14ac:dyDescent="0.35">
      <c r="A1553" t="s">
        <v>792</v>
      </c>
      <c r="B1553" t="s">
        <v>23</v>
      </c>
      <c r="C1553" t="s">
        <v>16</v>
      </c>
      <c r="D1553">
        <v>3</v>
      </c>
      <c r="E1553">
        <v>17</v>
      </c>
      <c r="F1553" t="s">
        <v>24</v>
      </c>
      <c r="G1553">
        <v>18</v>
      </c>
      <c r="H1553" t="s">
        <v>18</v>
      </c>
      <c r="I1553">
        <v>3</v>
      </c>
      <c r="J1553">
        <v>27.1</v>
      </c>
      <c r="K1553">
        <v>1</v>
      </c>
      <c r="L1553">
        <v>3</v>
      </c>
      <c r="M1553">
        <v>21</v>
      </c>
      <c r="N1553" t="s">
        <v>25</v>
      </c>
    </row>
    <row r="1554" spans="1:14" x14ac:dyDescent="0.35">
      <c r="A1554" t="s">
        <v>792</v>
      </c>
      <c r="B1554" t="s">
        <v>26</v>
      </c>
      <c r="C1554" t="s">
        <v>16</v>
      </c>
      <c r="D1554">
        <v>2</v>
      </c>
      <c r="E1554">
        <v>18</v>
      </c>
      <c r="F1554" t="s">
        <v>256</v>
      </c>
      <c r="G1554">
        <v>18</v>
      </c>
      <c r="H1554" t="s">
        <v>18</v>
      </c>
      <c r="I1554">
        <v>2</v>
      </c>
      <c r="J1554">
        <v>32.4</v>
      </c>
      <c r="K1554">
        <v>1</v>
      </c>
      <c r="L1554">
        <v>3</v>
      </c>
      <c r="M1554">
        <v>21</v>
      </c>
      <c r="N1554" t="s">
        <v>259</v>
      </c>
    </row>
    <row r="1555" spans="1:14" x14ac:dyDescent="0.35">
      <c r="A1555" t="s">
        <v>792</v>
      </c>
      <c r="B1555" t="s">
        <v>263</v>
      </c>
      <c r="C1555" t="s">
        <v>16</v>
      </c>
      <c r="D1555">
        <v>2</v>
      </c>
      <c r="E1555">
        <v>19</v>
      </c>
      <c r="F1555" t="s">
        <v>27</v>
      </c>
      <c r="G1555">
        <v>18</v>
      </c>
      <c r="H1555" t="s">
        <v>18</v>
      </c>
      <c r="I1555">
        <v>2</v>
      </c>
      <c r="J1555">
        <v>27.9</v>
      </c>
      <c r="K1555">
        <v>0</v>
      </c>
      <c r="L1555">
        <v>0</v>
      </c>
      <c r="M1555">
        <v>18</v>
      </c>
      <c r="N1555" t="s">
        <v>408</v>
      </c>
    </row>
    <row r="1556" spans="1:14" x14ac:dyDescent="0.35">
      <c r="A1556" t="s">
        <v>792</v>
      </c>
      <c r="B1556" t="s">
        <v>405</v>
      </c>
      <c r="C1556" t="s">
        <v>29</v>
      </c>
      <c r="D1556">
        <v>0</v>
      </c>
      <c r="E1556">
        <v>18</v>
      </c>
      <c r="F1556" t="s">
        <v>30</v>
      </c>
      <c r="G1556">
        <v>18</v>
      </c>
      <c r="H1556" t="s">
        <v>18</v>
      </c>
      <c r="I1556">
        <v>16</v>
      </c>
      <c r="J1556">
        <v>21.5</v>
      </c>
      <c r="K1556">
        <v>3</v>
      </c>
      <c r="L1556">
        <v>4</v>
      </c>
      <c r="M1556">
        <v>22</v>
      </c>
      <c r="N1556" t="s">
        <v>501</v>
      </c>
    </row>
    <row r="1557" spans="1:14" x14ac:dyDescent="0.35">
      <c r="A1557" t="s">
        <v>792</v>
      </c>
      <c r="B1557" t="s">
        <v>30</v>
      </c>
      <c r="C1557" t="s">
        <v>16</v>
      </c>
      <c r="D1557">
        <v>3</v>
      </c>
      <c r="E1557">
        <v>17</v>
      </c>
      <c r="F1557" t="s">
        <v>33</v>
      </c>
      <c r="G1557">
        <v>18</v>
      </c>
      <c r="H1557" t="s">
        <v>18</v>
      </c>
      <c r="I1557">
        <v>4</v>
      </c>
      <c r="J1557">
        <v>26.9</v>
      </c>
      <c r="K1557">
        <v>3</v>
      </c>
      <c r="L1557">
        <v>3</v>
      </c>
      <c r="M1557">
        <v>21</v>
      </c>
      <c r="N1557" t="s">
        <v>42</v>
      </c>
    </row>
    <row r="1558" spans="1:14" x14ac:dyDescent="0.35">
      <c r="A1558" t="s">
        <v>792</v>
      </c>
      <c r="B1558" t="s">
        <v>701</v>
      </c>
      <c r="C1558" t="s">
        <v>16</v>
      </c>
      <c r="D1558">
        <v>2</v>
      </c>
      <c r="E1558">
        <v>16</v>
      </c>
      <c r="F1558" t="s">
        <v>261</v>
      </c>
      <c r="G1558">
        <v>18</v>
      </c>
      <c r="H1558" t="s">
        <v>18</v>
      </c>
      <c r="I1558">
        <v>2</v>
      </c>
      <c r="J1558">
        <v>27.9</v>
      </c>
      <c r="K1558">
        <v>2</v>
      </c>
      <c r="L1558">
        <v>5</v>
      </c>
      <c r="M1558">
        <v>23</v>
      </c>
      <c r="N1558" t="s">
        <v>32</v>
      </c>
    </row>
    <row r="1559" spans="1:14" x14ac:dyDescent="0.35">
      <c r="A1559" t="s">
        <v>792</v>
      </c>
      <c r="B1559" t="s">
        <v>34</v>
      </c>
      <c r="C1559" t="s">
        <v>16</v>
      </c>
      <c r="D1559">
        <v>0</v>
      </c>
      <c r="E1559">
        <v>19</v>
      </c>
      <c r="F1559" t="s">
        <v>39</v>
      </c>
      <c r="G1559">
        <v>18</v>
      </c>
      <c r="H1559" t="s">
        <v>18</v>
      </c>
      <c r="I1559">
        <v>4</v>
      </c>
      <c r="J1559">
        <v>25.9</v>
      </c>
      <c r="K1559">
        <v>0</v>
      </c>
      <c r="L1559">
        <v>0</v>
      </c>
      <c r="M1559">
        <v>18</v>
      </c>
      <c r="N1559" t="s">
        <v>500</v>
      </c>
    </row>
    <row r="1560" spans="1:14" x14ac:dyDescent="0.35">
      <c r="A1560" t="s">
        <v>792</v>
      </c>
      <c r="B1560" t="s">
        <v>499</v>
      </c>
      <c r="C1560" t="s">
        <v>29</v>
      </c>
      <c r="D1560">
        <v>0</v>
      </c>
      <c r="E1560">
        <v>18</v>
      </c>
      <c r="F1560" t="s">
        <v>22</v>
      </c>
      <c r="G1560">
        <v>18</v>
      </c>
      <c r="H1560" t="s">
        <v>18</v>
      </c>
      <c r="I1560">
        <v>16</v>
      </c>
      <c r="J1560">
        <v>20.7</v>
      </c>
      <c r="K1560">
        <v>0</v>
      </c>
      <c r="L1560">
        <v>0</v>
      </c>
      <c r="M1560">
        <v>18</v>
      </c>
      <c r="N1560" t="s">
        <v>500</v>
      </c>
    </row>
    <row r="1561" spans="1:14" x14ac:dyDescent="0.35">
      <c r="A1561" t="s">
        <v>792</v>
      </c>
      <c r="B1561" t="s">
        <v>41</v>
      </c>
      <c r="C1561" t="s">
        <v>16</v>
      </c>
      <c r="D1561">
        <v>1</v>
      </c>
      <c r="E1561">
        <v>18</v>
      </c>
      <c r="F1561" t="s">
        <v>408</v>
      </c>
      <c r="G1561">
        <v>18</v>
      </c>
      <c r="H1561" t="s">
        <v>18</v>
      </c>
      <c r="I1561">
        <v>13</v>
      </c>
      <c r="J1561">
        <v>30.9</v>
      </c>
      <c r="K1561">
        <v>2</v>
      </c>
      <c r="L1561">
        <v>5</v>
      </c>
      <c r="M1561">
        <v>23</v>
      </c>
      <c r="N1561" t="s">
        <v>43</v>
      </c>
    </row>
    <row r="1562" spans="1:14" x14ac:dyDescent="0.35">
      <c r="A1562" t="s">
        <v>792</v>
      </c>
      <c r="B1562" t="s">
        <v>681</v>
      </c>
      <c r="C1562" t="s">
        <v>16</v>
      </c>
      <c r="D1562">
        <v>1</v>
      </c>
      <c r="E1562">
        <v>18</v>
      </c>
      <c r="F1562" t="s">
        <v>500</v>
      </c>
      <c r="G1562">
        <v>18</v>
      </c>
      <c r="H1562" t="s">
        <v>18</v>
      </c>
      <c r="I1562">
        <v>10</v>
      </c>
      <c r="J1562">
        <v>28</v>
      </c>
      <c r="K1562">
        <v>1</v>
      </c>
      <c r="L1562">
        <v>4</v>
      </c>
      <c r="M1562">
        <v>22</v>
      </c>
      <c r="N1562" t="s">
        <v>51</v>
      </c>
    </row>
    <row r="1563" spans="1:14" x14ac:dyDescent="0.35">
      <c r="A1563" t="s">
        <v>792</v>
      </c>
      <c r="B1563" t="s">
        <v>40</v>
      </c>
      <c r="C1563" t="s">
        <v>16</v>
      </c>
      <c r="D1563">
        <v>1</v>
      </c>
      <c r="E1563">
        <v>19</v>
      </c>
      <c r="F1563" t="s">
        <v>576</v>
      </c>
      <c r="G1563">
        <v>18</v>
      </c>
      <c r="H1563" t="s">
        <v>18</v>
      </c>
      <c r="I1563">
        <v>5</v>
      </c>
      <c r="J1563">
        <v>31</v>
      </c>
      <c r="K1563">
        <v>3</v>
      </c>
      <c r="L1563">
        <v>5</v>
      </c>
      <c r="M1563">
        <v>23</v>
      </c>
      <c r="N1563" t="s">
        <v>268</v>
      </c>
    </row>
    <row r="1564" spans="1:14" x14ac:dyDescent="0.35">
      <c r="A1564" t="s">
        <v>792</v>
      </c>
      <c r="B1564" t="s">
        <v>25</v>
      </c>
      <c r="C1564" t="s">
        <v>29</v>
      </c>
      <c r="D1564">
        <v>0</v>
      </c>
      <c r="E1564">
        <v>19</v>
      </c>
      <c r="F1564" t="s">
        <v>48</v>
      </c>
      <c r="G1564">
        <v>18</v>
      </c>
      <c r="H1564" t="s">
        <v>18</v>
      </c>
      <c r="I1564">
        <v>26</v>
      </c>
      <c r="J1564">
        <v>22.6</v>
      </c>
      <c r="K1564">
        <v>3</v>
      </c>
      <c r="L1564">
        <v>2</v>
      </c>
      <c r="M1564">
        <v>20</v>
      </c>
      <c r="N1564" t="s">
        <v>65</v>
      </c>
    </row>
    <row r="1565" spans="1:14" x14ac:dyDescent="0.35">
      <c r="A1565" t="s">
        <v>792</v>
      </c>
      <c r="B1565" t="s">
        <v>267</v>
      </c>
      <c r="C1565" t="s">
        <v>16</v>
      </c>
      <c r="D1565">
        <v>2</v>
      </c>
      <c r="E1565">
        <v>20</v>
      </c>
      <c r="F1565" t="s">
        <v>265</v>
      </c>
      <c r="G1565">
        <v>18</v>
      </c>
      <c r="H1565" t="s">
        <v>18</v>
      </c>
      <c r="I1565">
        <v>4</v>
      </c>
      <c r="J1565">
        <v>32.4</v>
      </c>
      <c r="K1565">
        <v>4</v>
      </c>
      <c r="L1565">
        <v>4</v>
      </c>
      <c r="M1565">
        <v>22</v>
      </c>
      <c r="N1565" t="s">
        <v>412</v>
      </c>
    </row>
    <row r="1566" spans="1:14" x14ac:dyDescent="0.35">
      <c r="A1566" t="s">
        <v>792</v>
      </c>
      <c r="B1566" t="s">
        <v>411</v>
      </c>
      <c r="C1566" t="s">
        <v>16</v>
      </c>
      <c r="D1566">
        <v>4</v>
      </c>
      <c r="E1566">
        <v>18</v>
      </c>
      <c r="F1566" t="s">
        <v>55</v>
      </c>
      <c r="G1566">
        <v>18</v>
      </c>
      <c r="H1566" t="s">
        <v>18</v>
      </c>
      <c r="I1566">
        <v>4</v>
      </c>
      <c r="J1566">
        <v>24.9</v>
      </c>
      <c r="K1566">
        <v>2</v>
      </c>
      <c r="L1566">
        <v>6</v>
      </c>
      <c r="M1566">
        <v>24</v>
      </c>
      <c r="N1566" t="s">
        <v>70</v>
      </c>
    </row>
    <row r="1567" spans="1:14" x14ac:dyDescent="0.35">
      <c r="A1567" t="s">
        <v>792</v>
      </c>
      <c r="B1567" t="s">
        <v>273</v>
      </c>
      <c r="C1567" t="s">
        <v>16</v>
      </c>
      <c r="D1567">
        <v>4</v>
      </c>
      <c r="E1567">
        <v>16</v>
      </c>
      <c r="F1567" t="s">
        <v>274</v>
      </c>
      <c r="G1567">
        <v>18</v>
      </c>
      <c r="H1567" t="s">
        <v>18</v>
      </c>
      <c r="I1567">
        <v>4</v>
      </c>
      <c r="J1567">
        <v>29.8</v>
      </c>
      <c r="K1567">
        <v>2</v>
      </c>
      <c r="L1567">
        <v>5</v>
      </c>
      <c r="M1567">
        <v>23</v>
      </c>
      <c r="N1567" t="s">
        <v>283</v>
      </c>
    </row>
    <row r="1568" spans="1:14" x14ac:dyDescent="0.35">
      <c r="A1568" t="s">
        <v>792</v>
      </c>
      <c r="B1568" t="s">
        <v>52</v>
      </c>
      <c r="C1568" t="s">
        <v>29</v>
      </c>
      <c r="D1568">
        <v>1</v>
      </c>
      <c r="E1568">
        <v>18</v>
      </c>
      <c r="F1568" t="s">
        <v>274</v>
      </c>
      <c r="G1568">
        <v>18</v>
      </c>
      <c r="H1568" t="s">
        <v>18</v>
      </c>
      <c r="I1568">
        <v>11</v>
      </c>
      <c r="J1568">
        <v>26.4</v>
      </c>
      <c r="K1568">
        <v>3</v>
      </c>
      <c r="L1568">
        <v>4</v>
      </c>
      <c r="M1568">
        <v>22</v>
      </c>
      <c r="N1568" t="s">
        <v>577</v>
      </c>
    </row>
    <row r="1569" spans="1:14" x14ac:dyDescent="0.35">
      <c r="A1569" t="s">
        <v>792</v>
      </c>
      <c r="B1569" t="s">
        <v>59</v>
      </c>
      <c r="C1569" t="s">
        <v>16</v>
      </c>
      <c r="D1569">
        <v>2</v>
      </c>
      <c r="E1569">
        <v>16</v>
      </c>
      <c r="F1569" t="s">
        <v>504</v>
      </c>
      <c r="G1569">
        <v>18</v>
      </c>
      <c r="H1569" t="s">
        <v>18</v>
      </c>
      <c r="I1569">
        <v>2</v>
      </c>
      <c r="J1569">
        <v>31.9</v>
      </c>
      <c r="K1569">
        <v>3</v>
      </c>
      <c r="L1569">
        <v>5</v>
      </c>
      <c r="M1569">
        <v>23</v>
      </c>
      <c r="N1569" t="s">
        <v>66</v>
      </c>
    </row>
    <row r="1570" spans="1:14" x14ac:dyDescent="0.35">
      <c r="A1570" t="s">
        <v>792</v>
      </c>
      <c r="B1570" t="s">
        <v>62</v>
      </c>
      <c r="C1570" t="s">
        <v>16</v>
      </c>
      <c r="D1570">
        <v>0</v>
      </c>
      <c r="E1570">
        <v>18</v>
      </c>
      <c r="F1570" t="s">
        <v>51</v>
      </c>
      <c r="G1570">
        <v>18</v>
      </c>
      <c r="H1570" t="s">
        <v>18</v>
      </c>
      <c r="I1570">
        <v>3</v>
      </c>
      <c r="J1570">
        <v>28.6</v>
      </c>
      <c r="K1570">
        <v>1</v>
      </c>
      <c r="L1570">
        <v>4</v>
      </c>
      <c r="M1570">
        <v>22</v>
      </c>
      <c r="N1570" t="s">
        <v>276</v>
      </c>
    </row>
    <row r="1571" spans="1:14" x14ac:dyDescent="0.35">
      <c r="A1571" t="s">
        <v>792</v>
      </c>
      <c r="B1571" t="s">
        <v>59</v>
      </c>
      <c r="C1571" t="s">
        <v>29</v>
      </c>
      <c r="D1571">
        <v>1</v>
      </c>
      <c r="E1571">
        <v>19</v>
      </c>
      <c r="F1571" t="s">
        <v>46</v>
      </c>
      <c r="G1571">
        <v>18</v>
      </c>
      <c r="H1571" t="s">
        <v>18</v>
      </c>
      <c r="I1571">
        <v>7</v>
      </c>
      <c r="J1571">
        <v>24.5</v>
      </c>
      <c r="K1571">
        <v>1</v>
      </c>
      <c r="L1571">
        <v>4</v>
      </c>
      <c r="M1571">
        <v>22</v>
      </c>
      <c r="N1571" t="s">
        <v>413</v>
      </c>
    </row>
    <row r="1572" spans="1:14" x14ac:dyDescent="0.35">
      <c r="A1572" t="s">
        <v>792</v>
      </c>
      <c r="B1572" t="s">
        <v>46</v>
      </c>
      <c r="C1572" t="s">
        <v>16</v>
      </c>
      <c r="D1572">
        <v>0</v>
      </c>
      <c r="E1572">
        <v>19</v>
      </c>
      <c r="F1572" t="s">
        <v>49</v>
      </c>
      <c r="G1572">
        <v>18</v>
      </c>
      <c r="H1572" t="s">
        <v>18</v>
      </c>
      <c r="I1572">
        <v>4</v>
      </c>
      <c r="J1572">
        <v>28.3</v>
      </c>
      <c r="K1572">
        <v>2</v>
      </c>
      <c r="L1572">
        <v>5</v>
      </c>
      <c r="M1572">
        <v>23</v>
      </c>
      <c r="N1572" t="s">
        <v>416</v>
      </c>
    </row>
    <row r="1573" spans="1:14" x14ac:dyDescent="0.35">
      <c r="A1573" t="s">
        <v>792</v>
      </c>
      <c r="B1573" t="s">
        <v>415</v>
      </c>
      <c r="C1573" t="s">
        <v>16</v>
      </c>
      <c r="D1573">
        <v>1</v>
      </c>
      <c r="E1573">
        <v>19</v>
      </c>
      <c r="F1573" t="s">
        <v>410</v>
      </c>
      <c r="G1573">
        <v>18</v>
      </c>
      <c r="H1573" t="s">
        <v>18</v>
      </c>
      <c r="I1573">
        <v>4</v>
      </c>
      <c r="J1573">
        <v>25.6</v>
      </c>
      <c r="K1573">
        <v>1</v>
      </c>
      <c r="L1573">
        <v>4</v>
      </c>
      <c r="M1573">
        <v>22</v>
      </c>
      <c r="N1573" t="s">
        <v>286</v>
      </c>
    </row>
    <row r="1574" spans="1:14" x14ac:dyDescent="0.35">
      <c r="A1574" t="s">
        <v>792</v>
      </c>
      <c r="B1574" t="s">
        <v>67</v>
      </c>
      <c r="C1574" t="s">
        <v>29</v>
      </c>
      <c r="D1574">
        <v>2</v>
      </c>
      <c r="E1574">
        <v>17</v>
      </c>
      <c r="F1574" t="s">
        <v>577</v>
      </c>
      <c r="G1574">
        <v>18</v>
      </c>
      <c r="H1574" t="s">
        <v>18</v>
      </c>
      <c r="I1574">
        <v>17</v>
      </c>
      <c r="J1574">
        <v>22.4</v>
      </c>
      <c r="K1574">
        <v>4</v>
      </c>
      <c r="L1574">
        <v>4</v>
      </c>
      <c r="M1574">
        <v>22</v>
      </c>
      <c r="N1574" t="s">
        <v>417</v>
      </c>
    </row>
    <row r="1575" spans="1:14" x14ac:dyDescent="0.35">
      <c r="A1575" t="s">
        <v>792</v>
      </c>
      <c r="B1575" t="s">
        <v>502</v>
      </c>
      <c r="C1575" t="s">
        <v>16</v>
      </c>
      <c r="D1575">
        <v>2</v>
      </c>
      <c r="E1575">
        <v>18</v>
      </c>
      <c r="F1575" t="s">
        <v>505</v>
      </c>
      <c r="G1575">
        <v>18</v>
      </c>
      <c r="H1575" t="s">
        <v>18</v>
      </c>
      <c r="I1575">
        <v>9</v>
      </c>
      <c r="J1575">
        <v>23.5</v>
      </c>
      <c r="K1575">
        <v>1</v>
      </c>
      <c r="L1575">
        <v>4</v>
      </c>
      <c r="M1575">
        <v>22</v>
      </c>
      <c r="N1575" t="s">
        <v>77</v>
      </c>
    </row>
    <row r="1576" spans="1:14" x14ac:dyDescent="0.35">
      <c r="A1576" t="s">
        <v>792</v>
      </c>
      <c r="B1576" t="s">
        <v>281</v>
      </c>
      <c r="C1576" t="s">
        <v>16</v>
      </c>
      <c r="D1576">
        <v>2</v>
      </c>
      <c r="E1576">
        <v>16</v>
      </c>
      <c r="F1576" t="s">
        <v>284</v>
      </c>
      <c r="G1576">
        <v>18</v>
      </c>
      <c r="H1576" t="s">
        <v>18</v>
      </c>
      <c r="I1576">
        <v>13</v>
      </c>
      <c r="J1576">
        <v>31.6</v>
      </c>
      <c r="K1576">
        <v>2</v>
      </c>
      <c r="L1576">
        <v>4</v>
      </c>
      <c r="M1576">
        <v>22</v>
      </c>
      <c r="N1576" t="s">
        <v>96</v>
      </c>
    </row>
    <row r="1577" spans="1:14" x14ac:dyDescent="0.35">
      <c r="A1577" t="s">
        <v>792</v>
      </c>
      <c r="B1577" t="s">
        <v>619</v>
      </c>
      <c r="C1577" t="s">
        <v>16</v>
      </c>
      <c r="D1577">
        <v>0</v>
      </c>
      <c r="E1577">
        <v>19</v>
      </c>
      <c r="F1577" t="s">
        <v>417</v>
      </c>
      <c r="G1577">
        <v>18</v>
      </c>
      <c r="H1577" t="s">
        <v>18</v>
      </c>
      <c r="I1577">
        <v>5</v>
      </c>
      <c r="J1577">
        <v>27.8</v>
      </c>
      <c r="K1577">
        <v>2</v>
      </c>
      <c r="L1577">
        <v>3</v>
      </c>
      <c r="M1577">
        <v>21</v>
      </c>
      <c r="N1577" t="s">
        <v>98</v>
      </c>
    </row>
    <row r="1578" spans="1:14" x14ac:dyDescent="0.35">
      <c r="A1578" t="s">
        <v>792</v>
      </c>
      <c r="B1578" t="s">
        <v>287</v>
      </c>
      <c r="C1578" t="s">
        <v>16</v>
      </c>
      <c r="D1578">
        <v>1</v>
      </c>
      <c r="E1578">
        <v>20</v>
      </c>
      <c r="F1578" t="s">
        <v>644</v>
      </c>
      <c r="G1578">
        <v>18</v>
      </c>
      <c r="H1578" t="s">
        <v>18</v>
      </c>
      <c r="I1578">
        <v>3</v>
      </c>
      <c r="J1578">
        <v>27.6</v>
      </c>
      <c r="K1578">
        <v>0</v>
      </c>
      <c r="L1578">
        <v>0</v>
      </c>
      <c r="M1578">
        <v>18</v>
      </c>
      <c r="N1578" t="s">
        <v>580</v>
      </c>
    </row>
    <row r="1579" spans="1:14" x14ac:dyDescent="0.35">
      <c r="A1579" t="s">
        <v>792</v>
      </c>
      <c r="B1579" t="s">
        <v>288</v>
      </c>
      <c r="C1579" t="s">
        <v>16</v>
      </c>
      <c r="D1579">
        <v>3</v>
      </c>
      <c r="E1579">
        <v>19</v>
      </c>
      <c r="F1579" t="s">
        <v>282</v>
      </c>
      <c r="G1579">
        <v>18</v>
      </c>
      <c r="H1579" t="s">
        <v>18</v>
      </c>
      <c r="I1579">
        <v>3</v>
      </c>
      <c r="J1579">
        <v>30</v>
      </c>
      <c r="K1579">
        <v>0</v>
      </c>
      <c r="L1579">
        <v>0</v>
      </c>
      <c r="M1579">
        <v>18</v>
      </c>
      <c r="N1579" t="s">
        <v>291</v>
      </c>
    </row>
    <row r="1580" spans="1:14" x14ac:dyDescent="0.35">
      <c r="A1580" t="s">
        <v>792</v>
      </c>
      <c r="B1580" t="s">
        <v>505</v>
      </c>
      <c r="C1580" t="s">
        <v>29</v>
      </c>
      <c r="D1580">
        <v>1</v>
      </c>
      <c r="E1580">
        <v>17</v>
      </c>
      <c r="F1580" t="s">
        <v>282</v>
      </c>
      <c r="G1580">
        <v>18</v>
      </c>
      <c r="H1580" t="s">
        <v>18</v>
      </c>
      <c r="I1580">
        <v>29</v>
      </c>
      <c r="J1580">
        <v>21.8</v>
      </c>
      <c r="K1580">
        <v>4</v>
      </c>
      <c r="L1580">
        <v>4</v>
      </c>
      <c r="M1580">
        <v>22</v>
      </c>
      <c r="N1580" t="s">
        <v>78</v>
      </c>
    </row>
    <row r="1581" spans="1:14" x14ac:dyDescent="0.35">
      <c r="A1581" t="s">
        <v>792</v>
      </c>
      <c r="B1581" t="s">
        <v>290</v>
      </c>
      <c r="C1581" t="s">
        <v>16</v>
      </c>
      <c r="D1581">
        <v>4</v>
      </c>
      <c r="E1581">
        <v>14</v>
      </c>
      <c r="F1581" t="s">
        <v>292</v>
      </c>
      <c r="G1581">
        <v>18</v>
      </c>
      <c r="H1581" t="s">
        <v>18</v>
      </c>
      <c r="I1581">
        <v>3</v>
      </c>
      <c r="J1581">
        <v>31.6</v>
      </c>
      <c r="K1581">
        <v>0</v>
      </c>
      <c r="L1581">
        <v>0</v>
      </c>
      <c r="M1581">
        <v>18</v>
      </c>
      <c r="N1581" t="s">
        <v>92</v>
      </c>
    </row>
    <row r="1582" spans="1:14" x14ac:dyDescent="0.35">
      <c r="A1582" t="s">
        <v>792</v>
      </c>
      <c r="B1582" t="s">
        <v>419</v>
      </c>
      <c r="C1582" t="s">
        <v>16</v>
      </c>
      <c r="D1582">
        <v>0</v>
      </c>
      <c r="E1582">
        <v>18</v>
      </c>
      <c r="F1582" t="s">
        <v>293</v>
      </c>
      <c r="G1582">
        <v>18</v>
      </c>
      <c r="H1582" t="s">
        <v>18</v>
      </c>
      <c r="I1582">
        <v>3</v>
      </c>
      <c r="J1582">
        <v>29.3</v>
      </c>
      <c r="K1582">
        <v>2</v>
      </c>
      <c r="L1582">
        <v>5</v>
      </c>
      <c r="M1582">
        <v>23</v>
      </c>
      <c r="N1582" t="s">
        <v>702</v>
      </c>
    </row>
    <row r="1583" spans="1:14" x14ac:dyDescent="0.35">
      <c r="A1583" t="s">
        <v>792</v>
      </c>
      <c r="B1583" t="s">
        <v>88</v>
      </c>
      <c r="C1583" t="s">
        <v>16</v>
      </c>
      <c r="D1583">
        <v>0</v>
      </c>
      <c r="E1583">
        <v>18</v>
      </c>
      <c r="F1583" t="s">
        <v>76</v>
      </c>
      <c r="G1583">
        <v>18</v>
      </c>
      <c r="H1583" t="s">
        <v>18</v>
      </c>
      <c r="I1583">
        <v>4</v>
      </c>
      <c r="J1583">
        <v>27.8</v>
      </c>
      <c r="K1583">
        <v>2</v>
      </c>
      <c r="L1583">
        <v>4</v>
      </c>
      <c r="M1583">
        <v>22</v>
      </c>
      <c r="N1583" t="s">
        <v>645</v>
      </c>
    </row>
    <row r="1584" spans="1:14" x14ac:dyDescent="0.35">
      <c r="A1584" t="s">
        <v>792</v>
      </c>
      <c r="B1584" t="s">
        <v>420</v>
      </c>
      <c r="C1584" t="s">
        <v>16</v>
      </c>
      <c r="D1584">
        <v>0</v>
      </c>
      <c r="E1584">
        <v>21</v>
      </c>
      <c r="F1584" t="s">
        <v>96</v>
      </c>
      <c r="G1584">
        <v>18</v>
      </c>
      <c r="H1584" t="s">
        <v>18</v>
      </c>
      <c r="I1584">
        <v>2</v>
      </c>
      <c r="J1584">
        <v>35.200000000000003</v>
      </c>
      <c r="K1584">
        <v>0</v>
      </c>
      <c r="L1584">
        <v>0</v>
      </c>
      <c r="M1584">
        <v>18</v>
      </c>
      <c r="N1584" t="s">
        <v>422</v>
      </c>
    </row>
    <row r="1585" spans="1:14" x14ac:dyDescent="0.35">
      <c r="A1585" t="s">
        <v>792</v>
      </c>
      <c r="B1585" t="s">
        <v>295</v>
      </c>
      <c r="C1585" t="s">
        <v>16</v>
      </c>
      <c r="D1585">
        <v>3</v>
      </c>
      <c r="E1585">
        <v>15</v>
      </c>
      <c r="F1585" t="s">
        <v>301</v>
      </c>
      <c r="G1585">
        <v>18</v>
      </c>
      <c r="H1585" t="s">
        <v>18</v>
      </c>
      <c r="I1585">
        <v>5</v>
      </c>
      <c r="J1585">
        <v>24.4</v>
      </c>
      <c r="K1585">
        <v>0</v>
      </c>
      <c r="L1585">
        <v>0</v>
      </c>
      <c r="M1585">
        <v>18</v>
      </c>
      <c r="N1585" t="s">
        <v>106</v>
      </c>
    </row>
    <row r="1586" spans="1:14" x14ac:dyDescent="0.35">
      <c r="A1586" t="s">
        <v>792</v>
      </c>
      <c r="B1586" t="s">
        <v>85</v>
      </c>
      <c r="C1586" t="s">
        <v>29</v>
      </c>
      <c r="D1586">
        <v>0</v>
      </c>
      <c r="E1586">
        <v>18</v>
      </c>
      <c r="F1586" t="s">
        <v>580</v>
      </c>
      <c r="G1586">
        <v>18</v>
      </c>
      <c r="H1586" t="s">
        <v>18</v>
      </c>
      <c r="I1586">
        <v>20</v>
      </c>
      <c r="J1586">
        <v>20.3</v>
      </c>
      <c r="K1586">
        <v>2</v>
      </c>
      <c r="L1586">
        <v>3</v>
      </c>
      <c r="M1586">
        <v>21</v>
      </c>
      <c r="N1586" t="s">
        <v>97</v>
      </c>
    </row>
    <row r="1587" spans="1:14" x14ac:dyDescent="0.35">
      <c r="A1587" t="s">
        <v>792</v>
      </c>
      <c r="B1587" t="s">
        <v>509</v>
      </c>
      <c r="C1587" t="s">
        <v>16</v>
      </c>
      <c r="D1587">
        <v>0</v>
      </c>
      <c r="E1587">
        <v>18</v>
      </c>
      <c r="F1587" t="s">
        <v>299</v>
      </c>
      <c r="G1587">
        <v>18</v>
      </c>
      <c r="H1587" t="s">
        <v>18</v>
      </c>
      <c r="I1587">
        <v>9</v>
      </c>
      <c r="J1587">
        <v>32.200000000000003</v>
      </c>
      <c r="K1587">
        <v>0</v>
      </c>
      <c r="L1587">
        <v>0</v>
      </c>
      <c r="M1587">
        <v>18</v>
      </c>
      <c r="N1587" t="s">
        <v>513</v>
      </c>
    </row>
    <row r="1588" spans="1:14" x14ac:dyDescent="0.35">
      <c r="A1588" t="s">
        <v>792</v>
      </c>
      <c r="B1588" t="s">
        <v>92</v>
      </c>
      <c r="C1588" t="s">
        <v>16</v>
      </c>
      <c r="D1588">
        <v>0</v>
      </c>
      <c r="E1588">
        <v>19</v>
      </c>
      <c r="F1588" t="s">
        <v>297</v>
      </c>
      <c r="G1588">
        <v>18</v>
      </c>
      <c r="H1588" t="s">
        <v>18</v>
      </c>
      <c r="I1588">
        <v>12</v>
      </c>
      <c r="J1588">
        <v>30.4</v>
      </c>
      <c r="K1588">
        <v>2</v>
      </c>
      <c r="L1588">
        <v>5</v>
      </c>
      <c r="M1588">
        <v>23</v>
      </c>
      <c r="N1588" t="s">
        <v>620</v>
      </c>
    </row>
    <row r="1589" spans="1:14" x14ac:dyDescent="0.35">
      <c r="A1589" t="s">
        <v>792</v>
      </c>
      <c r="B1589" t="s">
        <v>512</v>
      </c>
      <c r="C1589" t="s">
        <v>16</v>
      </c>
      <c r="D1589">
        <v>1</v>
      </c>
      <c r="E1589">
        <v>17</v>
      </c>
      <c r="F1589" t="s">
        <v>306</v>
      </c>
      <c r="G1589">
        <v>18</v>
      </c>
      <c r="H1589" t="s">
        <v>18</v>
      </c>
      <c r="I1589">
        <v>24</v>
      </c>
      <c r="J1589">
        <v>30</v>
      </c>
      <c r="K1589">
        <v>0</v>
      </c>
      <c r="L1589">
        <v>0</v>
      </c>
      <c r="M1589">
        <v>18</v>
      </c>
      <c r="N1589" t="s">
        <v>793</v>
      </c>
    </row>
    <row r="1590" spans="1:14" x14ac:dyDescent="0.35">
      <c r="A1590" t="s">
        <v>792</v>
      </c>
      <c r="B1590" t="s">
        <v>81</v>
      </c>
      <c r="C1590" t="s">
        <v>29</v>
      </c>
      <c r="D1590">
        <v>0</v>
      </c>
      <c r="E1590">
        <v>18</v>
      </c>
      <c r="F1590" t="s">
        <v>620</v>
      </c>
      <c r="G1590">
        <v>18</v>
      </c>
      <c r="H1590" t="s">
        <v>18</v>
      </c>
      <c r="I1590">
        <v>52</v>
      </c>
      <c r="J1590">
        <v>24.9</v>
      </c>
      <c r="K1590">
        <v>1</v>
      </c>
      <c r="L1590">
        <v>1</v>
      </c>
      <c r="M1590">
        <v>19</v>
      </c>
      <c r="N1590" t="s">
        <v>429</v>
      </c>
    </row>
    <row r="1591" spans="1:14" x14ac:dyDescent="0.35">
      <c r="A1591" t="s">
        <v>792</v>
      </c>
      <c r="B1591" t="s">
        <v>768</v>
      </c>
      <c r="C1591" t="s">
        <v>16</v>
      </c>
      <c r="D1591">
        <v>0</v>
      </c>
      <c r="E1591">
        <v>18</v>
      </c>
      <c r="F1591" t="s">
        <v>426</v>
      </c>
      <c r="G1591">
        <v>18</v>
      </c>
      <c r="H1591" t="s">
        <v>18</v>
      </c>
      <c r="I1591">
        <v>26</v>
      </c>
      <c r="J1591">
        <v>26.7</v>
      </c>
      <c r="K1591">
        <v>3</v>
      </c>
      <c r="L1591">
        <v>2</v>
      </c>
      <c r="M1591">
        <v>20</v>
      </c>
      <c r="N1591" t="s">
        <v>427</v>
      </c>
    </row>
    <row r="1592" spans="1:14" x14ac:dyDescent="0.35">
      <c r="A1592" t="s">
        <v>792</v>
      </c>
      <c r="B1592" t="s">
        <v>793</v>
      </c>
      <c r="C1592" t="s">
        <v>16</v>
      </c>
      <c r="D1592">
        <v>0</v>
      </c>
      <c r="E1592">
        <v>18</v>
      </c>
      <c r="F1592" t="s">
        <v>523</v>
      </c>
      <c r="G1592">
        <v>18</v>
      </c>
      <c r="H1592" t="s">
        <v>18</v>
      </c>
      <c r="I1592">
        <v>30</v>
      </c>
      <c r="J1592">
        <v>29.5</v>
      </c>
      <c r="K1592">
        <v>4</v>
      </c>
      <c r="L1592">
        <v>0</v>
      </c>
      <c r="M1592">
        <v>18</v>
      </c>
      <c r="N1592" t="s">
        <v>318</v>
      </c>
    </row>
    <row r="1593" spans="1:14" x14ac:dyDescent="0.35">
      <c r="A1593" t="s">
        <v>792</v>
      </c>
      <c r="B1593" t="s">
        <v>520</v>
      </c>
      <c r="C1593" t="s">
        <v>16</v>
      </c>
      <c r="D1593">
        <v>0</v>
      </c>
      <c r="E1593">
        <v>20</v>
      </c>
      <c r="F1593" t="s">
        <v>621</v>
      </c>
      <c r="G1593">
        <v>18</v>
      </c>
      <c r="H1593" t="s">
        <v>18</v>
      </c>
      <c r="I1593">
        <v>12</v>
      </c>
      <c r="J1593">
        <v>25.4</v>
      </c>
      <c r="K1593">
        <v>1</v>
      </c>
      <c r="L1593">
        <v>3</v>
      </c>
      <c r="M1593">
        <v>21</v>
      </c>
      <c r="N1593" t="s">
        <v>137</v>
      </c>
    </row>
    <row r="1594" spans="1:14" x14ac:dyDescent="0.35">
      <c r="A1594" t="s">
        <v>792</v>
      </c>
      <c r="B1594" t="s">
        <v>516</v>
      </c>
      <c r="C1594" t="s">
        <v>29</v>
      </c>
      <c r="D1594">
        <v>0</v>
      </c>
      <c r="E1594">
        <v>18</v>
      </c>
      <c r="F1594" t="s">
        <v>318</v>
      </c>
      <c r="G1594">
        <v>18</v>
      </c>
      <c r="H1594" t="s">
        <v>18</v>
      </c>
      <c r="I1594">
        <v>78</v>
      </c>
      <c r="J1594">
        <v>22.7</v>
      </c>
      <c r="K1594">
        <v>2</v>
      </c>
      <c r="L1594">
        <v>2</v>
      </c>
      <c r="M1594">
        <v>20</v>
      </c>
      <c r="N1594" t="s">
        <v>135</v>
      </c>
    </row>
    <row r="1595" spans="1:14" x14ac:dyDescent="0.35">
      <c r="A1595" t="s">
        <v>792</v>
      </c>
      <c r="B1595" t="s">
        <v>584</v>
      </c>
      <c r="C1595" t="s">
        <v>16</v>
      </c>
      <c r="D1595">
        <v>2</v>
      </c>
      <c r="E1595">
        <v>16</v>
      </c>
      <c r="F1595" t="s">
        <v>119</v>
      </c>
      <c r="G1595">
        <v>18</v>
      </c>
      <c r="H1595" t="s">
        <v>18</v>
      </c>
      <c r="I1595">
        <v>20</v>
      </c>
      <c r="J1595">
        <v>27.2</v>
      </c>
      <c r="K1595">
        <v>0</v>
      </c>
      <c r="L1595">
        <v>0</v>
      </c>
      <c r="M1595">
        <v>18</v>
      </c>
      <c r="N1595" t="s">
        <v>522</v>
      </c>
    </row>
    <row r="1596" spans="1:14" x14ac:dyDescent="0.35">
      <c r="A1596" t="s">
        <v>792</v>
      </c>
      <c r="B1596" t="s">
        <v>654</v>
      </c>
      <c r="C1596" t="s">
        <v>16</v>
      </c>
      <c r="D1596">
        <v>0</v>
      </c>
      <c r="E1596">
        <v>19</v>
      </c>
      <c r="F1596" t="s">
        <v>126</v>
      </c>
      <c r="G1596">
        <v>18</v>
      </c>
      <c r="H1596" t="s">
        <v>18</v>
      </c>
      <c r="I1596">
        <v>4</v>
      </c>
      <c r="J1596">
        <v>30.2</v>
      </c>
      <c r="K1596">
        <v>4</v>
      </c>
      <c r="L1596">
        <v>0</v>
      </c>
      <c r="M1596">
        <v>18</v>
      </c>
      <c r="N1596" t="s">
        <v>327</v>
      </c>
    </row>
    <row r="1597" spans="1:14" x14ac:dyDescent="0.35">
      <c r="A1597" t="s">
        <v>792</v>
      </c>
      <c r="B1597" t="s">
        <v>128</v>
      </c>
      <c r="C1597" t="s">
        <v>16</v>
      </c>
      <c r="D1597">
        <v>1</v>
      </c>
      <c r="E1597">
        <v>20</v>
      </c>
      <c r="F1597" t="s">
        <v>129</v>
      </c>
      <c r="G1597">
        <v>18</v>
      </c>
      <c r="H1597" t="s">
        <v>18</v>
      </c>
      <c r="I1597">
        <v>4</v>
      </c>
      <c r="J1597">
        <v>30.9</v>
      </c>
      <c r="K1597">
        <v>3</v>
      </c>
      <c r="L1597">
        <v>4</v>
      </c>
      <c r="M1597">
        <v>22</v>
      </c>
      <c r="N1597" t="s">
        <v>437</v>
      </c>
    </row>
    <row r="1598" spans="1:14" x14ac:dyDescent="0.35">
      <c r="A1598" t="s">
        <v>792</v>
      </c>
      <c r="B1598" t="s">
        <v>726</v>
      </c>
      <c r="C1598" t="s">
        <v>29</v>
      </c>
      <c r="D1598">
        <v>0</v>
      </c>
      <c r="E1598">
        <v>18</v>
      </c>
      <c r="F1598" t="s">
        <v>132</v>
      </c>
      <c r="G1598">
        <v>18</v>
      </c>
      <c r="H1598" t="s">
        <v>18</v>
      </c>
      <c r="I1598">
        <v>14</v>
      </c>
      <c r="J1598">
        <v>19.100000000000001</v>
      </c>
      <c r="K1598">
        <v>1</v>
      </c>
      <c r="L1598">
        <v>4</v>
      </c>
      <c r="M1598">
        <v>22</v>
      </c>
      <c r="N1598" t="s">
        <v>524</v>
      </c>
    </row>
    <row r="1599" spans="1:14" x14ac:dyDescent="0.35">
      <c r="A1599" t="s">
        <v>792</v>
      </c>
      <c r="B1599" t="s">
        <v>131</v>
      </c>
      <c r="C1599" t="s">
        <v>16</v>
      </c>
      <c r="D1599">
        <v>3</v>
      </c>
      <c r="E1599">
        <v>16</v>
      </c>
      <c r="F1599" t="s">
        <v>322</v>
      </c>
      <c r="G1599">
        <v>18</v>
      </c>
      <c r="H1599" t="s">
        <v>18</v>
      </c>
      <c r="I1599">
        <v>3</v>
      </c>
      <c r="J1599">
        <v>29.6</v>
      </c>
      <c r="K1599">
        <v>3</v>
      </c>
      <c r="L1599">
        <v>2</v>
      </c>
      <c r="M1599">
        <v>20</v>
      </c>
      <c r="N1599" t="s">
        <v>438</v>
      </c>
    </row>
    <row r="1600" spans="1:14" x14ac:dyDescent="0.35">
      <c r="A1600" t="s">
        <v>792</v>
      </c>
      <c r="B1600" t="s">
        <v>324</v>
      </c>
      <c r="C1600" t="s">
        <v>16</v>
      </c>
      <c r="D1600">
        <v>1</v>
      </c>
      <c r="E1600">
        <v>19</v>
      </c>
      <c r="F1600" t="s">
        <v>139</v>
      </c>
      <c r="G1600">
        <v>18</v>
      </c>
      <c r="H1600" t="s">
        <v>18</v>
      </c>
      <c r="I1600">
        <v>4</v>
      </c>
      <c r="J1600">
        <v>29.7</v>
      </c>
      <c r="K1600">
        <v>0</v>
      </c>
      <c r="L1600">
        <v>0</v>
      </c>
      <c r="M1600">
        <v>18</v>
      </c>
      <c r="N1600" t="s">
        <v>148</v>
      </c>
    </row>
    <row r="1601" spans="1:14" x14ac:dyDescent="0.35">
      <c r="A1601" t="s">
        <v>792</v>
      </c>
      <c r="B1601" t="s">
        <v>141</v>
      </c>
      <c r="C1601" t="s">
        <v>16</v>
      </c>
      <c r="D1601">
        <v>2</v>
      </c>
      <c r="E1601">
        <v>20</v>
      </c>
      <c r="F1601" t="s">
        <v>439</v>
      </c>
      <c r="G1601">
        <v>18</v>
      </c>
      <c r="H1601" t="s">
        <v>18</v>
      </c>
      <c r="I1601">
        <v>2</v>
      </c>
      <c r="J1601">
        <v>32</v>
      </c>
      <c r="K1601">
        <v>1</v>
      </c>
      <c r="L1601">
        <v>3</v>
      </c>
      <c r="M1601">
        <v>21</v>
      </c>
      <c r="N1601" t="s">
        <v>325</v>
      </c>
    </row>
    <row r="1602" spans="1:14" x14ac:dyDescent="0.35">
      <c r="A1602" t="s">
        <v>792</v>
      </c>
      <c r="B1602" t="s">
        <v>122</v>
      </c>
      <c r="C1602" t="s">
        <v>16</v>
      </c>
      <c r="D1602">
        <v>4</v>
      </c>
      <c r="E1602">
        <v>14</v>
      </c>
      <c r="F1602" t="s">
        <v>144</v>
      </c>
      <c r="G1602">
        <v>18</v>
      </c>
      <c r="H1602" t="s">
        <v>18</v>
      </c>
      <c r="I1602">
        <v>2</v>
      </c>
      <c r="J1602">
        <v>29.1</v>
      </c>
      <c r="K1602">
        <v>3</v>
      </c>
      <c r="L1602">
        <v>6</v>
      </c>
      <c r="M1602">
        <v>24</v>
      </c>
      <c r="N1602" t="s">
        <v>325</v>
      </c>
    </row>
    <row r="1603" spans="1:14" x14ac:dyDescent="0.35">
      <c r="A1603" t="s">
        <v>792</v>
      </c>
      <c r="B1603" t="s">
        <v>134</v>
      </c>
      <c r="C1603" t="s">
        <v>29</v>
      </c>
      <c r="D1603">
        <v>0</v>
      </c>
      <c r="E1603">
        <v>21</v>
      </c>
      <c r="F1603" t="s">
        <v>144</v>
      </c>
      <c r="G1603">
        <v>18</v>
      </c>
      <c r="H1603" t="s">
        <v>18</v>
      </c>
      <c r="I1603">
        <v>12</v>
      </c>
      <c r="J1603">
        <v>20.8</v>
      </c>
      <c r="K1603">
        <v>0</v>
      </c>
      <c r="L1603">
        <v>0</v>
      </c>
      <c r="M1603">
        <v>18</v>
      </c>
      <c r="N1603" t="s">
        <v>656</v>
      </c>
    </row>
    <row r="1604" spans="1:14" x14ac:dyDescent="0.35">
      <c r="A1604" t="s">
        <v>792</v>
      </c>
      <c r="B1604" t="s">
        <v>526</v>
      </c>
      <c r="C1604" t="s">
        <v>16</v>
      </c>
      <c r="D1604">
        <v>0</v>
      </c>
      <c r="E1604">
        <v>19</v>
      </c>
      <c r="F1604" t="s">
        <v>524</v>
      </c>
      <c r="G1604">
        <v>18</v>
      </c>
      <c r="H1604" t="s">
        <v>18</v>
      </c>
      <c r="I1604">
        <v>5</v>
      </c>
      <c r="J1604">
        <v>26.5</v>
      </c>
      <c r="K1604">
        <v>0</v>
      </c>
      <c r="L1604">
        <v>0</v>
      </c>
      <c r="M1604">
        <v>18</v>
      </c>
      <c r="N1604" t="s">
        <v>146</v>
      </c>
    </row>
    <row r="1605" spans="1:14" x14ac:dyDescent="0.35">
      <c r="A1605" t="s">
        <v>792</v>
      </c>
      <c r="B1605" t="s">
        <v>319</v>
      </c>
      <c r="C1605" t="s">
        <v>16</v>
      </c>
      <c r="D1605">
        <v>1</v>
      </c>
      <c r="E1605">
        <v>18</v>
      </c>
      <c r="F1605" t="s">
        <v>656</v>
      </c>
      <c r="G1605">
        <v>18</v>
      </c>
      <c r="H1605" t="s">
        <v>18</v>
      </c>
      <c r="I1605">
        <v>13</v>
      </c>
      <c r="J1605">
        <v>29.3</v>
      </c>
      <c r="K1605">
        <v>3</v>
      </c>
      <c r="L1605">
        <v>3</v>
      </c>
      <c r="M1605">
        <v>21</v>
      </c>
      <c r="N1605" t="s">
        <v>153</v>
      </c>
    </row>
    <row r="1606" spans="1:14" x14ac:dyDescent="0.35">
      <c r="A1606" t="s">
        <v>792</v>
      </c>
      <c r="B1606" t="s">
        <v>526</v>
      </c>
      <c r="C1606" t="s">
        <v>29</v>
      </c>
      <c r="D1606">
        <v>3</v>
      </c>
      <c r="E1606">
        <v>15</v>
      </c>
      <c r="F1606" t="s">
        <v>148</v>
      </c>
      <c r="G1606">
        <v>18</v>
      </c>
      <c r="H1606" t="s">
        <v>18</v>
      </c>
      <c r="I1606">
        <v>22</v>
      </c>
      <c r="J1606">
        <v>26.5</v>
      </c>
      <c r="K1606">
        <v>4</v>
      </c>
      <c r="L1606">
        <v>1</v>
      </c>
      <c r="M1606">
        <v>19</v>
      </c>
      <c r="N1606" t="s">
        <v>153</v>
      </c>
    </row>
    <row r="1607" spans="1:14" x14ac:dyDescent="0.35">
      <c r="A1607" t="s">
        <v>792</v>
      </c>
      <c r="B1607" t="s">
        <v>136</v>
      </c>
      <c r="C1607" t="s">
        <v>16</v>
      </c>
      <c r="D1607">
        <v>1</v>
      </c>
      <c r="E1607">
        <v>17</v>
      </c>
      <c r="F1607" t="s">
        <v>686</v>
      </c>
      <c r="G1607">
        <v>18</v>
      </c>
      <c r="H1607" t="s">
        <v>18</v>
      </c>
      <c r="I1607">
        <v>12</v>
      </c>
      <c r="J1607">
        <v>26.1</v>
      </c>
      <c r="K1607">
        <v>3</v>
      </c>
      <c r="L1607">
        <v>5</v>
      </c>
      <c r="M1607">
        <v>23</v>
      </c>
      <c r="N1607" t="s">
        <v>528</v>
      </c>
    </row>
    <row r="1608" spans="1:14" x14ac:dyDescent="0.35">
      <c r="A1608" t="s">
        <v>792</v>
      </c>
      <c r="B1608" t="s">
        <v>143</v>
      </c>
      <c r="C1608" t="s">
        <v>16</v>
      </c>
      <c r="D1608">
        <v>0</v>
      </c>
      <c r="E1608">
        <v>18</v>
      </c>
      <c r="F1608" t="s">
        <v>328</v>
      </c>
      <c r="G1608">
        <v>18</v>
      </c>
      <c r="H1608" t="s">
        <v>18</v>
      </c>
      <c r="I1608">
        <v>5</v>
      </c>
      <c r="J1608">
        <v>27.6</v>
      </c>
      <c r="K1608">
        <v>0</v>
      </c>
      <c r="L1608">
        <v>0</v>
      </c>
      <c r="M1608">
        <v>18</v>
      </c>
      <c r="N1608" t="s">
        <v>178</v>
      </c>
    </row>
    <row r="1609" spans="1:14" x14ac:dyDescent="0.35">
      <c r="A1609" t="s">
        <v>792</v>
      </c>
      <c r="B1609" t="s">
        <v>655</v>
      </c>
      <c r="C1609" t="s">
        <v>29</v>
      </c>
      <c r="D1609">
        <v>0</v>
      </c>
      <c r="E1609">
        <v>6</v>
      </c>
      <c r="F1609" t="s">
        <v>150</v>
      </c>
      <c r="G1609">
        <v>6</v>
      </c>
      <c r="H1609" t="s">
        <v>157</v>
      </c>
      <c r="I1609">
        <v>15</v>
      </c>
      <c r="J1609">
        <v>21.8</v>
      </c>
      <c r="K1609">
        <v>0</v>
      </c>
      <c r="L1609">
        <v>0</v>
      </c>
      <c r="M1609">
        <v>6</v>
      </c>
      <c r="N1609" t="s">
        <v>175</v>
      </c>
    </row>
    <row r="1610" spans="1:14" x14ac:dyDescent="0.35">
      <c r="A1610" t="s">
        <v>792</v>
      </c>
      <c r="B1610" t="s">
        <v>150</v>
      </c>
      <c r="C1610" t="s">
        <v>16</v>
      </c>
      <c r="D1610">
        <v>0</v>
      </c>
      <c r="E1610">
        <v>20</v>
      </c>
      <c r="F1610" t="s">
        <v>160</v>
      </c>
      <c r="G1610">
        <v>18</v>
      </c>
      <c r="H1610" t="s">
        <v>18</v>
      </c>
      <c r="I1610">
        <v>3</v>
      </c>
      <c r="J1610">
        <v>32.1</v>
      </c>
      <c r="K1610">
        <v>0</v>
      </c>
      <c r="L1610">
        <v>0</v>
      </c>
      <c r="M1610">
        <v>18</v>
      </c>
      <c r="N1610" t="s">
        <v>183</v>
      </c>
    </row>
    <row r="1611" spans="1:14" x14ac:dyDescent="0.35">
      <c r="A1611" t="s">
        <v>792</v>
      </c>
      <c r="B1611" t="s">
        <v>162</v>
      </c>
      <c r="C1611" t="s">
        <v>16</v>
      </c>
      <c r="D1611">
        <v>2</v>
      </c>
      <c r="E1611">
        <v>16</v>
      </c>
      <c r="F1611" t="s">
        <v>163</v>
      </c>
      <c r="G1611">
        <v>18</v>
      </c>
      <c r="H1611" t="s">
        <v>18</v>
      </c>
      <c r="I1611">
        <v>3</v>
      </c>
      <c r="J1611">
        <v>26.3</v>
      </c>
      <c r="K1611">
        <v>2</v>
      </c>
      <c r="L1611">
        <v>2</v>
      </c>
      <c r="M1611">
        <v>20</v>
      </c>
      <c r="N1611" t="s">
        <v>167</v>
      </c>
    </row>
    <row r="1612" spans="1:14" x14ac:dyDescent="0.35">
      <c r="A1612" t="s">
        <v>792</v>
      </c>
      <c r="B1612" t="s">
        <v>165</v>
      </c>
      <c r="C1612" t="s">
        <v>16</v>
      </c>
      <c r="D1612">
        <v>0</v>
      </c>
      <c r="E1612">
        <v>19</v>
      </c>
      <c r="F1612" t="s">
        <v>168</v>
      </c>
      <c r="G1612">
        <v>18</v>
      </c>
      <c r="H1612" t="s">
        <v>18</v>
      </c>
      <c r="I1612">
        <v>4</v>
      </c>
      <c r="J1612">
        <v>27.2</v>
      </c>
      <c r="K1612">
        <v>1</v>
      </c>
      <c r="L1612">
        <v>4</v>
      </c>
      <c r="M1612">
        <v>22</v>
      </c>
      <c r="N1612" t="s">
        <v>181</v>
      </c>
    </row>
    <row r="1613" spans="1:14" x14ac:dyDescent="0.35">
      <c r="A1613" t="s">
        <v>792</v>
      </c>
      <c r="B1613" t="s">
        <v>444</v>
      </c>
      <c r="C1613" t="s">
        <v>29</v>
      </c>
      <c r="D1613">
        <v>0</v>
      </c>
      <c r="E1613">
        <v>19</v>
      </c>
      <c r="F1613" t="s">
        <v>335</v>
      </c>
      <c r="G1613">
        <v>18</v>
      </c>
      <c r="H1613" t="s">
        <v>18</v>
      </c>
      <c r="I1613">
        <v>13</v>
      </c>
      <c r="J1613">
        <v>23.5</v>
      </c>
      <c r="K1613">
        <v>1</v>
      </c>
      <c r="L1613">
        <v>5</v>
      </c>
      <c r="M1613">
        <v>23</v>
      </c>
      <c r="N1613" t="s">
        <v>164</v>
      </c>
    </row>
    <row r="1614" spans="1:14" x14ac:dyDescent="0.35">
      <c r="A1614" t="s">
        <v>792</v>
      </c>
      <c r="B1614" t="s">
        <v>333</v>
      </c>
      <c r="C1614" t="s">
        <v>16</v>
      </c>
      <c r="D1614">
        <v>1</v>
      </c>
      <c r="E1614">
        <v>19</v>
      </c>
      <c r="F1614" t="s">
        <v>590</v>
      </c>
      <c r="G1614">
        <v>18</v>
      </c>
      <c r="H1614" t="s">
        <v>18</v>
      </c>
      <c r="I1614">
        <v>3</v>
      </c>
      <c r="J1614">
        <v>30.4</v>
      </c>
      <c r="K1614">
        <v>2</v>
      </c>
      <c r="L1614">
        <v>5</v>
      </c>
      <c r="M1614">
        <v>23</v>
      </c>
      <c r="N1614" t="s">
        <v>451</v>
      </c>
    </row>
    <row r="1615" spans="1:14" x14ac:dyDescent="0.35">
      <c r="A1615" t="s">
        <v>792</v>
      </c>
      <c r="B1615" t="s">
        <v>169</v>
      </c>
      <c r="C1615" t="s">
        <v>16</v>
      </c>
      <c r="D1615">
        <v>2</v>
      </c>
      <c r="E1615">
        <v>17</v>
      </c>
      <c r="F1615" t="s">
        <v>158</v>
      </c>
      <c r="G1615">
        <v>18</v>
      </c>
      <c r="H1615" t="s">
        <v>18</v>
      </c>
      <c r="I1615">
        <v>3</v>
      </c>
      <c r="J1615">
        <v>32.4</v>
      </c>
      <c r="K1615">
        <v>3</v>
      </c>
      <c r="L1615">
        <v>5</v>
      </c>
      <c r="M1615">
        <v>23</v>
      </c>
      <c r="N1615" t="s">
        <v>338</v>
      </c>
    </row>
    <row r="1616" spans="1:14" x14ac:dyDescent="0.35">
      <c r="A1616" t="s">
        <v>792</v>
      </c>
      <c r="B1616" t="s">
        <v>175</v>
      </c>
      <c r="C1616" t="s">
        <v>16</v>
      </c>
      <c r="D1616">
        <v>1</v>
      </c>
      <c r="E1616">
        <v>17</v>
      </c>
      <c r="F1616" t="s">
        <v>154</v>
      </c>
      <c r="G1616">
        <v>18</v>
      </c>
      <c r="H1616" t="s">
        <v>18</v>
      </c>
      <c r="I1616">
        <v>3</v>
      </c>
      <c r="J1616">
        <v>29.9</v>
      </c>
      <c r="K1616">
        <v>4</v>
      </c>
      <c r="L1616">
        <v>3</v>
      </c>
      <c r="M1616">
        <v>21</v>
      </c>
      <c r="N1616" t="s">
        <v>531</v>
      </c>
    </row>
    <row r="1617" spans="1:14" x14ac:dyDescent="0.35">
      <c r="A1617" t="s">
        <v>792</v>
      </c>
      <c r="B1617" t="s">
        <v>448</v>
      </c>
      <c r="C1617" t="s">
        <v>29</v>
      </c>
      <c r="D1617">
        <v>1</v>
      </c>
      <c r="E1617">
        <v>17</v>
      </c>
      <c r="F1617" t="s">
        <v>161</v>
      </c>
      <c r="G1617">
        <v>18</v>
      </c>
      <c r="H1617" t="s">
        <v>18</v>
      </c>
      <c r="I1617">
        <v>14</v>
      </c>
      <c r="J1617">
        <v>23.4</v>
      </c>
      <c r="K1617">
        <v>1</v>
      </c>
      <c r="L1617">
        <v>3</v>
      </c>
      <c r="M1617">
        <v>21</v>
      </c>
      <c r="N1617" t="s">
        <v>338</v>
      </c>
    </row>
    <row r="1618" spans="1:14" x14ac:dyDescent="0.35">
      <c r="A1618" t="s">
        <v>792</v>
      </c>
      <c r="B1618" t="s">
        <v>176</v>
      </c>
      <c r="C1618" t="s">
        <v>16</v>
      </c>
      <c r="D1618">
        <v>0</v>
      </c>
      <c r="E1618">
        <v>20</v>
      </c>
      <c r="F1618" t="s">
        <v>445</v>
      </c>
      <c r="G1618">
        <v>18</v>
      </c>
      <c r="H1618" t="s">
        <v>18</v>
      </c>
      <c r="I1618">
        <v>6</v>
      </c>
      <c r="J1618">
        <v>30.9</v>
      </c>
      <c r="K1618">
        <v>0</v>
      </c>
      <c r="L1618">
        <v>0</v>
      </c>
      <c r="M1618">
        <v>18</v>
      </c>
      <c r="N1618" t="s">
        <v>182</v>
      </c>
    </row>
    <row r="1619" spans="1:14" x14ac:dyDescent="0.35">
      <c r="A1619" t="s">
        <v>792</v>
      </c>
      <c r="B1619" t="s">
        <v>330</v>
      </c>
      <c r="C1619" t="s">
        <v>16</v>
      </c>
      <c r="D1619">
        <v>2</v>
      </c>
      <c r="E1619">
        <v>17</v>
      </c>
      <c r="F1619" t="s">
        <v>334</v>
      </c>
      <c r="G1619">
        <v>18</v>
      </c>
      <c r="H1619" t="s">
        <v>18</v>
      </c>
      <c r="I1619">
        <v>10</v>
      </c>
      <c r="J1619">
        <v>28.1</v>
      </c>
      <c r="K1619">
        <v>3</v>
      </c>
      <c r="L1619">
        <v>5</v>
      </c>
      <c r="M1619">
        <v>23</v>
      </c>
      <c r="N1619" t="s">
        <v>450</v>
      </c>
    </row>
    <row r="1620" spans="1:14" x14ac:dyDescent="0.35">
      <c r="A1620" t="s">
        <v>792</v>
      </c>
      <c r="B1620" t="s">
        <v>445</v>
      </c>
      <c r="C1620" t="s">
        <v>29</v>
      </c>
      <c r="D1620">
        <v>0</v>
      </c>
      <c r="E1620">
        <v>6</v>
      </c>
      <c r="F1620" t="s">
        <v>451</v>
      </c>
      <c r="G1620">
        <v>6</v>
      </c>
      <c r="H1620" t="s">
        <v>157</v>
      </c>
      <c r="I1620">
        <v>15</v>
      </c>
      <c r="J1620">
        <v>20.399999999999999</v>
      </c>
      <c r="K1620">
        <v>4</v>
      </c>
      <c r="L1620">
        <v>4</v>
      </c>
      <c r="M1620">
        <v>10</v>
      </c>
      <c r="N1620" t="s">
        <v>453</v>
      </c>
    </row>
    <row r="1621" spans="1:14" x14ac:dyDescent="0.35">
      <c r="A1621" t="s">
        <v>792</v>
      </c>
      <c r="B1621" t="s">
        <v>343</v>
      </c>
      <c r="C1621" t="s">
        <v>16</v>
      </c>
      <c r="D1621">
        <v>1</v>
      </c>
      <c r="E1621">
        <v>17</v>
      </c>
      <c r="F1621" t="s">
        <v>187</v>
      </c>
      <c r="G1621">
        <v>18</v>
      </c>
      <c r="H1621" t="s">
        <v>18</v>
      </c>
      <c r="I1621">
        <v>12</v>
      </c>
      <c r="J1621">
        <v>26.6</v>
      </c>
      <c r="K1621">
        <v>4</v>
      </c>
      <c r="L1621">
        <v>4</v>
      </c>
      <c r="M1621">
        <v>22</v>
      </c>
      <c r="N1621" t="s">
        <v>532</v>
      </c>
    </row>
    <row r="1622" spans="1:14" x14ac:dyDescent="0.35">
      <c r="A1622" t="s">
        <v>792</v>
      </c>
      <c r="B1622" t="s">
        <v>534</v>
      </c>
      <c r="C1622" t="s">
        <v>16</v>
      </c>
      <c r="D1622">
        <v>0</v>
      </c>
      <c r="E1622">
        <v>19</v>
      </c>
      <c r="F1622" t="s">
        <v>658</v>
      </c>
      <c r="G1622">
        <v>18</v>
      </c>
      <c r="H1622" t="s">
        <v>18</v>
      </c>
      <c r="I1622">
        <v>12</v>
      </c>
      <c r="J1622">
        <v>29.1</v>
      </c>
      <c r="K1622">
        <v>4</v>
      </c>
      <c r="L1622">
        <v>1</v>
      </c>
      <c r="M1622">
        <v>19</v>
      </c>
      <c r="N1622" t="s">
        <v>771</v>
      </c>
    </row>
    <row r="1623" spans="1:14" x14ac:dyDescent="0.35">
      <c r="A1623" t="s">
        <v>792</v>
      </c>
      <c r="B1623" t="s">
        <v>624</v>
      </c>
      <c r="C1623" t="s">
        <v>29</v>
      </c>
      <c r="D1623">
        <v>0</v>
      </c>
      <c r="E1623">
        <v>9</v>
      </c>
      <c r="F1623" t="s">
        <v>625</v>
      </c>
      <c r="G1623">
        <v>9</v>
      </c>
      <c r="H1623" t="s">
        <v>157</v>
      </c>
      <c r="I1623">
        <v>15</v>
      </c>
      <c r="J1623">
        <v>20.2</v>
      </c>
      <c r="K1623">
        <v>2</v>
      </c>
      <c r="L1623">
        <v>2</v>
      </c>
      <c r="M1623">
        <v>11</v>
      </c>
      <c r="N1623" t="s">
        <v>198</v>
      </c>
    </row>
    <row r="1624" spans="1:14" x14ac:dyDescent="0.35">
      <c r="A1624" t="s">
        <v>792</v>
      </c>
      <c r="B1624" t="s">
        <v>625</v>
      </c>
      <c r="C1624" t="s">
        <v>16</v>
      </c>
      <c r="D1624">
        <v>1</v>
      </c>
      <c r="E1624">
        <v>10</v>
      </c>
      <c r="F1624" t="s">
        <v>351</v>
      </c>
      <c r="G1624">
        <v>11</v>
      </c>
      <c r="H1624" t="s">
        <v>157</v>
      </c>
      <c r="I1624">
        <v>15</v>
      </c>
      <c r="J1624">
        <v>27.8</v>
      </c>
      <c r="K1624">
        <v>0</v>
      </c>
      <c r="L1624">
        <v>0</v>
      </c>
      <c r="M1624">
        <v>11</v>
      </c>
      <c r="N1624" t="s">
        <v>202</v>
      </c>
    </row>
    <row r="1625" spans="1:14" x14ac:dyDescent="0.35">
      <c r="A1625" t="s">
        <v>792</v>
      </c>
      <c r="B1625" t="s">
        <v>455</v>
      </c>
      <c r="C1625" t="s">
        <v>29</v>
      </c>
      <c r="D1625">
        <v>0</v>
      </c>
      <c r="E1625">
        <v>4</v>
      </c>
      <c r="F1625" t="s">
        <v>535</v>
      </c>
      <c r="G1625">
        <v>4</v>
      </c>
      <c r="H1625" t="s">
        <v>157</v>
      </c>
      <c r="I1625">
        <v>15</v>
      </c>
      <c r="J1625">
        <v>23.4</v>
      </c>
      <c r="K1625">
        <v>2</v>
      </c>
      <c r="L1625">
        <v>3</v>
      </c>
      <c r="M1625">
        <v>7</v>
      </c>
      <c r="N1625" t="s">
        <v>202</v>
      </c>
    </row>
    <row r="1626" spans="1:14" x14ac:dyDescent="0.35">
      <c r="A1626" t="s">
        <v>792</v>
      </c>
      <c r="B1626" t="s">
        <v>198</v>
      </c>
      <c r="C1626" t="s">
        <v>16</v>
      </c>
      <c r="D1626">
        <v>0</v>
      </c>
      <c r="E1626">
        <v>11</v>
      </c>
      <c r="F1626" t="s">
        <v>199</v>
      </c>
      <c r="G1626">
        <v>11</v>
      </c>
      <c r="H1626" t="s">
        <v>157</v>
      </c>
      <c r="I1626">
        <v>15</v>
      </c>
      <c r="J1626">
        <v>27.5</v>
      </c>
      <c r="K1626">
        <v>0</v>
      </c>
      <c r="L1626">
        <v>0</v>
      </c>
      <c r="M1626">
        <v>11</v>
      </c>
      <c r="N1626" t="s">
        <v>463</v>
      </c>
    </row>
    <row r="1627" spans="1:14" x14ac:dyDescent="0.35">
      <c r="A1627" t="s">
        <v>792</v>
      </c>
      <c r="B1627" t="s">
        <v>537</v>
      </c>
      <c r="C1627" t="s">
        <v>29</v>
      </c>
      <c r="D1627">
        <v>0</v>
      </c>
      <c r="E1627">
        <v>5</v>
      </c>
      <c r="F1627" t="s">
        <v>592</v>
      </c>
      <c r="G1627">
        <v>5</v>
      </c>
      <c r="H1627" t="s">
        <v>157</v>
      </c>
      <c r="I1627">
        <v>15</v>
      </c>
      <c r="J1627">
        <v>22.7</v>
      </c>
      <c r="K1627">
        <v>1</v>
      </c>
      <c r="L1627">
        <v>3</v>
      </c>
      <c r="M1627">
        <v>8</v>
      </c>
      <c r="N1627" t="s">
        <v>207</v>
      </c>
    </row>
    <row r="1628" spans="1:14" x14ac:dyDescent="0.35">
      <c r="A1628" t="s">
        <v>792</v>
      </c>
      <c r="B1628" t="s">
        <v>354</v>
      </c>
      <c r="C1628" t="s">
        <v>16</v>
      </c>
      <c r="D1628">
        <v>0</v>
      </c>
      <c r="E1628">
        <v>18</v>
      </c>
      <c r="F1628" t="s">
        <v>464</v>
      </c>
      <c r="G1628">
        <v>18</v>
      </c>
      <c r="H1628" t="s">
        <v>18</v>
      </c>
      <c r="I1628">
        <v>9</v>
      </c>
      <c r="J1628">
        <v>30</v>
      </c>
      <c r="K1628">
        <v>1</v>
      </c>
      <c r="L1628">
        <v>2</v>
      </c>
      <c r="M1628">
        <v>20</v>
      </c>
      <c r="N1628" t="s">
        <v>358</v>
      </c>
    </row>
    <row r="1629" spans="1:14" x14ac:dyDescent="0.35">
      <c r="A1629" t="s">
        <v>792</v>
      </c>
      <c r="B1629" t="s">
        <v>357</v>
      </c>
      <c r="C1629" t="s">
        <v>16</v>
      </c>
      <c r="D1629">
        <v>0</v>
      </c>
      <c r="E1629">
        <v>10</v>
      </c>
      <c r="F1629" t="s">
        <v>706</v>
      </c>
      <c r="G1629">
        <v>10</v>
      </c>
      <c r="H1629" t="s">
        <v>157</v>
      </c>
      <c r="I1629">
        <v>15</v>
      </c>
      <c r="J1629">
        <v>26.8</v>
      </c>
      <c r="K1629">
        <v>0</v>
      </c>
      <c r="L1629">
        <v>0</v>
      </c>
      <c r="M1629">
        <v>10</v>
      </c>
      <c r="N1629" t="s">
        <v>596</v>
      </c>
    </row>
    <row r="1630" spans="1:14" x14ac:dyDescent="0.35">
      <c r="A1630" t="s">
        <v>792</v>
      </c>
      <c r="B1630" t="s">
        <v>360</v>
      </c>
      <c r="C1630" t="s">
        <v>16</v>
      </c>
      <c r="D1630">
        <v>0</v>
      </c>
      <c r="E1630">
        <v>15</v>
      </c>
      <c r="F1630" t="s">
        <v>761</v>
      </c>
      <c r="G1630">
        <v>15</v>
      </c>
      <c r="H1630" t="s">
        <v>157</v>
      </c>
      <c r="I1630">
        <v>15</v>
      </c>
      <c r="J1630">
        <v>26</v>
      </c>
      <c r="K1630">
        <v>0</v>
      </c>
      <c r="L1630">
        <v>0</v>
      </c>
      <c r="M1630">
        <v>15</v>
      </c>
      <c r="N1630" t="s">
        <v>547</v>
      </c>
    </row>
    <row r="1631" spans="1:14" x14ac:dyDescent="0.35">
      <c r="A1631" t="s">
        <v>792</v>
      </c>
      <c r="B1631" t="s">
        <v>365</v>
      </c>
      <c r="C1631" t="s">
        <v>16</v>
      </c>
      <c r="D1631">
        <v>0</v>
      </c>
      <c r="E1631">
        <v>12</v>
      </c>
      <c r="F1631" t="s">
        <v>213</v>
      </c>
      <c r="G1631">
        <v>12</v>
      </c>
      <c r="H1631" t="s">
        <v>157</v>
      </c>
      <c r="I1631">
        <v>15</v>
      </c>
      <c r="J1631">
        <v>32</v>
      </c>
      <c r="K1631">
        <v>0</v>
      </c>
      <c r="L1631">
        <v>0</v>
      </c>
      <c r="M1631">
        <v>12</v>
      </c>
      <c r="N1631" t="s">
        <v>370</v>
      </c>
    </row>
    <row r="1632" spans="1:14" x14ac:dyDescent="0.35">
      <c r="A1632" t="s">
        <v>792</v>
      </c>
      <c r="B1632" t="s">
        <v>361</v>
      </c>
      <c r="C1632" t="s">
        <v>16</v>
      </c>
      <c r="D1632">
        <v>0</v>
      </c>
      <c r="E1632">
        <v>14</v>
      </c>
      <c r="F1632" t="s">
        <v>369</v>
      </c>
      <c r="G1632">
        <v>14</v>
      </c>
      <c r="H1632" t="s">
        <v>157</v>
      </c>
      <c r="I1632">
        <v>15</v>
      </c>
      <c r="J1632">
        <v>28.1</v>
      </c>
      <c r="K1632">
        <v>3</v>
      </c>
      <c r="L1632">
        <v>3</v>
      </c>
      <c r="M1632">
        <v>17</v>
      </c>
      <c r="N1632" t="s">
        <v>469</v>
      </c>
    </row>
    <row r="1633" spans="1:14" x14ac:dyDescent="0.35">
      <c r="A1633" t="s">
        <v>792</v>
      </c>
      <c r="B1633" t="s">
        <v>664</v>
      </c>
      <c r="C1633" t="s">
        <v>16</v>
      </c>
      <c r="D1633">
        <v>0</v>
      </c>
      <c r="E1633">
        <v>10</v>
      </c>
      <c r="F1633" t="s">
        <v>472</v>
      </c>
      <c r="G1633">
        <v>10</v>
      </c>
      <c r="H1633" t="s">
        <v>157</v>
      </c>
      <c r="I1633">
        <v>15</v>
      </c>
      <c r="J1633">
        <v>30.7</v>
      </c>
      <c r="K1633">
        <v>2</v>
      </c>
      <c r="L1633">
        <v>2</v>
      </c>
      <c r="M1633">
        <v>12</v>
      </c>
      <c r="N1633" t="s">
        <v>554</v>
      </c>
    </row>
    <row r="1634" spans="1:14" x14ac:dyDescent="0.35">
      <c r="A1634" t="s">
        <v>792</v>
      </c>
      <c r="B1634" t="s">
        <v>743</v>
      </c>
      <c r="C1634" t="s">
        <v>16</v>
      </c>
      <c r="D1634">
        <v>0</v>
      </c>
      <c r="E1634">
        <v>13</v>
      </c>
      <c r="F1634" t="s">
        <v>727</v>
      </c>
      <c r="G1634">
        <v>13</v>
      </c>
      <c r="H1634" t="s">
        <v>157</v>
      </c>
      <c r="I1634">
        <v>15</v>
      </c>
      <c r="J1634">
        <v>26.2</v>
      </c>
      <c r="K1634">
        <v>2</v>
      </c>
      <c r="L1634">
        <v>3</v>
      </c>
      <c r="M1634">
        <v>16</v>
      </c>
      <c r="N1634" t="s">
        <v>605</v>
      </c>
    </row>
    <row r="1635" spans="1:14" x14ac:dyDescent="0.35">
      <c r="A1635" t="s">
        <v>792</v>
      </c>
      <c r="B1635" t="s">
        <v>599</v>
      </c>
      <c r="C1635" t="s">
        <v>16</v>
      </c>
      <c r="D1635">
        <v>0</v>
      </c>
      <c r="E1635">
        <v>13</v>
      </c>
      <c r="F1635" t="s">
        <v>668</v>
      </c>
      <c r="G1635">
        <v>13</v>
      </c>
      <c r="H1635" t="s">
        <v>157</v>
      </c>
      <c r="I1635">
        <v>15</v>
      </c>
      <c r="J1635">
        <v>29.2</v>
      </c>
      <c r="K1635">
        <v>3</v>
      </c>
      <c r="L1635">
        <v>3</v>
      </c>
      <c r="M1635">
        <v>16</v>
      </c>
      <c r="N1635" t="s">
        <v>480</v>
      </c>
    </row>
    <row r="1636" spans="1:14" x14ac:dyDescent="0.35">
      <c r="A1636" t="s">
        <v>792</v>
      </c>
      <c r="B1636" t="s">
        <v>374</v>
      </c>
      <c r="C1636" t="s">
        <v>16</v>
      </c>
      <c r="D1636">
        <v>0</v>
      </c>
      <c r="E1636">
        <v>10</v>
      </c>
      <c r="F1636" t="s">
        <v>377</v>
      </c>
      <c r="G1636">
        <v>10</v>
      </c>
      <c r="H1636" t="s">
        <v>157</v>
      </c>
      <c r="I1636">
        <v>15</v>
      </c>
      <c r="J1636">
        <v>33.799999999999997</v>
      </c>
      <c r="K1636">
        <v>0</v>
      </c>
      <c r="L1636">
        <v>0</v>
      </c>
      <c r="M1636">
        <v>10</v>
      </c>
      <c r="N1636" t="s">
        <v>671</v>
      </c>
    </row>
    <row r="1637" spans="1:14" x14ac:dyDescent="0.35">
      <c r="A1637" t="s">
        <v>792</v>
      </c>
      <c r="B1637" t="s">
        <v>669</v>
      </c>
      <c r="C1637" t="s">
        <v>16</v>
      </c>
      <c r="D1637">
        <v>0</v>
      </c>
      <c r="E1637">
        <v>13</v>
      </c>
      <c r="F1637" t="s">
        <v>670</v>
      </c>
      <c r="G1637">
        <v>13</v>
      </c>
      <c r="H1637" t="s">
        <v>157</v>
      </c>
      <c r="I1637">
        <v>15</v>
      </c>
      <c r="J1637">
        <v>28.6</v>
      </c>
      <c r="K1637">
        <v>0</v>
      </c>
      <c r="L1637">
        <v>0</v>
      </c>
      <c r="M1637">
        <v>13</v>
      </c>
      <c r="N1637" t="s">
        <v>563</v>
      </c>
    </row>
    <row r="1638" spans="1:14" x14ac:dyDescent="0.35">
      <c r="A1638" t="s">
        <v>792</v>
      </c>
      <c r="B1638" t="s">
        <v>636</v>
      </c>
      <c r="C1638" t="s">
        <v>16</v>
      </c>
      <c r="D1638">
        <v>0</v>
      </c>
      <c r="E1638">
        <v>7</v>
      </c>
      <c r="F1638" t="s">
        <v>671</v>
      </c>
      <c r="G1638">
        <v>7</v>
      </c>
      <c r="H1638" t="s">
        <v>157</v>
      </c>
      <c r="I1638">
        <v>15</v>
      </c>
      <c r="J1638">
        <v>26.7</v>
      </c>
      <c r="K1638">
        <v>3</v>
      </c>
      <c r="L1638">
        <v>3</v>
      </c>
      <c r="M1638">
        <v>10</v>
      </c>
      <c r="N1638" t="s">
        <v>560</v>
      </c>
    </row>
    <row r="1639" spans="1:14" x14ac:dyDescent="0.35">
      <c r="A1639" t="s">
        <v>792</v>
      </c>
      <c r="B1639" t="s">
        <v>672</v>
      </c>
      <c r="C1639" t="s">
        <v>16</v>
      </c>
      <c r="D1639">
        <v>0</v>
      </c>
      <c r="E1639">
        <v>18</v>
      </c>
      <c r="F1639" t="s">
        <v>384</v>
      </c>
      <c r="G1639">
        <v>18</v>
      </c>
      <c r="H1639" t="s">
        <v>18</v>
      </c>
      <c r="I1639">
        <v>14</v>
      </c>
      <c r="J1639">
        <v>23.5</v>
      </c>
      <c r="K1639">
        <v>1</v>
      </c>
      <c r="L1639">
        <v>3</v>
      </c>
      <c r="M1639">
        <v>21</v>
      </c>
      <c r="N1639" t="s">
        <v>637</v>
      </c>
    </row>
    <row r="1640" spans="1:14" x14ac:dyDescent="0.35">
      <c r="A1640" t="s">
        <v>792</v>
      </c>
      <c r="B1640" t="s">
        <v>233</v>
      </c>
      <c r="C1640" t="s">
        <v>16</v>
      </c>
      <c r="D1640">
        <v>0</v>
      </c>
      <c r="E1640">
        <v>8</v>
      </c>
      <c r="F1640" t="s">
        <v>387</v>
      </c>
      <c r="G1640">
        <v>8</v>
      </c>
      <c r="H1640" t="s">
        <v>157</v>
      </c>
      <c r="I1640">
        <v>15</v>
      </c>
      <c r="J1640">
        <v>29.6</v>
      </c>
      <c r="K1640">
        <v>3</v>
      </c>
      <c r="L1640">
        <v>3</v>
      </c>
      <c r="M1640">
        <v>11</v>
      </c>
      <c r="N1640" t="s">
        <v>638</v>
      </c>
    </row>
    <row r="1641" spans="1:14" x14ac:dyDescent="0.35">
      <c r="A1641" t="s">
        <v>792</v>
      </c>
      <c r="B1641" t="s">
        <v>715</v>
      </c>
      <c r="C1641" t="s">
        <v>16</v>
      </c>
      <c r="D1641">
        <v>0</v>
      </c>
      <c r="E1641">
        <v>16</v>
      </c>
      <c r="F1641" t="s">
        <v>239</v>
      </c>
      <c r="G1641">
        <v>16</v>
      </c>
      <c r="H1641" t="s">
        <v>157</v>
      </c>
      <c r="I1641">
        <v>15</v>
      </c>
      <c r="J1641">
        <v>27.4</v>
      </c>
      <c r="K1641">
        <v>3</v>
      </c>
      <c r="L1641">
        <v>1</v>
      </c>
      <c r="M1641">
        <v>17</v>
      </c>
      <c r="N1641" t="s">
        <v>784</v>
      </c>
    </row>
    <row r="1642" spans="1:14" x14ac:dyDescent="0.35">
      <c r="A1642" t="s">
        <v>792</v>
      </c>
      <c r="B1642" t="s">
        <v>244</v>
      </c>
      <c r="C1642" t="s">
        <v>16</v>
      </c>
      <c r="D1642">
        <v>0</v>
      </c>
      <c r="E1642">
        <v>18</v>
      </c>
      <c r="F1642" t="s">
        <v>677</v>
      </c>
      <c r="G1642">
        <v>18</v>
      </c>
      <c r="H1642" t="s">
        <v>18</v>
      </c>
      <c r="I1642">
        <v>13</v>
      </c>
      <c r="J1642">
        <v>27.6</v>
      </c>
      <c r="K1642">
        <v>2</v>
      </c>
      <c r="L1642">
        <v>2</v>
      </c>
      <c r="M1642">
        <v>20</v>
      </c>
      <c r="N1642" t="s">
        <v>676</v>
      </c>
    </row>
    <row r="1643" spans="1:14" x14ac:dyDescent="0.35">
      <c r="A1643" t="s">
        <v>792</v>
      </c>
      <c r="B1643" t="s">
        <v>569</v>
      </c>
      <c r="C1643" t="s">
        <v>16</v>
      </c>
      <c r="D1643">
        <v>0</v>
      </c>
      <c r="E1643">
        <v>15</v>
      </c>
      <c r="F1643" t="s">
        <v>395</v>
      </c>
      <c r="G1643">
        <v>15</v>
      </c>
      <c r="H1643" t="s">
        <v>157</v>
      </c>
      <c r="I1643">
        <v>15</v>
      </c>
      <c r="J1643">
        <v>25.1</v>
      </c>
      <c r="K1643">
        <v>4</v>
      </c>
      <c r="L1643">
        <v>0</v>
      </c>
      <c r="M1643">
        <v>15</v>
      </c>
      <c r="N1643" t="s">
        <v>774</v>
      </c>
    </row>
    <row r="1644" spans="1:14" x14ac:dyDescent="0.35">
      <c r="A1644" t="s">
        <v>792</v>
      </c>
      <c r="B1644" t="s">
        <v>763</v>
      </c>
      <c r="C1644" t="s">
        <v>16</v>
      </c>
      <c r="D1644">
        <v>0</v>
      </c>
      <c r="E1644">
        <v>13</v>
      </c>
      <c r="F1644" t="s">
        <v>794</v>
      </c>
      <c r="G1644">
        <v>13</v>
      </c>
      <c r="H1644" t="s">
        <v>157</v>
      </c>
      <c r="I1644">
        <v>15</v>
      </c>
      <c r="J1644">
        <v>31.1</v>
      </c>
      <c r="K1644">
        <v>4</v>
      </c>
      <c r="L1644">
        <v>0</v>
      </c>
      <c r="M1644">
        <v>13</v>
      </c>
      <c r="N1644" t="s">
        <v>795</v>
      </c>
    </row>
    <row r="1645" spans="1:14" x14ac:dyDescent="0.35">
      <c r="A1645" t="s">
        <v>796</v>
      </c>
      <c r="B1645" t="s">
        <v>15</v>
      </c>
      <c r="C1645" t="s">
        <v>16</v>
      </c>
      <c r="D1645">
        <v>0</v>
      </c>
      <c r="E1645">
        <v>18</v>
      </c>
      <c r="F1645" t="s">
        <v>17</v>
      </c>
      <c r="G1645">
        <v>18</v>
      </c>
      <c r="H1645" t="s">
        <v>18</v>
      </c>
      <c r="I1645">
        <v>3</v>
      </c>
      <c r="J1645">
        <v>31.5</v>
      </c>
      <c r="K1645">
        <v>3</v>
      </c>
      <c r="L1645">
        <v>6</v>
      </c>
      <c r="M1645">
        <v>24</v>
      </c>
      <c r="N1645" t="s">
        <v>22</v>
      </c>
    </row>
    <row r="1646" spans="1:14" x14ac:dyDescent="0.35">
      <c r="A1646" t="s">
        <v>796</v>
      </c>
      <c r="B1646" t="s">
        <v>20</v>
      </c>
      <c r="C1646" t="s">
        <v>16</v>
      </c>
      <c r="D1646">
        <v>0</v>
      </c>
      <c r="E1646">
        <v>22</v>
      </c>
      <c r="F1646" t="s">
        <v>23</v>
      </c>
      <c r="G1646">
        <v>18</v>
      </c>
      <c r="H1646" t="s">
        <v>18</v>
      </c>
      <c r="I1646">
        <v>3</v>
      </c>
      <c r="J1646">
        <v>29.9</v>
      </c>
      <c r="K1646">
        <v>4</v>
      </c>
      <c r="L1646">
        <v>3</v>
      </c>
      <c r="M1646">
        <v>21</v>
      </c>
      <c r="N1646" t="s">
        <v>503</v>
      </c>
    </row>
    <row r="1647" spans="1:14" x14ac:dyDescent="0.35">
      <c r="A1647" t="s">
        <v>796</v>
      </c>
      <c r="B1647" t="s">
        <v>575</v>
      </c>
      <c r="C1647" t="s">
        <v>16</v>
      </c>
      <c r="D1647">
        <v>4</v>
      </c>
      <c r="E1647">
        <v>14</v>
      </c>
      <c r="F1647" t="s">
        <v>26</v>
      </c>
      <c r="G1647">
        <v>18</v>
      </c>
      <c r="H1647" t="s">
        <v>18</v>
      </c>
      <c r="I1647">
        <v>3</v>
      </c>
      <c r="J1647">
        <v>30.6</v>
      </c>
      <c r="K1647">
        <v>4</v>
      </c>
      <c r="L1647">
        <v>6</v>
      </c>
      <c r="M1647">
        <v>24</v>
      </c>
      <c r="N1647" t="s">
        <v>28</v>
      </c>
    </row>
    <row r="1648" spans="1:14" x14ac:dyDescent="0.35">
      <c r="A1648" t="s">
        <v>796</v>
      </c>
      <c r="B1648" t="s">
        <v>680</v>
      </c>
      <c r="C1648" t="s">
        <v>29</v>
      </c>
      <c r="D1648">
        <v>0</v>
      </c>
      <c r="E1648">
        <v>18</v>
      </c>
      <c r="F1648" t="s">
        <v>263</v>
      </c>
      <c r="G1648">
        <v>18</v>
      </c>
      <c r="H1648" t="s">
        <v>18</v>
      </c>
      <c r="I1648">
        <v>12</v>
      </c>
      <c r="J1648">
        <v>20.8</v>
      </c>
      <c r="K1648">
        <v>0</v>
      </c>
      <c r="L1648">
        <v>0</v>
      </c>
      <c r="M1648">
        <v>18</v>
      </c>
      <c r="N1648" t="s">
        <v>22</v>
      </c>
    </row>
    <row r="1649" spans="1:14" x14ac:dyDescent="0.35">
      <c r="A1649" t="s">
        <v>796</v>
      </c>
      <c r="B1649" t="s">
        <v>407</v>
      </c>
      <c r="C1649" t="s">
        <v>16</v>
      </c>
      <c r="D1649">
        <v>0</v>
      </c>
      <c r="E1649">
        <v>21</v>
      </c>
      <c r="F1649" t="s">
        <v>30</v>
      </c>
      <c r="G1649">
        <v>18</v>
      </c>
      <c r="H1649" t="s">
        <v>18</v>
      </c>
      <c r="I1649">
        <v>5</v>
      </c>
      <c r="J1649">
        <v>27.9</v>
      </c>
      <c r="K1649">
        <v>0</v>
      </c>
      <c r="L1649">
        <v>0</v>
      </c>
      <c r="M1649">
        <v>18</v>
      </c>
      <c r="N1649" t="s">
        <v>681</v>
      </c>
    </row>
    <row r="1650" spans="1:14" x14ac:dyDescent="0.35">
      <c r="A1650" t="s">
        <v>796</v>
      </c>
      <c r="B1650" t="s">
        <v>499</v>
      </c>
      <c r="C1650" t="s">
        <v>16</v>
      </c>
      <c r="D1650">
        <v>3</v>
      </c>
      <c r="E1650">
        <v>16</v>
      </c>
      <c r="F1650" t="s">
        <v>701</v>
      </c>
      <c r="G1650">
        <v>18</v>
      </c>
      <c r="H1650" t="s">
        <v>18</v>
      </c>
      <c r="I1650">
        <v>4</v>
      </c>
      <c r="J1650">
        <v>30.5</v>
      </c>
      <c r="K1650">
        <v>1</v>
      </c>
      <c r="L1650">
        <v>1</v>
      </c>
      <c r="M1650">
        <v>19</v>
      </c>
      <c r="N1650" t="s">
        <v>266</v>
      </c>
    </row>
    <row r="1651" spans="1:14" x14ac:dyDescent="0.35">
      <c r="A1651" t="s">
        <v>796</v>
      </c>
      <c r="B1651" t="s">
        <v>258</v>
      </c>
      <c r="C1651" t="s">
        <v>29</v>
      </c>
      <c r="D1651">
        <v>0</v>
      </c>
      <c r="E1651">
        <v>18</v>
      </c>
      <c r="F1651" t="s">
        <v>34</v>
      </c>
      <c r="G1651">
        <v>18</v>
      </c>
      <c r="H1651" t="s">
        <v>18</v>
      </c>
      <c r="I1651">
        <v>10</v>
      </c>
      <c r="J1651">
        <v>22.1</v>
      </c>
      <c r="K1651">
        <v>3</v>
      </c>
      <c r="L1651">
        <v>1</v>
      </c>
      <c r="M1651">
        <v>19</v>
      </c>
      <c r="N1651" t="s">
        <v>42</v>
      </c>
    </row>
    <row r="1652" spans="1:14" x14ac:dyDescent="0.35">
      <c r="A1652" t="s">
        <v>796</v>
      </c>
      <c r="B1652" t="s">
        <v>406</v>
      </c>
      <c r="C1652" t="s">
        <v>16</v>
      </c>
      <c r="D1652">
        <v>1</v>
      </c>
      <c r="E1652">
        <v>18</v>
      </c>
      <c r="F1652" t="s">
        <v>36</v>
      </c>
      <c r="G1652">
        <v>18</v>
      </c>
      <c r="H1652" t="s">
        <v>18</v>
      </c>
      <c r="I1652">
        <v>4</v>
      </c>
      <c r="J1652">
        <v>31.4</v>
      </c>
      <c r="K1652">
        <v>3</v>
      </c>
      <c r="L1652">
        <v>3</v>
      </c>
      <c r="M1652">
        <v>21</v>
      </c>
      <c r="N1652" t="s">
        <v>47</v>
      </c>
    </row>
    <row r="1653" spans="1:14" x14ac:dyDescent="0.35">
      <c r="A1653" t="s">
        <v>796</v>
      </c>
      <c r="B1653" t="s">
        <v>50</v>
      </c>
      <c r="C1653" t="s">
        <v>16</v>
      </c>
      <c r="D1653">
        <v>1</v>
      </c>
      <c r="E1653">
        <v>18</v>
      </c>
      <c r="F1653" t="s">
        <v>257</v>
      </c>
      <c r="G1653">
        <v>18</v>
      </c>
      <c r="H1653" t="s">
        <v>18</v>
      </c>
      <c r="I1653">
        <v>7</v>
      </c>
      <c r="J1653">
        <v>29.6</v>
      </c>
      <c r="K1653">
        <v>0</v>
      </c>
      <c r="L1653">
        <v>0</v>
      </c>
      <c r="M1653">
        <v>18</v>
      </c>
      <c r="N1653" t="s">
        <v>52</v>
      </c>
    </row>
    <row r="1654" spans="1:14" x14ac:dyDescent="0.35">
      <c r="A1654" t="s">
        <v>796</v>
      </c>
      <c r="B1654" t="s">
        <v>503</v>
      </c>
      <c r="C1654" t="s">
        <v>16</v>
      </c>
      <c r="D1654">
        <v>1</v>
      </c>
      <c r="E1654">
        <v>17</v>
      </c>
      <c r="F1654" t="s">
        <v>408</v>
      </c>
      <c r="G1654">
        <v>18</v>
      </c>
      <c r="H1654" t="s">
        <v>18</v>
      </c>
      <c r="I1654">
        <v>7</v>
      </c>
      <c r="J1654">
        <v>26.7</v>
      </c>
      <c r="K1654">
        <v>2</v>
      </c>
      <c r="L1654">
        <v>1</v>
      </c>
      <c r="M1654">
        <v>19</v>
      </c>
      <c r="N1654" t="s">
        <v>53</v>
      </c>
    </row>
    <row r="1655" spans="1:14" x14ac:dyDescent="0.35">
      <c r="A1655" t="s">
        <v>796</v>
      </c>
      <c r="B1655" t="s">
        <v>681</v>
      </c>
      <c r="C1655" t="s">
        <v>16</v>
      </c>
      <c r="D1655">
        <v>0</v>
      </c>
      <c r="E1655">
        <v>20</v>
      </c>
      <c r="F1655" t="s">
        <v>500</v>
      </c>
      <c r="G1655">
        <v>18</v>
      </c>
      <c r="H1655" t="s">
        <v>18</v>
      </c>
      <c r="I1655">
        <v>10</v>
      </c>
      <c r="J1655">
        <v>27</v>
      </c>
      <c r="K1655">
        <v>0</v>
      </c>
      <c r="L1655">
        <v>0</v>
      </c>
      <c r="M1655">
        <v>18</v>
      </c>
      <c r="N1655" t="s">
        <v>277</v>
      </c>
    </row>
    <row r="1656" spans="1:14" x14ac:dyDescent="0.35">
      <c r="A1656" t="s">
        <v>796</v>
      </c>
      <c r="B1656" t="s">
        <v>38</v>
      </c>
      <c r="C1656" t="s">
        <v>29</v>
      </c>
      <c r="D1656">
        <v>0</v>
      </c>
      <c r="E1656">
        <v>18</v>
      </c>
      <c r="F1656" t="s">
        <v>576</v>
      </c>
      <c r="G1656">
        <v>18</v>
      </c>
      <c r="H1656" t="s">
        <v>18</v>
      </c>
      <c r="I1656">
        <v>34</v>
      </c>
      <c r="J1656">
        <v>17.8</v>
      </c>
      <c r="K1656">
        <v>2</v>
      </c>
      <c r="L1656">
        <v>4</v>
      </c>
      <c r="M1656">
        <v>22</v>
      </c>
      <c r="N1656" t="s">
        <v>61</v>
      </c>
    </row>
    <row r="1657" spans="1:14" x14ac:dyDescent="0.35">
      <c r="A1657" t="s">
        <v>796</v>
      </c>
      <c r="B1657" t="s">
        <v>40</v>
      </c>
      <c r="C1657" t="s">
        <v>16</v>
      </c>
      <c r="D1657">
        <v>2</v>
      </c>
      <c r="E1657">
        <v>22</v>
      </c>
      <c r="F1657" t="s">
        <v>267</v>
      </c>
      <c r="G1657">
        <v>18</v>
      </c>
      <c r="H1657" t="s">
        <v>18</v>
      </c>
      <c r="I1657">
        <v>6</v>
      </c>
      <c r="J1657">
        <v>33.299999999999997</v>
      </c>
      <c r="K1657">
        <v>4</v>
      </c>
      <c r="L1657">
        <v>5</v>
      </c>
      <c r="M1657">
        <v>23</v>
      </c>
      <c r="N1657" t="s">
        <v>70</v>
      </c>
    </row>
    <row r="1658" spans="1:14" x14ac:dyDescent="0.35">
      <c r="A1658" t="s">
        <v>796</v>
      </c>
      <c r="B1658" t="s">
        <v>269</v>
      </c>
      <c r="C1658" t="s">
        <v>16</v>
      </c>
      <c r="D1658">
        <v>6</v>
      </c>
      <c r="E1658">
        <v>14</v>
      </c>
      <c r="F1658" t="s">
        <v>265</v>
      </c>
      <c r="G1658">
        <v>18</v>
      </c>
      <c r="H1658" t="s">
        <v>18</v>
      </c>
      <c r="I1658">
        <v>3</v>
      </c>
      <c r="J1658">
        <v>25.2</v>
      </c>
      <c r="K1658">
        <v>1</v>
      </c>
      <c r="L1658">
        <v>4</v>
      </c>
      <c r="M1658">
        <v>22</v>
      </c>
      <c r="N1658" t="s">
        <v>280</v>
      </c>
    </row>
    <row r="1659" spans="1:14" x14ac:dyDescent="0.35">
      <c r="A1659" t="s">
        <v>796</v>
      </c>
      <c r="B1659" t="s">
        <v>411</v>
      </c>
      <c r="C1659" t="s">
        <v>16</v>
      </c>
      <c r="D1659">
        <v>2</v>
      </c>
      <c r="E1659">
        <v>18</v>
      </c>
      <c r="F1659" t="s">
        <v>53</v>
      </c>
      <c r="G1659">
        <v>18</v>
      </c>
      <c r="H1659" t="s">
        <v>18</v>
      </c>
      <c r="I1659">
        <v>3</v>
      </c>
      <c r="J1659">
        <v>27.9</v>
      </c>
      <c r="K1659">
        <v>1</v>
      </c>
      <c r="L1659">
        <v>2</v>
      </c>
      <c r="M1659">
        <v>20</v>
      </c>
      <c r="N1659" t="s">
        <v>271</v>
      </c>
    </row>
    <row r="1660" spans="1:14" x14ac:dyDescent="0.35">
      <c r="A1660" t="s">
        <v>796</v>
      </c>
      <c r="B1660" t="s">
        <v>267</v>
      </c>
      <c r="C1660" t="s">
        <v>29</v>
      </c>
      <c r="D1660">
        <v>0</v>
      </c>
      <c r="E1660">
        <v>19</v>
      </c>
      <c r="F1660" t="s">
        <v>273</v>
      </c>
      <c r="G1660">
        <v>18</v>
      </c>
      <c r="H1660" t="s">
        <v>18</v>
      </c>
      <c r="I1660">
        <v>10</v>
      </c>
      <c r="J1660">
        <v>21.7</v>
      </c>
      <c r="K1660">
        <v>2</v>
      </c>
      <c r="L1660">
        <v>4</v>
      </c>
      <c r="M1660">
        <v>22</v>
      </c>
      <c r="N1660" t="s">
        <v>410</v>
      </c>
    </row>
    <row r="1661" spans="1:14" x14ac:dyDescent="0.35">
      <c r="A1661" t="s">
        <v>796</v>
      </c>
      <c r="B1661" t="s">
        <v>55</v>
      </c>
      <c r="C1661" t="s">
        <v>16</v>
      </c>
      <c r="D1661">
        <v>2</v>
      </c>
      <c r="E1661">
        <v>20</v>
      </c>
      <c r="F1661" t="s">
        <v>43</v>
      </c>
      <c r="G1661">
        <v>18</v>
      </c>
      <c r="H1661" t="s">
        <v>18</v>
      </c>
      <c r="I1661">
        <v>3</v>
      </c>
      <c r="J1661">
        <v>29.4</v>
      </c>
      <c r="K1661">
        <v>3</v>
      </c>
      <c r="L1661">
        <v>5</v>
      </c>
      <c r="M1661">
        <v>23</v>
      </c>
      <c r="N1661" t="s">
        <v>505</v>
      </c>
    </row>
    <row r="1662" spans="1:14" x14ac:dyDescent="0.35">
      <c r="A1662" t="s">
        <v>796</v>
      </c>
      <c r="B1662" t="s">
        <v>414</v>
      </c>
      <c r="C1662" t="s">
        <v>16</v>
      </c>
      <c r="D1662">
        <v>4</v>
      </c>
      <c r="E1662">
        <v>14</v>
      </c>
      <c r="F1662" t="s">
        <v>59</v>
      </c>
      <c r="G1662">
        <v>18</v>
      </c>
      <c r="H1662" t="s">
        <v>18</v>
      </c>
      <c r="I1662">
        <v>2</v>
      </c>
      <c r="J1662">
        <v>27.7</v>
      </c>
      <c r="K1662">
        <v>1</v>
      </c>
      <c r="L1662">
        <v>4</v>
      </c>
      <c r="M1662">
        <v>22</v>
      </c>
      <c r="N1662" t="s">
        <v>281</v>
      </c>
    </row>
    <row r="1663" spans="1:14" x14ac:dyDescent="0.35">
      <c r="A1663" t="s">
        <v>796</v>
      </c>
      <c r="B1663" t="s">
        <v>61</v>
      </c>
      <c r="C1663" t="s">
        <v>16</v>
      </c>
      <c r="D1663">
        <v>0</v>
      </c>
      <c r="E1663">
        <v>18</v>
      </c>
      <c r="F1663" t="s">
        <v>63</v>
      </c>
      <c r="G1663">
        <v>18</v>
      </c>
      <c r="H1663" t="s">
        <v>18</v>
      </c>
      <c r="I1663">
        <v>3</v>
      </c>
      <c r="J1663">
        <v>32.700000000000003</v>
      </c>
      <c r="K1663">
        <v>3</v>
      </c>
      <c r="L1663">
        <v>2</v>
      </c>
      <c r="M1663">
        <v>20</v>
      </c>
      <c r="N1663" t="s">
        <v>506</v>
      </c>
    </row>
    <row r="1664" spans="1:14" x14ac:dyDescent="0.35">
      <c r="A1664" t="s">
        <v>796</v>
      </c>
      <c r="B1664" t="s">
        <v>56</v>
      </c>
      <c r="C1664" t="s">
        <v>29</v>
      </c>
      <c r="D1664">
        <v>1</v>
      </c>
      <c r="E1664">
        <v>20</v>
      </c>
      <c r="F1664" t="s">
        <v>46</v>
      </c>
      <c r="G1664">
        <v>18</v>
      </c>
      <c r="H1664" t="s">
        <v>18</v>
      </c>
      <c r="I1664">
        <v>11</v>
      </c>
      <c r="J1664">
        <v>22.5</v>
      </c>
      <c r="K1664">
        <v>3</v>
      </c>
      <c r="L1664">
        <v>3</v>
      </c>
      <c r="M1664">
        <v>21</v>
      </c>
      <c r="N1664" t="s">
        <v>72</v>
      </c>
    </row>
    <row r="1665" spans="1:14" x14ac:dyDescent="0.35">
      <c r="A1665" t="s">
        <v>796</v>
      </c>
      <c r="B1665" t="s">
        <v>277</v>
      </c>
      <c r="C1665" t="s">
        <v>16</v>
      </c>
      <c r="D1665">
        <v>0</v>
      </c>
      <c r="E1665">
        <v>18</v>
      </c>
      <c r="F1665" t="s">
        <v>65</v>
      </c>
      <c r="G1665">
        <v>18</v>
      </c>
      <c r="H1665" t="s">
        <v>18</v>
      </c>
      <c r="I1665">
        <v>4</v>
      </c>
      <c r="J1665">
        <v>31.3</v>
      </c>
      <c r="K1665">
        <v>1</v>
      </c>
      <c r="L1665">
        <v>3</v>
      </c>
      <c r="M1665">
        <v>21</v>
      </c>
      <c r="N1665" t="s">
        <v>284</v>
      </c>
    </row>
    <row r="1666" spans="1:14" x14ac:dyDescent="0.35">
      <c r="A1666" t="s">
        <v>796</v>
      </c>
      <c r="B1666" t="s">
        <v>68</v>
      </c>
      <c r="C1666" t="s">
        <v>16</v>
      </c>
      <c r="D1666">
        <v>0</v>
      </c>
      <c r="E1666">
        <v>19</v>
      </c>
      <c r="F1666" t="s">
        <v>410</v>
      </c>
      <c r="G1666">
        <v>18</v>
      </c>
      <c r="H1666" t="s">
        <v>18</v>
      </c>
      <c r="I1666">
        <v>6</v>
      </c>
      <c r="J1666">
        <v>25.3</v>
      </c>
      <c r="K1666">
        <v>3</v>
      </c>
      <c r="L1666">
        <v>3</v>
      </c>
      <c r="M1666">
        <v>21</v>
      </c>
      <c r="N1666" t="s">
        <v>286</v>
      </c>
    </row>
    <row r="1667" spans="1:14" x14ac:dyDescent="0.35">
      <c r="A1667" t="s">
        <v>796</v>
      </c>
      <c r="B1667" t="s">
        <v>67</v>
      </c>
      <c r="C1667" t="s">
        <v>29</v>
      </c>
      <c r="D1667">
        <v>3</v>
      </c>
      <c r="E1667">
        <v>15</v>
      </c>
      <c r="F1667" t="s">
        <v>410</v>
      </c>
      <c r="G1667">
        <v>18</v>
      </c>
      <c r="H1667" t="s">
        <v>18</v>
      </c>
      <c r="I1667">
        <v>8</v>
      </c>
      <c r="J1667">
        <v>20.2</v>
      </c>
      <c r="K1667">
        <v>4</v>
      </c>
      <c r="L1667">
        <v>0</v>
      </c>
      <c r="M1667">
        <v>18</v>
      </c>
      <c r="N1667" t="s">
        <v>506</v>
      </c>
    </row>
    <row r="1668" spans="1:14" x14ac:dyDescent="0.35">
      <c r="A1668" t="s">
        <v>796</v>
      </c>
      <c r="B1668" t="s">
        <v>502</v>
      </c>
      <c r="C1668" t="s">
        <v>16</v>
      </c>
      <c r="D1668">
        <v>1</v>
      </c>
      <c r="E1668">
        <v>17</v>
      </c>
      <c r="F1668" t="s">
        <v>281</v>
      </c>
      <c r="G1668">
        <v>18</v>
      </c>
      <c r="H1668" t="s">
        <v>18</v>
      </c>
      <c r="I1668">
        <v>10</v>
      </c>
      <c r="J1668">
        <v>28.3</v>
      </c>
      <c r="K1668">
        <v>1</v>
      </c>
      <c r="L1668">
        <v>3</v>
      </c>
      <c r="M1668">
        <v>21</v>
      </c>
      <c r="N1668" t="s">
        <v>282</v>
      </c>
    </row>
    <row r="1669" spans="1:14" x14ac:dyDescent="0.35">
      <c r="A1669" t="s">
        <v>796</v>
      </c>
      <c r="B1669" t="s">
        <v>283</v>
      </c>
      <c r="C1669" t="s">
        <v>16</v>
      </c>
      <c r="D1669">
        <v>0</v>
      </c>
      <c r="E1669">
        <v>19</v>
      </c>
      <c r="F1669" t="s">
        <v>286</v>
      </c>
      <c r="G1669">
        <v>18</v>
      </c>
      <c r="H1669" t="s">
        <v>18</v>
      </c>
      <c r="I1669">
        <v>13</v>
      </c>
      <c r="J1669">
        <v>29.3</v>
      </c>
      <c r="K1669">
        <v>2</v>
      </c>
      <c r="L1669">
        <v>3</v>
      </c>
      <c r="M1669">
        <v>21</v>
      </c>
      <c r="N1669" t="s">
        <v>94</v>
      </c>
    </row>
    <row r="1670" spans="1:14" x14ac:dyDescent="0.35">
      <c r="A1670" t="s">
        <v>796</v>
      </c>
      <c r="B1670" t="s">
        <v>70</v>
      </c>
      <c r="C1670" t="s">
        <v>29</v>
      </c>
      <c r="D1670">
        <v>0</v>
      </c>
      <c r="E1670">
        <v>18</v>
      </c>
      <c r="F1670" t="s">
        <v>71</v>
      </c>
      <c r="G1670">
        <v>18</v>
      </c>
      <c r="H1670" t="s">
        <v>18</v>
      </c>
      <c r="I1670">
        <v>26</v>
      </c>
      <c r="J1670">
        <v>25.7</v>
      </c>
      <c r="K1670">
        <v>2</v>
      </c>
      <c r="L1670">
        <v>4</v>
      </c>
      <c r="M1670">
        <v>22</v>
      </c>
      <c r="N1670" t="s">
        <v>420</v>
      </c>
    </row>
    <row r="1671" spans="1:14" x14ac:dyDescent="0.35">
      <c r="A1671" t="s">
        <v>796</v>
      </c>
      <c r="B1671" t="s">
        <v>619</v>
      </c>
      <c r="C1671" t="s">
        <v>16</v>
      </c>
      <c r="D1671">
        <v>1</v>
      </c>
      <c r="E1671">
        <v>17</v>
      </c>
      <c r="F1671" t="s">
        <v>90</v>
      </c>
      <c r="G1671">
        <v>18</v>
      </c>
      <c r="H1671" t="s">
        <v>18</v>
      </c>
      <c r="I1671">
        <v>4</v>
      </c>
      <c r="J1671">
        <v>29.3</v>
      </c>
      <c r="K1671">
        <v>0</v>
      </c>
      <c r="L1671">
        <v>0</v>
      </c>
      <c r="M1671">
        <v>18</v>
      </c>
      <c r="N1671" t="s">
        <v>296</v>
      </c>
    </row>
    <row r="1672" spans="1:14" x14ac:dyDescent="0.35">
      <c r="A1672" t="s">
        <v>796</v>
      </c>
      <c r="B1672" t="s">
        <v>417</v>
      </c>
      <c r="C1672" t="s">
        <v>16</v>
      </c>
      <c r="D1672">
        <v>0</v>
      </c>
      <c r="E1672">
        <v>24</v>
      </c>
      <c r="F1672" t="s">
        <v>288</v>
      </c>
      <c r="G1672">
        <v>18</v>
      </c>
      <c r="H1672" t="s">
        <v>18</v>
      </c>
      <c r="I1672">
        <v>5</v>
      </c>
      <c r="J1672">
        <v>29.1</v>
      </c>
      <c r="K1672">
        <v>2</v>
      </c>
      <c r="L1672">
        <v>5</v>
      </c>
      <c r="M1672">
        <v>23</v>
      </c>
      <c r="N1672" t="s">
        <v>289</v>
      </c>
    </row>
    <row r="1673" spans="1:14" x14ac:dyDescent="0.35">
      <c r="A1673" t="s">
        <v>796</v>
      </c>
      <c r="B1673" t="s">
        <v>75</v>
      </c>
      <c r="C1673" t="s">
        <v>29</v>
      </c>
      <c r="D1673">
        <v>0</v>
      </c>
      <c r="E1673">
        <v>18</v>
      </c>
      <c r="F1673" t="s">
        <v>288</v>
      </c>
      <c r="G1673">
        <v>18</v>
      </c>
      <c r="H1673" t="s">
        <v>18</v>
      </c>
      <c r="I1673">
        <v>7</v>
      </c>
      <c r="J1673">
        <v>20.3</v>
      </c>
      <c r="K1673">
        <v>3</v>
      </c>
      <c r="L1673">
        <v>1</v>
      </c>
      <c r="M1673">
        <v>19</v>
      </c>
      <c r="N1673" t="s">
        <v>295</v>
      </c>
    </row>
    <row r="1674" spans="1:14" x14ac:dyDescent="0.35">
      <c r="A1674" t="s">
        <v>796</v>
      </c>
      <c r="B1674" t="s">
        <v>80</v>
      </c>
      <c r="C1674" t="s">
        <v>16</v>
      </c>
      <c r="D1674">
        <v>6</v>
      </c>
      <c r="E1674">
        <v>15</v>
      </c>
      <c r="F1674" t="s">
        <v>290</v>
      </c>
      <c r="G1674">
        <v>18</v>
      </c>
      <c r="H1674" t="s">
        <v>18</v>
      </c>
      <c r="I1674">
        <v>3</v>
      </c>
      <c r="J1674">
        <v>30.2</v>
      </c>
      <c r="K1674">
        <v>3</v>
      </c>
      <c r="L1674">
        <v>4</v>
      </c>
      <c r="M1674">
        <v>22</v>
      </c>
      <c r="N1674" t="s">
        <v>84</v>
      </c>
    </row>
    <row r="1675" spans="1:14" x14ac:dyDescent="0.35">
      <c r="A1675" t="s">
        <v>796</v>
      </c>
      <c r="B1675" t="s">
        <v>83</v>
      </c>
      <c r="C1675" t="s">
        <v>16</v>
      </c>
      <c r="D1675">
        <v>3</v>
      </c>
      <c r="E1675">
        <v>15</v>
      </c>
      <c r="F1675" t="s">
        <v>419</v>
      </c>
      <c r="G1675">
        <v>18</v>
      </c>
      <c r="H1675" t="s">
        <v>18</v>
      </c>
      <c r="I1675">
        <v>3</v>
      </c>
      <c r="J1675">
        <v>27.2</v>
      </c>
      <c r="K1675">
        <v>2</v>
      </c>
      <c r="L1675">
        <v>3</v>
      </c>
      <c r="M1675">
        <v>21</v>
      </c>
      <c r="N1675" t="s">
        <v>298</v>
      </c>
    </row>
    <row r="1676" spans="1:14" x14ac:dyDescent="0.35">
      <c r="A1676" t="s">
        <v>796</v>
      </c>
      <c r="B1676" t="s">
        <v>80</v>
      </c>
      <c r="C1676" t="s">
        <v>29</v>
      </c>
      <c r="D1676">
        <v>0</v>
      </c>
      <c r="E1676">
        <v>18</v>
      </c>
      <c r="F1676" t="s">
        <v>93</v>
      </c>
      <c r="G1676">
        <v>18</v>
      </c>
      <c r="H1676" t="s">
        <v>18</v>
      </c>
      <c r="I1676">
        <v>12</v>
      </c>
      <c r="J1676">
        <v>19.899999999999999</v>
      </c>
      <c r="K1676">
        <v>0</v>
      </c>
      <c r="L1676">
        <v>0</v>
      </c>
      <c r="M1676">
        <v>18</v>
      </c>
      <c r="N1676" t="s">
        <v>103</v>
      </c>
    </row>
    <row r="1677" spans="1:14" x14ac:dyDescent="0.35">
      <c r="A1677" t="s">
        <v>796</v>
      </c>
      <c r="B1677" t="s">
        <v>73</v>
      </c>
      <c r="C1677" t="s">
        <v>16</v>
      </c>
      <c r="D1677">
        <v>0</v>
      </c>
      <c r="E1677">
        <v>22</v>
      </c>
      <c r="F1677" t="s">
        <v>285</v>
      </c>
      <c r="G1677">
        <v>18</v>
      </c>
      <c r="H1677" t="s">
        <v>18</v>
      </c>
      <c r="I1677">
        <v>5</v>
      </c>
      <c r="J1677">
        <v>27.2</v>
      </c>
      <c r="K1677">
        <v>1</v>
      </c>
      <c r="L1677">
        <v>4</v>
      </c>
      <c r="M1677">
        <v>22</v>
      </c>
      <c r="N1677" t="s">
        <v>294</v>
      </c>
    </row>
    <row r="1678" spans="1:14" x14ac:dyDescent="0.35">
      <c r="A1678" t="s">
        <v>796</v>
      </c>
      <c r="B1678" t="s">
        <v>91</v>
      </c>
      <c r="C1678" t="s">
        <v>16</v>
      </c>
      <c r="D1678">
        <v>4</v>
      </c>
      <c r="E1678">
        <v>17</v>
      </c>
      <c r="F1678" t="s">
        <v>420</v>
      </c>
      <c r="G1678">
        <v>18</v>
      </c>
      <c r="H1678" t="s">
        <v>18</v>
      </c>
      <c r="I1678">
        <v>2</v>
      </c>
      <c r="J1678">
        <v>31.3</v>
      </c>
      <c r="K1678">
        <v>0</v>
      </c>
      <c r="L1678">
        <v>0</v>
      </c>
      <c r="M1678">
        <v>18</v>
      </c>
      <c r="N1678" t="s">
        <v>104</v>
      </c>
    </row>
    <row r="1679" spans="1:14" x14ac:dyDescent="0.35">
      <c r="A1679" t="s">
        <v>796</v>
      </c>
      <c r="B1679" t="s">
        <v>94</v>
      </c>
      <c r="C1679" t="s">
        <v>16</v>
      </c>
      <c r="D1679">
        <v>3</v>
      </c>
      <c r="E1679">
        <v>15</v>
      </c>
      <c r="F1679" t="s">
        <v>74</v>
      </c>
      <c r="G1679">
        <v>18</v>
      </c>
      <c r="H1679" t="s">
        <v>18</v>
      </c>
      <c r="I1679">
        <v>3</v>
      </c>
      <c r="J1679">
        <v>32.9</v>
      </c>
      <c r="K1679">
        <v>1</v>
      </c>
      <c r="L1679">
        <v>4</v>
      </c>
      <c r="M1679">
        <v>22</v>
      </c>
      <c r="N1679" t="s">
        <v>421</v>
      </c>
    </row>
    <row r="1680" spans="1:14" x14ac:dyDescent="0.35">
      <c r="A1680" t="s">
        <v>796</v>
      </c>
      <c r="B1680" t="s">
        <v>98</v>
      </c>
      <c r="C1680" t="s">
        <v>16</v>
      </c>
      <c r="D1680">
        <v>0</v>
      </c>
      <c r="E1680">
        <v>19</v>
      </c>
      <c r="F1680" t="s">
        <v>99</v>
      </c>
      <c r="G1680">
        <v>18</v>
      </c>
      <c r="H1680" t="s">
        <v>18</v>
      </c>
      <c r="I1680">
        <v>9</v>
      </c>
      <c r="J1680">
        <v>22.7</v>
      </c>
      <c r="K1680">
        <v>2</v>
      </c>
      <c r="L1680">
        <v>2</v>
      </c>
      <c r="M1680">
        <v>20</v>
      </c>
      <c r="N1680" t="s">
        <v>421</v>
      </c>
    </row>
    <row r="1681" spans="1:14" x14ac:dyDescent="0.35">
      <c r="A1681" t="s">
        <v>796</v>
      </c>
      <c r="B1681" t="s">
        <v>103</v>
      </c>
      <c r="C1681" t="s">
        <v>16</v>
      </c>
      <c r="D1681">
        <v>1</v>
      </c>
      <c r="E1681">
        <v>17</v>
      </c>
      <c r="F1681" t="s">
        <v>294</v>
      </c>
      <c r="G1681">
        <v>18</v>
      </c>
      <c r="H1681" t="s">
        <v>18</v>
      </c>
      <c r="I1681">
        <v>9</v>
      </c>
      <c r="J1681">
        <v>26.8</v>
      </c>
      <c r="K1681">
        <v>3</v>
      </c>
      <c r="L1681">
        <v>4</v>
      </c>
      <c r="M1681">
        <v>22</v>
      </c>
      <c r="N1681" t="s">
        <v>510</v>
      </c>
    </row>
    <row r="1682" spans="1:14" x14ac:dyDescent="0.35">
      <c r="A1682" t="s">
        <v>796</v>
      </c>
      <c r="B1682" t="s">
        <v>285</v>
      </c>
      <c r="C1682" t="s">
        <v>29</v>
      </c>
      <c r="D1682">
        <v>0</v>
      </c>
      <c r="E1682">
        <v>19</v>
      </c>
      <c r="F1682" t="s">
        <v>95</v>
      </c>
      <c r="G1682">
        <v>18</v>
      </c>
      <c r="H1682" t="s">
        <v>18</v>
      </c>
      <c r="I1682">
        <v>31</v>
      </c>
      <c r="J1682">
        <v>24.8</v>
      </c>
      <c r="K1682">
        <v>0</v>
      </c>
      <c r="L1682">
        <v>0</v>
      </c>
      <c r="M1682">
        <v>18</v>
      </c>
      <c r="N1682" t="s">
        <v>514</v>
      </c>
    </row>
    <row r="1683" spans="1:14" x14ac:dyDescent="0.35">
      <c r="A1683" t="s">
        <v>796</v>
      </c>
      <c r="B1683" t="s">
        <v>86</v>
      </c>
      <c r="C1683" t="s">
        <v>16</v>
      </c>
      <c r="D1683">
        <v>0</v>
      </c>
      <c r="E1683">
        <v>19</v>
      </c>
      <c r="F1683" t="s">
        <v>703</v>
      </c>
      <c r="G1683">
        <v>18</v>
      </c>
      <c r="H1683" t="s">
        <v>18</v>
      </c>
      <c r="I1683">
        <v>13</v>
      </c>
      <c r="J1683">
        <v>30.1</v>
      </c>
      <c r="K1683">
        <v>4</v>
      </c>
      <c r="L1683">
        <v>1</v>
      </c>
      <c r="M1683">
        <v>19</v>
      </c>
      <c r="N1683" t="s">
        <v>515</v>
      </c>
    </row>
    <row r="1684" spans="1:14" x14ac:dyDescent="0.35">
      <c r="A1684" t="s">
        <v>796</v>
      </c>
      <c r="B1684" t="s">
        <v>302</v>
      </c>
      <c r="C1684" t="s">
        <v>16</v>
      </c>
      <c r="D1684">
        <v>1</v>
      </c>
      <c r="E1684">
        <v>17</v>
      </c>
      <c r="F1684" t="s">
        <v>620</v>
      </c>
      <c r="G1684">
        <v>18</v>
      </c>
      <c r="H1684" t="s">
        <v>18</v>
      </c>
      <c r="I1684">
        <v>24</v>
      </c>
      <c r="J1684">
        <v>25.9</v>
      </c>
      <c r="K1684">
        <v>1</v>
      </c>
      <c r="L1684">
        <v>1</v>
      </c>
      <c r="M1684">
        <v>19</v>
      </c>
      <c r="N1684" t="s">
        <v>793</v>
      </c>
    </row>
    <row r="1685" spans="1:14" x14ac:dyDescent="0.35">
      <c r="A1685" t="s">
        <v>796</v>
      </c>
      <c r="B1685" t="s">
        <v>797</v>
      </c>
      <c r="C1685" t="s">
        <v>16</v>
      </c>
      <c r="D1685">
        <v>0</v>
      </c>
      <c r="E1685">
        <v>20</v>
      </c>
      <c r="F1685" t="s">
        <v>305</v>
      </c>
      <c r="G1685">
        <v>18</v>
      </c>
      <c r="H1685" t="s">
        <v>18</v>
      </c>
      <c r="I1685">
        <v>17</v>
      </c>
      <c r="J1685">
        <v>28.9</v>
      </c>
      <c r="K1685">
        <v>3</v>
      </c>
      <c r="L1685">
        <v>2</v>
      </c>
      <c r="M1685">
        <v>20</v>
      </c>
      <c r="N1685" t="s">
        <v>736</v>
      </c>
    </row>
    <row r="1686" spans="1:14" x14ac:dyDescent="0.35">
      <c r="A1686" t="s">
        <v>796</v>
      </c>
      <c r="B1686" t="s">
        <v>97</v>
      </c>
      <c r="C1686" t="s">
        <v>29</v>
      </c>
      <c r="D1686">
        <v>1</v>
      </c>
      <c r="E1686">
        <v>17</v>
      </c>
      <c r="F1686" t="s">
        <v>308</v>
      </c>
      <c r="G1686">
        <v>18</v>
      </c>
      <c r="H1686" t="s">
        <v>18</v>
      </c>
      <c r="I1686">
        <v>78</v>
      </c>
      <c r="J1686">
        <v>21</v>
      </c>
      <c r="K1686">
        <v>1</v>
      </c>
      <c r="L1686">
        <v>0</v>
      </c>
      <c r="M1686">
        <v>18</v>
      </c>
      <c r="N1686" t="s">
        <v>653</v>
      </c>
    </row>
    <row r="1687" spans="1:14" x14ac:dyDescent="0.35">
      <c r="A1687" t="s">
        <v>796</v>
      </c>
      <c r="B1687" t="s">
        <v>798</v>
      </c>
      <c r="C1687" t="s">
        <v>16</v>
      </c>
      <c r="D1687">
        <v>2</v>
      </c>
      <c r="E1687">
        <v>16</v>
      </c>
      <c r="F1687" t="s">
        <v>430</v>
      </c>
      <c r="G1687">
        <v>18</v>
      </c>
      <c r="H1687" t="s">
        <v>18</v>
      </c>
      <c r="I1687">
        <v>30</v>
      </c>
      <c r="J1687">
        <v>26.7</v>
      </c>
      <c r="K1687">
        <v>1</v>
      </c>
      <c r="L1687">
        <v>3</v>
      </c>
      <c r="M1687">
        <v>21</v>
      </c>
      <c r="N1687" t="s">
        <v>431</v>
      </c>
    </row>
    <row r="1688" spans="1:14" x14ac:dyDescent="0.35">
      <c r="A1688" t="s">
        <v>796</v>
      </c>
      <c r="B1688" t="s">
        <v>520</v>
      </c>
      <c r="C1688" t="s">
        <v>16</v>
      </c>
      <c r="D1688">
        <v>0</v>
      </c>
      <c r="E1688">
        <v>18</v>
      </c>
      <c r="F1688" t="s">
        <v>433</v>
      </c>
      <c r="G1688">
        <v>18</v>
      </c>
      <c r="H1688" t="s">
        <v>18</v>
      </c>
      <c r="I1688">
        <v>18</v>
      </c>
      <c r="J1688">
        <v>33.9</v>
      </c>
      <c r="K1688">
        <v>3</v>
      </c>
      <c r="L1688">
        <v>2</v>
      </c>
      <c r="M1688">
        <v>20</v>
      </c>
      <c r="N1688" t="s">
        <v>138</v>
      </c>
    </row>
    <row r="1689" spans="1:14" x14ac:dyDescent="0.35">
      <c r="A1689" t="s">
        <v>796</v>
      </c>
      <c r="B1689" t="s">
        <v>586</v>
      </c>
      <c r="C1689" t="s">
        <v>16</v>
      </c>
      <c r="D1689">
        <v>0</v>
      </c>
      <c r="E1689">
        <v>18</v>
      </c>
      <c r="F1689" t="s">
        <v>119</v>
      </c>
      <c r="G1689">
        <v>18</v>
      </c>
      <c r="H1689" t="s">
        <v>18</v>
      </c>
      <c r="I1689">
        <v>13</v>
      </c>
      <c r="J1689">
        <v>27.8</v>
      </c>
      <c r="K1689">
        <v>0</v>
      </c>
      <c r="L1689">
        <v>0</v>
      </c>
      <c r="M1689">
        <v>18</v>
      </c>
      <c r="N1689" t="s">
        <v>522</v>
      </c>
    </row>
    <row r="1690" spans="1:14" x14ac:dyDescent="0.35">
      <c r="A1690" t="s">
        <v>796</v>
      </c>
      <c r="B1690" t="s">
        <v>788</v>
      </c>
      <c r="C1690" t="s">
        <v>16</v>
      </c>
      <c r="D1690">
        <v>0</v>
      </c>
      <c r="E1690">
        <v>22</v>
      </c>
      <c r="F1690" t="s">
        <v>128</v>
      </c>
      <c r="G1690">
        <v>18</v>
      </c>
      <c r="H1690" t="s">
        <v>18</v>
      </c>
      <c r="I1690">
        <v>4</v>
      </c>
      <c r="J1690">
        <v>31.2</v>
      </c>
      <c r="K1690">
        <v>4</v>
      </c>
      <c r="L1690">
        <v>5</v>
      </c>
      <c r="M1690">
        <v>23</v>
      </c>
      <c r="N1690" t="s">
        <v>588</v>
      </c>
    </row>
    <row r="1691" spans="1:14" x14ac:dyDescent="0.35">
      <c r="A1691" t="s">
        <v>796</v>
      </c>
      <c r="B1691" t="s">
        <v>427</v>
      </c>
      <c r="C1691" t="s">
        <v>29</v>
      </c>
      <c r="D1691">
        <v>0</v>
      </c>
      <c r="E1691">
        <v>18</v>
      </c>
      <c r="F1691" t="s">
        <v>128</v>
      </c>
      <c r="G1691">
        <v>18</v>
      </c>
      <c r="H1691" t="s">
        <v>18</v>
      </c>
      <c r="I1691">
        <v>47</v>
      </c>
      <c r="J1691">
        <v>22.8</v>
      </c>
      <c r="K1691">
        <v>4</v>
      </c>
      <c r="L1691">
        <v>1</v>
      </c>
      <c r="M1691">
        <v>19</v>
      </c>
      <c r="N1691" t="s">
        <v>145</v>
      </c>
    </row>
    <row r="1692" spans="1:14" x14ac:dyDescent="0.35">
      <c r="A1692" t="s">
        <v>796</v>
      </c>
      <c r="B1692" t="s">
        <v>435</v>
      </c>
      <c r="C1692" t="s">
        <v>16</v>
      </c>
      <c r="D1692">
        <v>4</v>
      </c>
      <c r="E1692">
        <v>17</v>
      </c>
      <c r="F1692" t="s">
        <v>129</v>
      </c>
      <c r="G1692">
        <v>18</v>
      </c>
      <c r="H1692" t="s">
        <v>18</v>
      </c>
      <c r="I1692">
        <v>3</v>
      </c>
      <c r="J1692">
        <v>22.6</v>
      </c>
      <c r="K1692">
        <v>4</v>
      </c>
      <c r="L1692">
        <v>4</v>
      </c>
      <c r="M1692">
        <v>22</v>
      </c>
      <c r="N1692" t="s">
        <v>319</v>
      </c>
    </row>
    <row r="1693" spans="1:14" x14ac:dyDescent="0.35">
      <c r="A1693" t="s">
        <v>796</v>
      </c>
      <c r="B1693" t="s">
        <v>131</v>
      </c>
      <c r="C1693" t="s">
        <v>16</v>
      </c>
      <c r="D1693">
        <v>3</v>
      </c>
      <c r="E1693">
        <v>15</v>
      </c>
      <c r="F1693" t="s">
        <v>322</v>
      </c>
      <c r="G1693">
        <v>18</v>
      </c>
      <c r="H1693" t="s">
        <v>18</v>
      </c>
      <c r="I1693">
        <v>3</v>
      </c>
      <c r="J1693">
        <v>33</v>
      </c>
      <c r="K1693">
        <v>0</v>
      </c>
      <c r="L1693">
        <v>0</v>
      </c>
      <c r="M1693">
        <v>18</v>
      </c>
      <c r="N1693" t="s">
        <v>152</v>
      </c>
    </row>
    <row r="1694" spans="1:14" x14ac:dyDescent="0.35">
      <c r="A1694" t="s">
        <v>796</v>
      </c>
      <c r="B1694" t="s">
        <v>324</v>
      </c>
      <c r="C1694" t="s">
        <v>16</v>
      </c>
      <c r="D1694">
        <v>0</v>
      </c>
      <c r="E1694">
        <v>22</v>
      </c>
      <c r="F1694" t="s">
        <v>139</v>
      </c>
      <c r="G1694">
        <v>18</v>
      </c>
      <c r="H1694" t="s">
        <v>18</v>
      </c>
      <c r="I1694">
        <v>4</v>
      </c>
      <c r="J1694">
        <v>28.1</v>
      </c>
      <c r="K1694">
        <v>0</v>
      </c>
      <c r="L1694">
        <v>0</v>
      </c>
      <c r="M1694">
        <v>18</v>
      </c>
      <c r="N1694" t="s">
        <v>152</v>
      </c>
    </row>
    <row r="1695" spans="1:14" x14ac:dyDescent="0.35">
      <c r="A1695" t="s">
        <v>796</v>
      </c>
      <c r="B1695" t="s">
        <v>141</v>
      </c>
      <c r="C1695" t="s">
        <v>16</v>
      </c>
      <c r="D1695">
        <v>4</v>
      </c>
      <c r="E1695">
        <v>16</v>
      </c>
      <c r="F1695" t="s">
        <v>122</v>
      </c>
      <c r="G1695">
        <v>18</v>
      </c>
      <c r="H1695" t="s">
        <v>18</v>
      </c>
      <c r="I1695">
        <v>3</v>
      </c>
      <c r="J1695">
        <v>26.5</v>
      </c>
      <c r="K1695">
        <v>4</v>
      </c>
      <c r="L1695">
        <v>3</v>
      </c>
      <c r="M1695">
        <v>21</v>
      </c>
      <c r="N1695" t="s">
        <v>442</v>
      </c>
    </row>
    <row r="1696" spans="1:14" x14ac:dyDescent="0.35">
      <c r="A1696" t="s">
        <v>796</v>
      </c>
      <c r="B1696" t="s">
        <v>435</v>
      </c>
      <c r="C1696" t="s">
        <v>29</v>
      </c>
      <c r="D1696">
        <v>0</v>
      </c>
      <c r="E1696">
        <v>18</v>
      </c>
      <c r="F1696" t="s">
        <v>142</v>
      </c>
      <c r="G1696">
        <v>18</v>
      </c>
      <c r="H1696" t="s">
        <v>18</v>
      </c>
      <c r="I1696">
        <v>17</v>
      </c>
      <c r="J1696">
        <v>26.6</v>
      </c>
      <c r="K1696">
        <v>0</v>
      </c>
      <c r="L1696">
        <v>0</v>
      </c>
      <c r="M1696">
        <v>18</v>
      </c>
      <c r="N1696" t="s">
        <v>655</v>
      </c>
    </row>
    <row r="1697" spans="1:14" x14ac:dyDescent="0.35">
      <c r="A1697" t="s">
        <v>796</v>
      </c>
      <c r="B1697" t="s">
        <v>142</v>
      </c>
      <c r="C1697" t="s">
        <v>16</v>
      </c>
      <c r="D1697">
        <v>2</v>
      </c>
      <c r="E1697">
        <v>16</v>
      </c>
      <c r="F1697" t="s">
        <v>522</v>
      </c>
      <c r="G1697">
        <v>18</v>
      </c>
      <c r="H1697" t="s">
        <v>18</v>
      </c>
      <c r="I1697">
        <v>3</v>
      </c>
      <c r="J1697">
        <v>30.5</v>
      </c>
      <c r="K1697">
        <v>3</v>
      </c>
      <c r="L1697">
        <v>3</v>
      </c>
      <c r="M1697">
        <v>21</v>
      </c>
      <c r="N1697" t="s">
        <v>146</v>
      </c>
    </row>
    <row r="1698" spans="1:14" x14ac:dyDescent="0.35">
      <c r="A1698" t="s">
        <v>796</v>
      </c>
      <c r="B1698" t="s">
        <v>145</v>
      </c>
      <c r="C1698" t="s">
        <v>16</v>
      </c>
      <c r="D1698">
        <v>0</v>
      </c>
      <c r="E1698">
        <v>21</v>
      </c>
      <c r="F1698" t="s">
        <v>524</v>
      </c>
      <c r="G1698">
        <v>18</v>
      </c>
      <c r="H1698" t="s">
        <v>18</v>
      </c>
      <c r="I1698">
        <v>3</v>
      </c>
      <c r="J1698">
        <v>28.7</v>
      </c>
      <c r="K1698">
        <v>3</v>
      </c>
      <c r="L1698">
        <v>4</v>
      </c>
      <c r="M1698">
        <v>22</v>
      </c>
      <c r="N1698" t="s">
        <v>143</v>
      </c>
    </row>
    <row r="1699" spans="1:14" x14ac:dyDescent="0.35">
      <c r="A1699" t="s">
        <v>796</v>
      </c>
      <c r="B1699" t="s">
        <v>319</v>
      </c>
      <c r="C1699" t="s">
        <v>16</v>
      </c>
      <c r="D1699">
        <v>3</v>
      </c>
      <c r="E1699">
        <v>15</v>
      </c>
      <c r="F1699" t="s">
        <v>130</v>
      </c>
      <c r="G1699">
        <v>18</v>
      </c>
      <c r="H1699" t="s">
        <v>18</v>
      </c>
      <c r="I1699">
        <v>7</v>
      </c>
      <c r="J1699">
        <v>27.5</v>
      </c>
      <c r="K1699">
        <v>3</v>
      </c>
      <c r="L1699">
        <v>5</v>
      </c>
      <c r="M1699">
        <v>23</v>
      </c>
      <c r="N1699" t="s">
        <v>444</v>
      </c>
    </row>
    <row r="1700" spans="1:14" x14ac:dyDescent="0.35">
      <c r="A1700" t="s">
        <v>796</v>
      </c>
      <c r="B1700" t="s">
        <v>144</v>
      </c>
      <c r="C1700" t="s">
        <v>29</v>
      </c>
      <c r="D1700">
        <v>0</v>
      </c>
      <c r="E1700">
        <v>19</v>
      </c>
      <c r="F1700" t="s">
        <v>438</v>
      </c>
      <c r="G1700">
        <v>18</v>
      </c>
      <c r="H1700" t="s">
        <v>18</v>
      </c>
      <c r="I1700">
        <v>18</v>
      </c>
      <c r="J1700">
        <v>20.7</v>
      </c>
      <c r="K1700">
        <v>4</v>
      </c>
      <c r="L1700">
        <v>4</v>
      </c>
      <c r="M1700">
        <v>22</v>
      </c>
      <c r="N1700" t="s">
        <v>156</v>
      </c>
    </row>
    <row r="1701" spans="1:14" x14ac:dyDescent="0.35">
      <c r="A1701" t="s">
        <v>796</v>
      </c>
      <c r="B1701" t="s">
        <v>133</v>
      </c>
      <c r="C1701" t="s">
        <v>16</v>
      </c>
      <c r="D1701">
        <v>0</v>
      </c>
      <c r="E1701">
        <v>18</v>
      </c>
      <c r="F1701" t="s">
        <v>140</v>
      </c>
      <c r="G1701">
        <v>18</v>
      </c>
      <c r="H1701" t="s">
        <v>18</v>
      </c>
      <c r="I1701">
        <v>12</v>
      </c>
      <c r="J1701">
        <v>26.6</v>
      </c>
      <c r="K1701">
        <v>3</v>
      </c>
      <c r="L1701">
        <v>3</v>
      </c>
      <c r="M1701">
        <v>21</v>
      </c>
      <c r="N1701" t="s">
        <v>335</v>
      </c>
    </row>
    <row r="1702" spans="1:14" x14ac:dyDescent="0.35">
      <c r="A1702" t="s">
        <v>796</v>
      </c>
      <c r="B1702" t="s">
        <v>623</v>
      </c>
      <c r="C1702" t="s">
        <v>29</v>
      </c>
      <c r="D1702">
        <v>1</v>
      </c>
      <c r="E1702">
        <v>12</v>
      </c>
      <c r="F1702" t="s">
        <v>156</v>
      </c>
      <c r="G1702">
        <v>13</v>
      </c>
      <c r="H1702" t="s">
        <v>157</v>
      </c>
      <c r="I1702">
        <v>19</v>
      </c>
      <c r="J1702">
        <v>23</v>
      </c>
      <c r="K1702">
        <v>3</v>
      </c>
      <c r="L1702">
        <v>2</v>
      </c>
      <c r="M1702">
        <v>15</v>
      </c>
      <c r="N1702" t="s">
        <v>175</v>
      </c>
    </row>
    <row r="1703" spans="1:14" x14ac:dyDescent="0.35">
      <c r="A1703" t="s">
        <v>796</v>
      </c>
      <c r="B1703" t="s">
        <v>325</v>
      </c>
      <c r="C1703" t="s">
        <v>16</v>
      </c>
      <c r="D1703">
        <v>0</v>
      </c>
      <c r="E1703">
        <v>20</v>
      </c>
      <c r="F1703" t="s">
        <v>150</v>
      </c>
      <c r="G1703">
        <v>18</v>
      </c>
      <c r="H1703" t="s">
        <v>18</v>
      </c>
      <c r="I1703">
        <v>11</v>
      </c>
      <c r="J1703">
        <v>25.1</v>
      </c>
      <c r="K1703">
        <v>3</v>
      </c>
      <c r="L1703">
        <v>3</v>
      </c>
      <c r="M1703">
        <v>21</v>
      </c>
      <c r="N1703" t="s">
        <v>176</v>
      </c>
    </row>
    <row r="1704" spans="1:14" x14ac:dyDescent="0.35">
      <c r="A1704" t="s">
        <v>796</v>
      </c>
      <c r="B1704" t="s">
        <v>444</v>
      </c>
      <c r="C1704" t="s">
        <v>16</v>
      </c>
      <c r="D1704">
        <v>2</v>
      </c>
      <c r="E1704">
        <v>17</v>
      </c>
      <c r="F1704" t="s">
        <v>329</v>
      </c>
      <c r="G1704">
        <v>18</v>
      </c>
      <c r="H1704" t="s">
        <v>18</v>
      </c>
      <c r="I1704">
        <v>4</v>
      </c>
      <c r="J1704">
        <v>28.8</v>
      </c>
      <c r="K1704">
        <v>0</v>
      </c>
      <c r="L1704">
        <v>0</v>
      </c>
      <c r="M1704">
        <v>18</v>
      </c>
      <c r="N1704" t="s">
        <v>167</v>
      </c>
    </row>
    <row r="1705" spans="1:14" x14ac:dyDescent="0.35">
      <c r="A1705" t="s">
        <v>796</v>
      </c>
      <c r="B1705" t="s">
        <v>331</v>
      </c>
      <c r="C1705" t="s">
        <v>16</v>
      </c>
      <c r="D1705">
        <v>1</v>
      </c>
      <c r="E1705">
        <v>18</v>
      </c>
      <c r="F1705" t="s">
        <v>165</v>
      </c>
      <c r="G1705">
        <v>18</v>
      </c>
      <c r="H1705" t="s">
        <v>18</v>
      </c>
      <c r="I1705">
        <v>2</v>
      </c>
      <c r="J1705">
        <v>29.9</v>
      </c>
      <c r="K1705">
        <v>4</v>
      </c>
      <c r="L1705">
        <v>2</v>
      </c>
      <c r="M1705">
        <v>20</v>
      </c>
      <c r="N1705" t="s">
        <v>164</v>
      </c>
    </row>
    <row r="1706" spans="1:14" x14ac:dyDescent="0.35">
      <c r="A1706" t="s">
        <v>796</v>
      </c>
      <c r="B1706" t="s">
        <v>150</v>
      </c>
      <c r="C1706" t="s">
        <v>29</v>
      </c>
      <c r="D1706">
        <v>0</v>
      </c>
      <c r="E1706">
        <v>19</v>
      </c>
      <c r="F1706" t="s">
        <v>166</v>
      </c>
      <c r="G1706">
        <v>18</v>
      </c>
      <c r="H1706" t="s">
        <v>18</v>
      </c>
      <c r="I1706">
        <v>11</v>
      </c>
      <c r="J1706">
        <v>25.4</v>
      </c>
      <c r="K1706">
        <v>3</v>
      </c>
      <c r="L1706">
        <v>5</v>
      </c>
      <c r="M1706">
        <v>23</v>
      </c>
      <c r="N1706" t="s">
        <v>446</v>
      </c>
    </row>
    <row r="1707" spans="1:14" x14ac:dyDescent="0.35">
      <c r="A1707" t="s">
        <v>796</v>
      </c>
      <c r="B1707" t="s">
        <v>153</v>
      </c>
      <c r="C1707" t="s">
        <v>16</v>
      </c>
      <c r="D1707">
        <v>1</v>
      </c>
      <c r="E1707">
        <v>19</v>
      </c>
      <c r="F1707" t="s">
        <v>168</v>
      </c>
      <c r="G1707">
        <v>18</v>
      </c>
      <c r="H1707" t="s">
        <v>18</v>
      </c>
      <c r="I1707">
        <v>3</v>
      </c>
      <c r="J1707">
        <v>31.5</v>
      </c>
      <c r="K1707">
        <v>4</v>
      </c>
      <c r="L1707">
        <v>0</v>
      </c>
      <c r="M1707">
        <v>18</v>
      </c>
      <c r="N1707" t="s">
        <v>343</v>
      </c>
    </row>
    <row r="1708" spans="1:14" x14ac:dyDescent="0.35">
      <c r="A1708" t="s">
        <v>796</v>
      </c>
      <c r="B1708" t="s">
        <v>333</v>
      </c>
      <c r="C1708" t="s">
        <v>16</v>
      </c>
      <c r="D1708">
        <v>2</v>
      </c>
      <c r="E1708">
        <v>16</v>
      </c>
      <c r="F1708" t="s">
        <v>335</v>
      </c>
      <c r="G1708">
        <v>18</v>
      </c>
      <c r="H1708" t="s">
        <v>18</v>
      </c>
      <c r="I1708">
        <v>1</v>
      </c>
      <c r="J1708">
        <v>27.3</v>
      </c>
      <c r="K1708">
        <v>0</v>
      </c>
      <c r="L1708">
        <v>0</v>
      </c>
      <c r="M1708">
        <v>18</v>
      </c>
      <c r="N1708" t="s">
        <v>340</v>
      </c>
    </row>
    <row r="1709" spans="1:14" x14ac:dyDescent="0.35">
      <c r="A1709" t="s">
        <v>796</v>
      </c>
      <c r="B1709" t="s">
        <v>590</v>
      </c>
      <c r="C1709" t="s">
        <v>16</v>
      </c>
      <c r="D1709">
        <v>0</v>
      </c>
      <c r="E1709">
        <v>18</v>
      </c>
      <c r="F1709" t="s">
        <v>528</v>
      </c>
      <c r="G1709">
        <v>18</v>
      </c>
      <c r="H1709" t="s">
        <v>18</v>
      </c>
      <c r="I1709">
        <v>3</v>
      </c>
      <c r="J1709">
        <v>27.2</v>
      </c>
      <c r="K1709">
        <v>3</v>
      </c>
      <c r="L1709">
        <v>2</v>
      </c>
      <c r="M1709">
        <v>20</v>
      </c>
      <c r="N1709" t="s">
        <v>451</v>
      </c>
    </row>
    <row r="1710" spans="1:14" x14ac:dyDescent="0.35">
      <c r="A1710" t="s">
        <v>796</v>
      </c>
      <c r="B1710" t="s">
        <v>158</v>
      </c>
      <c r="C1710" t="s">
        <v>16</v>
      </c>
      <c r="D1710">
        <v>0</v>
      </c>
      <c r="E1710">
        <v>21</v>
      </c>
      <c r="F1710" t="s">
        <v>173</v>
      </c>
      <c r="G1710">
        <v>18</v>
      </c>
      <c r="H1710" t="s">
        <v>18</v>
      </c>
      <c r="I1710">
        <v>3</v>
      </c>
      <c r="J1710">
        <v>30.2</v>
      </c>
      <c r="K1710">
        <v>4</v>
      </c>
      <c r="L1710">
        <v>5</v>
      </c>
      <c r="M1710">
        <v>23</v>
      </c>
      <c r="N1710" t="s">
        <v>531</v>
      </c>
    </row>
    <row r="1711" spans="1:14" x14ac:dyDescent="0.35">
      <c r="A1711" t="s">
        <v>796</v>
      </c>
      <c r="B1711" t="s">
        <v>154</v>
      </c>
      <c r="C1711" t="s">
        <v>16</v>
      </c>
      <c r="D1711">
        <v>3</v>
      </c>
      <c r="E1711">
        <v>17</v>
      </c>
      <c r="F1711" t="s">
        <v>339</v>
      </c>
      <c r="G1711">
        <v>18</v>
      </c>
      <c r="H1711" t="s">
        <v>18</v>
      </c>
      <c r="I1711">
        <v>3</v>
      </c>
      <c r="J1711">
        <v>28.5</v>
      </c>
      <c r="K1711">
        <v>2</v>
      </c>
      <c r="L1711">
        <v>5</v>
      </c>
      <c r="M1711">
        <v>23</v>
      </c>
      <c r="N1711" t="s">
        <v>187</v>
      </c>
    </row>
    <row r="1712" spans="1:14" x14ac:dyDescent="0.35">
      <c r="A1712" t="s">
        <v>796</v>
      </c>
      <c r="B1712" t="s">
        <v>168</v>
      </c>
      <c r="C1712" t="s">
        <v>29</v>
      </c>
      <c r="D1712">
        <v>1</v>
      </c>
      <c r="E1712">
        <v>18</v>
      </c>
      <c r="F1712" t="s">
        <v>339</v>
      </c>
      <c r="G1712">
        <v>18</v>
      </c>
      <c r="H1712" t="s">
        <v>18</v>
      </c>
      <c r="I1712">
        <v>15</v>
      </c>
      <c r="J1712">
        <v>19.7</v>
      </c>
      <c r="K1712">
        <v>2</v>
      </c>
      <c r="L1712">
        <v>5</v>
      </c>
      <c r="M1712">
        <v>23</v>
      </c>
      <c r="N1712" t="s">
        <v>451</v>
      </c>
    </row>
    <row r="1713" spans="1:14" x14ac:dyDescent="0.35">
      <c r="A1713" t="s">
        <v>796</v>
      </c>
      <c r="B1713" t="s">
        <v>529</v>
      </c>
      <c r="C1713" t="s">
        <v>16</v>
      </c>
      <c r="D1713">
        <v>2</v>
      </c>
      <c r="E1713">
        <v>16</v>
      </c>
      <c r="F1713" t="s">
        <v>167</v>
      </c>
      <c r="G1713">
        <v>18</v>
      </c>
      <c r="H1713" t="s">
        <v>18</v>
      </c>
      <c r="I1713">
        <v>5</v>
      </c>
      <c r="J1713">
        <v>30.7</v>
      </c>
      <c r="K1713">
        <v>3</v>
      </c>
      <c r="L1713">
        <v>4</v>
      </c>
      <c r="M1713">
        <v>22</v>
      </c>
      <c r="N1713" t="s">
        <v>180</v>
      </c>
    </row>
    <row r="1714" spans="1:14" x14ac:dyDescent="0.35">
      <c r="A1714" t="s">
        <v>796</v>
      </c>
      <c r="B1714" t="s">
        <v>179</v>
      </c>
      <c r="C1714" t="s">
        <v>16</v>
      </c>
      <c r="D1714">
        <v>0</v>
      </c>
      <c r="E1714">
        <v>21</v>
      </c>
      <c r="F1714" t="s">
        <v>343</v>
      </c>
      <c r="G1714">
        <v>18</v>
      </c>
      <c r="H1714" t="s">
        <v>18</v>
      </c>
      <c r="I1714">
        <v>9</v>
      </c>
      <c r="J1714">
        <v>25.5</v>
      </c>
      <c r="K1714">
        <v>4</v>
      </c>
      <c r="L1714">
        <v>3</v>
      </c>
      <c r="M1714">
        <v>21</v>
      </c>
      <c r="N1714" t="s">
        <v>658</v>
      </c>
    </row>
    <row r="1715" spans="1:14" x14ac:dyDescent="0.35">
      <c r="A1715" t="s">
        <v>796</v>
      </c>
      <c r="B1715" t="s">
        <v>529</v>
      </c>
      <c r="C1715" t="s">
        <v>29</v>
      </c>
      <c r="D1715">
        <v>1</v>
      </c>
      <c r="E1715">
        <v>6</v>
      </c>
      <c r="F1715" t="s">
        <v>343</v>
      </c>
      <c r="G1715">
        <v>7</v>
      </c>
      <c r="H1715" t="s">
        <v>157</v>
      </c>
      <c r="I1715">
        <v>15</v>
      </c>
      <c r="J1715">
        <v>24.5</v>
      </c>
      <c r="K1715">
        <v>3</v>
      </c>
      <c r="L1715">
        <v>4</v>
      </c>
      <c r="M1715">
        <v>11</v>
      </c>
      <c r="N1715" t="s">
        <v>457</v>
      </c>
    </row>
    <row r="1716" spans="1:14" x14ac:dyDescent="0.35">
      <c r="A1716" t="s">
        <v>796</v>
      </c>
      <c r="B1716" t="s">
        <v>184</v>
      </c>
      <c r="C1716" t="s">
        <v>16</v>
      </c>
      <c r="D1716">
        <v>3</v>
      </c>
      <c r="E1716">
        <v>17</v>
      </c>
      <c r="F1716" t="s">
        <v>624</v>
      </c>
      <c r="G1716">
        <v>18</v>
      </c>
      <c r="H1716" t="s">
        <v>18</v>
      </c>
      <c r="I1716">
        <v>10</v>
      </c>
      <c r="J1716">
        <v>28</v>
      </c>
      <c r="K1716">
        <v>4</v>
      </c>
      <c r="L1716">
        <v>4</v>
      </c>
      <c r="M1716">
        <v>22</v>
      </c>
      <c r="N1716" t="s">
        <v>188</v>
      </c>
    </row>
    <row r="1717" spans="1:14" x14ac:dyDescent="0.35">
      <c r="A1717" t="s">
        <v>796</v>
      </c>
      <c r="B1717" t="s">
        <v>170</v>
      </c>
      <c r="C1717" t="s">
        <v>29</v>
      </c>
      <c r="D1717">
        <v>0</v>
      </c>
      <c r="E1717">
        <v>6</v>
      </c>
      <c r="F1717" t="s">
        <v>190</v>
      </c>
      <c r="G1717">
        <v>6</v>
      </c>
      <c r="H1717" t="s">
        <v>157</v>
      </c>
      <c r="I1717">
        <v>15</v>
      </c>
      <c r="J1717">
        <v>21.1</v>
      </c>
      <c r="K1717">
        <v>3</v>
      </c>
      <c r="L1717">
        <v>0</v>
      </c>
      <c r="M1717">
        <v>6</v>
      </c>
      <c r="N1717" t="s">
        <v>532</v>
      </c>
    </row>
    <row r="1718" spans="1:14" x14ac:dyDescent="0.35">
      <c r="A1718" t="s">
        <v>796</v>
      </c>
      <c r="B1718" t="s">
        <v>187</v>
      </c>
      <c r="C1718" t="s">
        <v>16</v>
      </c>
      <c r="D1718">
        <v>2</v>
      </c>
      <c r="E1718">
        <v>15</v>
      </c>
      <c r="F1718" t="s">
        <v>450</v>
      </c>
      <c r="G1718">
        <v>17</v>
      </c>
      <c r="H1718" t="s">
        <v>157</v>
      </c>
      <c r="I1718">
        <v>15</v>
      </c>
      <c r="J1718">
        <v>34.6</v>
      </c>
      <c r="K1718">
        <v>4</v>
      </c>
      <c r="L1718">
        <v>3</v>
      </c>
      <c r="M1718">
        <v>20</v>
      </c>
      <c r="N1718" t="s">
        <v>199</v>
      </c>
    </row>
    <row r="1719" spans="1:14" x14ac:dyDescent="0.35">
      <c r="A1719" t="s">
        <v>796</v>
      </c>
      <c r="B1719" t="s">
        <v>687</v>
      </c>
      <c r="C1719" t="s">
        <v>29</v>
      </c>
      <c r="D1719">
        <v>0</v>
      </c>
      <c r="E1719">
        <v>4</v>
      </c>
      <c r="F1719" t="s">
        <v>342</v>
      </c>
      <c r="G1719">
        <v>4</v>
      </c>
      <c r="H1719" t="s">
        <v>157</v>
      </c>
      <c r="I1719">
        <v>15</v>
      </c>
      <c r="J1719">
        <v>20.2</v>
      </c>
      <c r="K1719">
        <v>3</v>
      </c>
      <c r="L1719">
        <v>2</v>
      </c>
      <c r="M1719">
        <v>6</v>
      </c>
      <c r="N1719" t="s">
        <v>771</v>
      </c>
    </row>
    <row r="1720" spans="1:14" x14ac:dyDescent="0.35">
      <c r="A1720" t="s">
        <v>796</v>
      </c>
      <c r="B1720" t="s">
        <v>459</v>
      </c>
      <c r="C1720" t="s">
        <v>16</v>
      </c>
      <c r="D1720">
        <v>0</v>
      </c>
      <c r="E1720">
        <v>10</v>
      </c>
      <c r="F1720" t="s">
        <v>198</v>
      </c>
      <c r="G1720">
        <v>10</v>
      </c>
      <c r="H1720" t="s">
        <v>157</v>
      </c>
      <c r="I1720">
        <v>15</v>
      </c>
      <c r="J1720">
        <v>26.1</v>
      </c>
      <c r="K1720">
        <v>3</v>
      </c>
      <c r="L1720">
        <v>3</v>
      </c>
      <c r="M1720">
        <v>13</v>
      </c>
      <c r="N1720" t="s">
        <v>357</v>
      </c>
    </row>
    <row r="1721" spans="1:14" x14ac:dyDescent="0.35">
      <c r="A1721" t="s">
        <v>796</v>
      </c>
      <c r="B1721" t="s">
        <v>194</v>
      </c>
      <c r="C1721" t="s">
        <v>29</v>
      </c>
      <c r="D1721">
        <v>0</v>
      </c>
      <c r="E1721">
        <v>3</v>
      </c>
      <c r="F1721" t="s">
        <v>533</v>
      </c>
      <c r="G1721">
        <v>3</v>
      </c>
      <c r="H1721" t="s">
        <v>157</v>
      </c>
      <c r="I1721">
        <v>15</v>
      </c>
      <c r="J1721">
        <v>26.1</v>
      </c>
      <c r="K1721">
        <v>3</v>
      </c>
      <c r="L1721">
        <v>0</v>
      </c>
      <c r="M1721">
        <v>3</v>
      </c>
      <c r="N1721" t="s">
        <v>460</v>
      </c>
    </row>
    <row r="1722" spans="1:14" x14ac:dyDescent="0.35">
      <c r="A1722" t="s">
        <v>796</v>
      </c>
      <c r="B1722" t="s">
        <v>353</v>
      </c>
      <c r="C1722" t="s">
        <v>16</v>
      </c>
      <c r="D1722">
        <v>0</v>
      </c>
      <c r="E1722">
        <v>16</v>
      </c>
      <c r="F1722" t="s">
        <v>354</v>
      </c>
      <c r="G1722">
        <v>16</v>
      </c>
      <c r="H1722" t="s">
        <v>157</v>
      </c>
      <c r="I1722">
        <v>15</v>
      </c>
      <c r="J1722">
        <v>30</v>
      </c>
      <c r="K1722">
        <v>4</v>
      </c>
      <c r="L1722">
        <v>0</v>
      </c>
      <c r="M1722">
        <v>16</v>
      </c>
      <c r="N1722" t="s">
        <v>749</v>
      </c>
    </row>
    <row r="1723" spans="1:14" x14ac:dyDescent="0.35">
      <c r="A1723" t="s">
        <v>796</v>
      </c>
      <c r="B1723" t="s">
        <v>456</v>
      </c>
      <c r="C1723" t="s">
        <v>29</v>
      </c>
      <c r="D1723">
        <v>0</v>
      </c>
      <c r="E1723">
        <v>2</v>
      </c>
      <c r="F1723" t="s">
        <v>538</v>
      </c>
      <c r="G1723">
        <v>2</v>
      </c>
      <c r="H1723" t="s">
        <v>157</v>
      </c>
      <c r="I1723">
        <v>15</v>
      </c>
      <c r="J1723">
        <v>22.9</v>
      </c>
      <c r="K1723">
        <v>0</v>
      </c>
      <c r="L1723">
        <v>0</v>
      </c>
      <c r="M1723">
        <v>2</v>
      </c>
      <c r="N1723" t="s">
        <v>749</v>
      </c>
    </row>
    <row r="1724" spans="1:14" x14ac:dyDescent="0.35">
      <c r="A1724" t="s">
        <v>796</v>
      </c>
      <c r="B1724" t="s">
        <v>458</v>
      </c>
      <c r="C1724" t="s">
        <v>16</v>
      </c>
      <c r="D1724">
        <v>0</v>
      </c>
      <c r="E1724">
        <v>11</v>
      </c>
      <c r="F1724" t="s">
        <v>355</v>
      </c>
      <c r="G1724">
        <v>11</v>
      </c>
      <c r="H1724" t="s">
        <v>157</v>
      </c>
      <c r="I1724">
        <v>15</v>
      </c>
      <c r="J1724">
        <v>29.9</v>
      </c>
      <c r="K1724">
        <v>0</v>
      </c>
      <c r="L1724">
        <v>0</v>
      </c>
      <c r="M1724">
        <v>11</v>
      </c>
      <c r="N1724" t="s">
        <v>709</v>
      </c>
    </row>
    <row r="1725" spans="1:14" x14ac:dyDescent="0.35">
      <c r="A1725" t="s">
        <v>796</v>
      </c>
      <c r="B1725" t="s">
        <v>661</v>
      </c>
      <c r="C1725" t="s">
        <v>16</v>
      </c>
      <c r="D1725">
        <v>0</v>
      </c>
      <c r="E1725">
        <v>17</v>
      </c>
      <c r="F1725" t="s">
        <v>542</v>
      </c>
      <c r="G1725">
        <v>17</v>
      </c>
      <c r="H1725" t="s">
        <v>157</v>
      </c>
      <c r="I1725">
        <v>15</v>
      </c>
      <c r="J1725">
        <v>27.5</v>
      </c>
      <c r="K1725">
        <v>1</v>
      </c>
      <c r="L1725">
        <v>2</v>
      </c>
      <c r="M1725">
        <v>19</v>
      </c>
      <c r="N1725" t="s">
        <v>630</v>
      </c>
    </row>
    <row r="1726" spans="1:14" x14ac:dyDescent="0.35">
      <c r="A1726" t="s">
        <v>796</v>
      </c>
      <c r="B1726" t="s">
        <v>629</v>
      </c>
      <c r="C1726" t="s">
        <v>16</v>
      </c>
      <c r="D1726">
        <v>0</v>
      </c>
      <c r="E1726">
        <v>14</v>
      </c>
      <c r="F1726" t="s">
        <v>545</v>
      </c>
      <c r="G1726">
        <v>14</v>
      </c>
      <c r="H1726" t="s">
        <v>157</v>
      </c>
      <c r="I1726">
        <v>15</v>
      </c>
      <c r="J1726">
        <v>26.7</v>
      </c>
      <c r="K1726">
        <v>1</v>
      </c>
      <c r="L1726">
        <v>1</v>
      </c>
      <c r="M1726">
        <v>15</v>
      </c>
      <c r="N1726" t="s">
        <v>544</v>
      </c>
    </row>
    <row r="1727" spans="1:14" x14ac:dyDescent="0.35">
      <c r="A1727" t="s">
        <v>796</v>
      </c>
      <c r="B1727" t="s">
        <v>799</v>
      </c>
      <c r="C1727" t="s">
        <v>16</v>
      </c>
      <c r="D1727">
        <v>0</v>
      </c>
      <c r="E1727">
        <v>13</v>
      </c>
      <c r="F1727" t="s">
        <v>547</v>
      </c>
      <c r="G1727">
        <v>13</v>
      </c>
      <c r="H1727" t="s">
        <v>157</v>
      </c>
      <c r="I1727">
        <v>15</v>
      </c>
      <c r="J1727">
        <v>26.7</v>
      </c>
      <c r="K1727">
        <v>0</v>
      </c>
      <c r="L1727">
        <v>0</v>
      </c>
      <c r="M1727">
        <v>13</v>
      </c>
      <c r="N1727" t="s">
        <v>690</v>
      </c>
    </row>
    <row r="1728" spans="1:14" x14ac:dyDescent="0.35">
      <c r="A1728" t="s">
        <v>796</v>
      </c>
      <c r="B1728" t="s">
        <v>597</v>
      </c>
      <c r="C1728" t="s">
        <v>16</v>
      </c>
      <c r="D1728">
        <v>0</v>
      </c>
      <c r="E1728">
        <v>11</v>
      </c>
      <c r="F1728" t="s">
        <v>742</v>
      </c>
      <c r="G1728">
        <v>11</v>
      </c>
      <c r="H1728" t="s">
        <v>157</v>
      </c>
      <c r="I1728">
        <v>15</v>
      </c>
      <c r="J1728">
        <v>28.3</v>
      </c>
      <c r="K1728">
        <v>3</v>
      </c>
      <c r="L1728">
        <v>2</v>
      </c>
      <c r="M1728">
        <v>13</v>
      </c>
      <c r="N1728" t="s">
        <v>474</v>
      </c>
    </row>
    <row r="1729" spans="1:14" x14ac:dyDescent="0.35">
      <c r="A1729" t="s">
        <v>796</v>
      </c>
      <c r="B1729" t="s">
        <v>217</v>
      </c>
      <c r="C1729" t="s">
        <v>16</v>
      </c>
      <c r="D1729">
        <v>0</v>
      </c>
      <c r="E1729">
        <v>18</v>
      </c>
      <c r="F1729" t="s">
        <v>634</v>
      </c>
      <c r="G1729">
        <v>18</v>
      </c>
      <c r="H1729" t="s">
        <v>18</v>
      </c>
      <c r="I1729">
        <v>15</v>
      </c>
      <c r="J1729">
        <v>31.3</v>
      </c>
      <c r="K1729">
        <v>3</v>
      </c>
      <c r="L1729">
        <v>2</v>
      </c>
      <c r="M1729">
        <v>20</v>
      </c>
      <c r="N1729" t="s">
        <v>635</v>
      </c>
    </row>
    <row r="1730" spans="1:14" x14ac:dyDescent="0.35">
      <c r="A1730" t="s">
        <v>796</v>
      </c>
      <c r="B1730" t="s">
        <v>469</v>
      </c>
      <c r="C1730" t="s">
        <v>16</v>
      </c>
      <c r="D1730">
        <v>0</v>
      </c>
      <c r="E1730">
        <v>18</v>
      </c>
      <c r="F1730" t="s">
        <v>371</v>
      </c>
      <c r="G1730">
        <v>18</v>
      </c>
      <c r="H1730" t="s">
        <v>18</v>
      </c>
      <c r="I1730">
        <v>15</v>
      </c>
      <c r="J1730">
        <v>29</v>
      </c>
      <c r="K1730">
        <v>2</v>
      </c>
      <c r="L1730">
        <v>0</v>
      </c>
      <c r="M1730">
        <v>18</v>
      </c>
      <c r="N1730" t="s">
        <v>377</v>
      </c>
    </row>
    <row r="1731" spans="1:14" x14ac:dyDescent="0.35">
      <c r="A1731" t="s">
        <v>796</v>
      </c>
      <c r="B1731" t="s">
        <v>223</v>
      </c>
      <c r="C1731" t="s">
        <v>16</v>
      </c>
      <c r="D1731">
        <v>0</v>
      </c>
      <c r="E1731">
        <v>19</v>
      </c>
      <c r="F1731" t="s">
        <v>800</v>
      </c>
      <c r="G1731">
        <v>18</v>
      </c>
      <c r="H1731" t="s">
        <v>18</v>
      </c>
      <c r="I1731">
        <v>14</v>
      </c>
      <c r="J1731">
        <v>32.4</v>
      </c>
      <c r="K1731">
        <v>1</v>
      </c>
      <c r="L1731">
        <v>3</v>
      </c>
      <c r="M1731">
        <v>21</v>
      </c>
      <c r="N1731" t="s">
        <v>729</v>
      </c>
    </row>
    <row r="1732" spans="1:14" x14ac:dyDescent="0.35">
      <c r="A1732" t="s">
        <v>796</v>
      </c>
      <c r="B1732" t="s">
        <v>600</v>
      </c>
      <c r="C1732" t="s">
        <v>16</v>
      </c>
      <c r="D1732">
        <v>1</v>
      </c>
      <c r="E1732">
        <v>17</v>
      </c>
      <c r="F1732" t="s">
        <v>744</v>
      </c>
      <c r="G1732">
        <v>18</v>
      </c>
      <c r="H1732" t="s">
        <v>18</v>
      </c>
      <c r="I1732">
        <v>15</v>
      </c>
      <c r="J1732">
        <v>25.7</v>
      </c>
      <c r="K1732">
        <v>0</v>
      </c>
      <c r="L1732">
        <v>0</v>
      </c>
      <c r="M1732">
        <v>18</v>
      </c>
      <c r="N1732" t="s">
        <v>230</v>
      </c>
    </row>
    <row r="1733" spans="1:14" x14ac:dyDescent="0.35">
      <c r="A1733" t="s">
        <v>796</v>
      </c>
      <c r="B1733" t="s">
        <v>229</v>
      </c>
      <c r="C1733" t="s">
        <v>16</v>
      </c>
      <c r="D1733">
        <v>0</v>
      </c>
      <c r="E1733">
        <v>12</v>
      </c>
      <c r="F1733" t="s">
        <v>730</v>
      </c>
      <c r="G1733">
        <v>12</v>
      </c>
      <c r="H1733" t="s">
        <v>157</v>
      </c>
      <c r="I1733">
        <v>15</v>
      </c>
      <c r="J1733">
        <v>23</v>
      </c>
      <c r="K1733">
        <v>2</v>
      </c>
      <c r="L1733">
        <v>1</v>
      </c>
      <c r="M1733">
        <v>13</v>
      </c>
      <c r="N1733" t="s">
        <v>561</v>
      </c>
    </row>
    <row r="1734" spans="1:14" x14ac:dyDescent="0.35">
      <c r="A1734" t="s">
        <v>796</v>
      </c>
      <c r="B1734" t="s">
        <v>232</v>
      </c>
      <c r="C1734" t="s">
        <v>16</v>
      </c>
      <c r="D1734">
        <v>0</v>
      </c>
      <c r="E1734">
        <v>16</v>
      </c>
      <c r="F1734" t="s">
        <v>713</v>
      </c>
      <c r="G1734">
        <v>16</v>
      </c>
      <c r="H1734" t="s">
        <v>157</v>
      </c>
      <c r="I1734">
        <v>15</v>
      </c>
      <c r="J1734">
        <v>29.2</v>
      </c>
      <c r="K1734">
        <v>3</v>
      </c>
      <c r="L1734">
        <v>3</v>
      </c>
      <c r="M1734">
        <v>19</v>
      </c>
      <c r="N1734" t="s">
        <v>236</v>
      </c>
    </row>
    <row r="1735" spans="1:14" x14ac:dyDescent="0.35">
      <c r="A1735" t="s">
        <v>796</v>
      </c>
      <c r="B1735" t="s">
        <v>386</v>
      </c>
      <c r="C1735" t="s">
        <v>16</v>
      </c>
      <c r="D1735">
        <v>0</v>
      </c>
      <c r="E1735">
        <v>12</v>
      </c>
      <c r="F1735" t="s">
        <v>482</v>
      </c>
      <c r="G1735">
        <v>12</v>
      </c>
      <c r="H1735" t="s">
        <v>157</v>
      </c>
      <c r="I1735">
        <v>15</v>
      </c>
      <c r="J1735">
        <v>30.6</v>
      </c>
      <c r="K1735">
        <v>2</v>
      </c>
      <c r="L1735">
        <v>0</v>
      </c>
      <c r="M1735">
        <v>12</v>
      </c>
      <c r="N1735" t="s">
        <v>695</v>
      </c>
    </row>
    <row r="1736" spans="1:14" x14ac:dyDescent="0.35">
      <c r="A1736" t="s">
        <v>796</v>
      </c>
      <c r="B1736" t="s">
        <v>389</v>
      </c>
      <c r="C1736" t="s">
        <v>16</v>
      </c>
      <c r="D1736">
        <v>0</v>
      </c>
      <c r="E1736">
        <v>11</v>
      </c>
      <c r="F1736" t="s">
        <v>243</v>
      </c>
      <c r="G1736">
        <v>11</v>
      </c>
      <c r="H1736" t="s">
        <v>157</v>
      </c>
      <c r="I1736">
        <v>15</v>
      </c>
      <c r="J1736">
        <v>27.4</v>
      </c>
      <c r="K1736">
        <v>3</v>
      </c>
      <c r="L1736">
        <v>2</v>
      </c>
      <c r="M1736">
        <v>13</v>
      </c>
      <c r="N1736" t="s">
        <v>491</v>
      </c>
    </row>
    <row r="1737" spans="1:14" x14ac:dyDescent="0.35">
      <c r="A1737" t="s">
        <v>796</v>
      </c>
      <c r="B1737" t="s">
        <v>754</v>
      </c>
      <c r="C1737" t="s">
        <v>16</v>
      </c>
      <c r="D1737">
        <v>0</v>
      </c>
      <c r="E1737">
        <v>12</v>
      </c>
      <c r="F1737" t="s">
        <v>762</v>
      </c>
      <c r="G1737">
        <v>12</v>
      </c>
      <c r="H1737" t="s">
        <v>157</v>
      </c>
      <c r="I1737">
        <v>15</v>
      </c>
      <c r="J1737">
        <v>28.6</v>
      </c>
      <c r="K1737">
        <v>0</v>
      </c>
      <c r="L1737">
        <v>0</v>
      </c>
      <c r="M1737">
        <v>12</v>
      </c>
      <c r="N1737" t="s">
        <v>697</v>
      </c>
    </row>
    <row r="1738" spans="1:14" x14ac:dyDescent="0.35">
      <c r="A1738" t="s">
        <v>796</v>
      </c>
      <c r="B1738" t="s">
        <v>394</v>
      </c>
      <c r="C1738" t="s">
        <v>16</v>
      </c>
      <c r="D1738">
        <v>0</v>
      </c>
      <c r="E1738">
        <v>17</v>
      </c>
      <c r="F1738" t="s">
        <v>249</v>
      </c>
      <c r="G1738">
        <v>17</v>
      </c>
      <c r="H1738" t="s">
        <v>157</v>
      </c>
      <c r="I1738">
        <v>15</v>
      </c>
      <c r="J1738">
        <v>29.6</v>
      </c>
      <c r="K1738">
        <v>0</v>
      </c>
      <c r="L1738">
        <v>0</v>
      </c>
      <c r="M1738">
        <v>17</v>
      </c>
      <c r="N1738" t="s">
        <v>494</v>
      </c>
    </row>
    <row r="1739" spans="1:14" x14ac:dyDescent="0.35">
      <c r="A1739" t="s">
        <v>796</v>
      </c>
      <c r="B1739" t="s">
        <v>397</v>
      </c>
      <c r="C1739" t="s">
        <v>16</v>
      </c>
      <c r="D1739">
        <v>0</v>
      </c>
      <c r="E1739">
        <v>11</v>
      </c>
      <c r="F1739" t="s">
        <v>801</v>
      </c>
      <c r="G1739">
        <v>11</v>
      </c>
      <c r="H1739" t="s">
        <v>157</v>
      </c>
      <c r="I1739">
        <v>15</v>
      </c>
      <c r="J1739">
        <v>23.3</v>
      </c>
      <c r="K1739">
        <v>3</v>
      </c>
      <c r="L1739">
        <v>3</v>
      </c>
      <c r="M1739">
        <v>14</v>
      </c>
      <c r="N1739" t="s">
        <v>698</v>
      </c>
    </row>
    <row r="1740" spans="1:14" x14ac:dyDescent="0.35">
      <c r="A1740" t="s">
        <v>802</v>
      </c>
      <c r="B1740" t="s">
        <v>15</v>
      </c>
      <c r="C1740" t="s">
        <v>16</v>
      </c>
      <c r="D1740">
        <v>0</v>
      </c>
      <c r="E1740">
        <v>18</v>
      </c>
      <c r="F1740" t="s">
        <v>680</v>
      </c>
      <c r="G1740">
        <v>18</v>
      </c>
      <c r="H1740" t="s">
        <v>18</v>
      </c>
      <c r="I1740">
        <v>2</v>
      </c>
      <c r="J1740">
        <v>30.2</v>
      </c>
      <c r="K1740">
        <v>0</v>
      </c>
      <c r="L1740">
        <v>0</v>
      </c>
      <c r="M1740">
        <v>18</v>
      </c>
      <c r="N1740" t="s">
        <v>19</v>
      </c>
    </row>
    <row r="1741" spans="1:14" x14ac:dyDescent="0.35">
      <c r="A1741" t="s">
        <v>802</v>
      </c>
      <c r="B1741" t="s">
        <v>20</v>
      </c>
      <c r="C1741" t="s">
        <v>16</v>
      </c>
      <c r="D1741">
        <v>0</v>
      </c>
      <c r="E1741">
        <v>19</v>
      </c>
      <c r="F1741" t="s">
        <v>575</v>
      </c>
      <c r="G1741">
        <v>18</v>
      </c>
      <c r="H1741" t="s">
        <v>18</v>
      </c>
      <c r="I1741">
        <v>4</v>
      </c>
      <c r="J1741">
        <v>29.5</v>
      </c>
      <c r="K1741">
        <v>3</v>
      </c>
      <c r="L1741">
        <v>5</v>
      </c>
      <c r="M1741">
        <v>23</v>
      </c>
      <c r="N1741" t="s">
        <v>25</v>
      </c>
    </row>
    <row r="1742" spans="1:14" x14ac:dyDescent="0.35">
      <c r="A1742" t="s">
        <v>802</v>
      </c>
      <c r="B1742" t="s">
        <v>15</v>
      </c>
      <c r="C1742" t="s">
        <v>29</v>
      </c>
      <c r="D1742">
        <v>0</v>
      </c>
      <c r="E1742">
        <v>18</v>
      </c>
      <c r="F1742" t="s">
        <v>26</v>
      </c>
      <c r="G1742">
        <v>18</v>
      </c>
      <c r="H1742" t="s">
        <v>18</v>
      </c>
      <c r="I1742">
        <v>11</v>
      </c>
      <c r="J1742">
        <v>22.4</v>
      </c>
      <c r="K1742">
        <v>0</v>
      </c>
      <c r="L1742">
        <v>0</v>
      </c>
      <c r="M1742">
        <v>18</v>
      </c>
      <c r="N1742" t="s">
        <v>403</v>
      </c>
    </row>
    <row r="1743" spans="1:14" x14ac:dyDescent="0.35">
      <c r="A1743" t="s">
        <v>802</v>
      </c>
      <c r="B1743" t="s">
        <v>404</v>
      </c>
      <c r="C1743" t="s">
        <v>16</v>
      </c>
      <c r="D1743">
        <v>1</v>
      </c>
      <c r="E1743">
        <v>18</v>
      </c>
      <c r="F1743" t="s">
        <v>256</v>
      </c>
      <c r="G1743">
        <v>18</v>
      </c>
      <c r="H1743" t="s">
        <v>18</v>
      </c>
      <c r="I1743">
        <v>4</v>
      </c>
      <c r="J1743">
        <v>32.299999999999997</v>
      </c>
      <c r="K1743">
        <v>2</v>
      </c>
      <c r="L1743">
        <v>2</v>
      </c>
      <c r="M1743">
        <v>20</v>
      </c>
      <c r="N1743" t="s">
        <v>259</v>
      </c>
    </row>
    <row r="1744" spans="1:14" x14ac:dyDescent="0.35">
      <c r="A1744" t="s">
        <v>802</v>
      </c>
      <c r="B1744" t="s">
        <v>263</v>
      </c>
      <c r="C1744" t="s">
        <v>16</v>
      </c>
      <c r="D1744">
        <v>1</v>
      </c>
      <c r="E1744">
        <v>18</v>
      </c>
      <c r="F1744" t="s">
        <v>499</v>
      </c>
      <c r="G1744">
        <v>18</v>
      </c>
      <c r="H1744" t="s">
        <v>18</v>
      </c>
      <c r="I1744">
        <v>4</v>
      </c>
      <c r="J1744">
        <v>30.7</v>
      </c>
      <c r="K1744">
        <v>3</v>
      </c>
      <c r="L1744">
        <v>3</v>
      </c>
      <c r="M1744">
        <v>21</v>
      </c>
      <c r="N1744" t="s">
        <v>44</v>
      </c>
    </row>
    <row r="1745" spans="1:14" x14ac:dyDescent="0.35">
      <c r="A1745" t="s">
        <v>802</v>
      </c>
      <c r="B1745" t="s">
        <v>260</v>
      </c>
      <c r="C1745" t="s">
        <v>16</v>
      </c>
      <c r="D1745">
        <v>1</v>
      </c>
      <c r="E1745">
        <v>17</v>
      </c>
      <c r="F1745" t="s">
        <v>701</v>
      </c>
      <c r="G1745">
        <v>18</v>
      </c>
      <c r="H1745" t="s">
        <v>18</v>
      </c>
      <c r="I1745">
        <v>3</v>
      </c>
      <c r="J1745">
        <v>29</v>
      </c>
      <c r="K1745">
        <v>0</v>
      </c>
      <c r="L1745">
        <v>0</v>
      </c>
      <c r="M1745">
        <v>18</v>
      </c>
      <c r="N1745" t="s">
        <v>32</v>
      </c>
    </row>
    <row r="1746" spans="1:14" x14ac:dyDescent="0.35">
      <c r="A1746" t="s">
        <v>802</v>
      </c>
      <c r="B1746" t="s">
        <v>406</v>
      </c>
      <c r="C1746" t="s">
        <v>16</v>
      </c>
      <c r="D1746">
        <v>0</v>
      </c>
      <c r="E1746">
        <v>20</v>
      </c>
      <c r="F1746" t="s">
        <v>36</v>
      </c>
      <c r="G1746">
        <v>18</v>
      </c>
      <c r="H1746" t="s">
        <v>18</v>
      </c>
      <c r="I1746">
        <v>4</v>
      </c>
      <c r="J1746">
        <v>28.4</v>
      </c>
      <c r="K1746">
        <v>1</v>
      </c>
      <c r="L1746">
        <v>3</v>
      </c>
      <c r="M1746">
        <v>21</v>
      </c>
      <c r="N1746" t="s">
        <v>40</v>
      </c>
    </row>
    <row r="1747" spans="1:14" x14ac:dyDescent="0.35">
      <c r="A1747" t="s">
        <v>802</v>
      </c>
      <c r="B1747" t="s">
        <v>407</v>
      </c>
      <c r="C1747" t="s">
        <v>29</v>
      </c>
      <c r="D1747">
        <v>0</v>
      </c>
      <c r="E1747">
        <v>18</v>
      </c>
      <c r="F1747" t="s">
        <v>39</v>
      </c>
      <c r="G1747">
        <v>18</v>
      </c>
      <c r="H1747" t="s">
        <v>18</v>
      </c>
      <c r="I1747">
        <v>17</v>
      </c>
      <c r="J1747">
        <v>18</v>
      </c>
      <c r="K1747">
        <v>1</v>
      </c>
      <c r="L1747">
        <v>2</v>
      </c>
      <c r="M1747">
        <v>20</v>
      </c>
      <c r="N1747" t="s">
        <v>42</v>
      </c>
    </row>
    <row r="1748" spans="1:14" x14ac:dyDescent="0.35">
      <c r="A1748" t="s">
        <v>802</v>
      </c>
      <c r="B1748" t="s">
        <v>50</v>
      </c>
      <c r="C1748" t="s">
        <v>16</v>
      </c>
      <c r="D1748">
        <v>2</v>
      </c>
      <c r="E1748">
        <v>16</v>
      </c>
      <c r="F1748" t="s">
        <v>403</v>
      </c>
      <c r="G1748">
        <v>18</v>
      </c>
      <c r="H1748" t="s">
        <v>18</v>
      </c>
      <c r="I1748">
        <v>5</v>
      </c>
      <c r="J1748">
        <v>28</v>
      </c>
      <c r="K1748">
        <v>1</v>
      </c>
      <c r="L1748">
        <v>2</v>
      </c>
      <c r="M1748">
        <v>20</v>
      </c>
      <c r="N1748" t="s">
        <v>267</v>
      </c>
    </row>
    <row r="1749" spans="1:14" x14ac:dyDescent="0.35">
      <c r="A1749" t="s">
        <v>802</v>
      </c>
      <c r="B1749" t="s">
        <v>22</v>
      </c>
      <c r="C1749" t="s">
        <v>16</v>
      </c>
      <c r="D1749">
        <v>0</v>
      </c>
      <c r="E1749">
        <v>18</v>
      </c>
      <c r="F1749" t="s">
        <v>681</v>
      </c>
      <c r="G1749">
        <v>18</v>
      </c>
      <c r="H1749" t="s">
        <v>18</v>
      </c>
      <c r="I1749">
        <v>10</v>
      </c>
      <c r="J1749">
        <v>29.2</v>
      </c>
      <c r="K1749">
        <v>3</v>
      </c>
      <c r="L1749">
        <v>3</v>
      </c>
      <c r="M1749">
        <v>21</v>
      </c>
      <c r="N1749" t="s">
        <v>43</v>
      </c>
    </row>
    <row r="1750" spans="1:14" x14ac:dyDescent="0.35">
      <c r="A1750" t="s">
        <v>802</v>
      </c>
      <c r="B1750" t="s">
        <v>259</v>
      </c>
      <c r="C1750" t="s">
        <v>16</v>
      </c>
      <c r="D1750">
        <v>0</v>
      </c>
      <c r="E1750">
        <v>18</v>
      </c>
      <c r="F1750" t="s">
        <v>498</v>
      </c>
      <c r="G1750">
        <v>18</v>
      </c>
      <c r="H1750" t="s">
        <v>18</v>
      </c>
      <c r="I1750">
        <v>11</v>
      </c>
      <c r="J1750">
        <v>27.8</v>
      </c>
      <c r="K1750">
        <v>0</v>
      </c>
      <c r="L1750">
        <v>0</v>
      </c>
      <c r="M1750">
        <v>18</v>
      </c>
      <c r="N1750" t="s">
        <v>46</v>
      </c>
    </row>
    <row r="1751" spans="1:14" x14ac:dyDescent="0.35">
      <c r="A1751" t="s">
        <v>802</v>
      </c>
      <c r="B1751" t="s">
        <v>19</v>
      </c>
      <c r="C1751" t="s">
        <v>29</v>
      </c>
      <c r="D1751">
        <v>0</v>
      </c>
      <c r="E1751">
        <v>19</v>
      </c>
      <c r="F1751" t="s">
        <v>47</v>
      </c>
      <c r="G1751">
        <v>18</v>
      </c>
      <c r="H1751" t="s">
        <v>18</v>
      </c>
      <c r="I1751">
        <v>26</v>
      </c>
      <c r="J1751">
        <v>22</v>
      </c>
      <c r="K1751">
        <v>4</v>
      </c>
      <c r="L1751">
        <v>4</v>
      </c>
      <c r="M1751">
        <v>22</v>
      </c>
      <c r="N1751" t="s">
        <v>63</v>
      </c>
    </row>
    <row r="1752" spans="1:14" x14ac:dyDescent="0.35">
      <c r="A1752" t="s">
        <v>802</v>
      </c>
      <c r="B1752" t="s">
        <v>45</v>
      </c>
      <c r="C1752" t="s">
        <v>16</v>
      </c>
      <c r="D1752">
        <v>0</v>
      </c>
      <c r="E1752">
        <v>19</v>
      </c>
      <c r="F1752" t="s">
        <v>269</v>
      </c>
      <c r="G1752">
        <v>18</v>
      </c>
      <c r="H1752" t="s">
        <v>18</v>
      </c>
      <c r="I1752">
        <v>5</v>
      </c>
      <c r="J1752">
        <v>32.5</v>
      </c>
      <c r="K1752">
        <v>0</v>
      </c>
      <c r="L1752">
        <v>0</v>
      </c>
      <c r="M1752">
        <v>18</v>
      </c>
      <c r="N1752" t="s">
        <v>70</v>
      </c>
    </row>
    <row r="1753" spans="1:14" x14ac:dyDescent="0.35">
      <c r="A1753" t="s">
        <v>802</v>
      </c>
      <c r="B1753" t="s">
        <v>48</v>
      </c>
      <c r="C1753" t="s">
        <v>16</v>
      </c>
      <c r="D1753">
        <v>1</v>
      </c>
      <c r="E1753">
        <v>17</v>
      </c>
      <c r="F1753" t="s">
        <v>265</v>
      </c>
      <c r="G1753">
        <v>18</v>
      </c>
      <c r="H1753" t="s">
        <v>18</v>
      </c>
      <c r="I1753">
        <v>2</v>
      </c>
      <c r="J1753">
        <v>29.2</v>
      </c>
      <c r="K1753">
        <v>1</v>
      </c>
      <c r="L1753">
        <v>1</v>
      </c>
      <c r="M1753">
        <v>19</v>
      </c>
      <c r="N1753" t="s">
        <v>70</v>
      </c>
    </row>
    <row r="1754" spans="1:14" x14ac:dyDescent="0.35">
      <c r="A1754" t="s">
        <v>802</v>
      </c>
      <c r="B1754" t="s">
        <v>411</v>
      </c>
      <c r="C1754" t="s">
        <v>16</v>
      </c>
      <c r="D1754">
        <v>0</v>
      </c>
      <c r="E1754">
        <v>18</v>
      </c>
      <c r="F1754" t="s">
        <v>55</v>
      </c>
      <c r="G1754">
        <v>18</v>
      </c>
      <c r="H1754" t="s">
        <v>18</v>
      </c>
      <c r="I1754">
        <v>4</v>
      </c>
      <c r="J1754">
        <v>27.3</v>
      </c>
      <c r="K1754">
        <v>1</v>
      </c>
      <c r="L1754">
        <v>5</v>
      </c>
      <c r="M1754">
        <v>23</v>
      </c>
      <c r="N1754" t="s">
        <v>412</v>
      </c>
    </row>
    <row r="1755" spans="1:14" x14ac:dyDescent="0.35">
      <c r="A1755" t="s">
        <v>802</v>
      </c>
      <c r="B1755" t="s">
        <v>409</v>
      </c>
      <c r="C1755" t="s">
        <v>29</v>
      </c>
      <c r="D1755">
        <v>1</v>
      </c>
      <c r="E1755">
        <v>19</v>
      </c>
      <c r="F1755" t="s">
        <v>273</v>
      </c>
      <c r="G1755">
        <v>18</v>
      </c>
      <c r="H1755" t="s">
        <v>18</v>
      </c>
      <c r="I1755">
        <v>12</v>
      </c>
      <c r="J1755">
        <v>17.600000000000001</v>
      </c>
      <c r="K1755">
        <v>1</v>
      </c>
      <c r="L1755">
        <v>3</v>
      </c>
      <c r="M1755">
        <v>21</v>
      </c>
      <c r="N1755" t="s">
        <v>415</v>
      </c>
    </row>
    <row r="1756" spans="1:14" x14ac:dyDescent="0.35">
      <c r="A1756" t="s">
        <v>802</v>
      </c>
      <c r="B1756" t="s">
        <v>273</v>
      </c>
      <c r="C1756" t="s">
        <v>16</v>
      </c>
      <c r="D1756">
        <v>0</v>
      </c>
      <c r="E1756">
        <v>19</v>
      </c>
      <c r="F1756" t="s">
        <v>274</v>
      </c>
      <c r="G1756">
        <v>18</v>
      </c>
      <c r="H1756" t="s">
        <v>18</v>
      </c>
      <c r="I1756">
        <v>4</v>
      </c>
      <c r="J1756">
        <v>31.8</v>
      </c>
      <c r="K1756">
        <v>3</v>
      </c>
      <c r="L1756">
        <v>3</v>
      </c>
      <c r="M1756">
        <v>21</v>
      </c>
      <c r="N1756" t="s">
        <v>275</v>
      </c>
    </row>
    <row r="1757" spans="1:14" x14ac:dyDescent="0.35">
      <c r="A1757" t="s">
        <v>802</v>
      </c>
      <c r="B1757" t="s">
        <v>59</v>
      </c>
      <c r="C1757" t="s">
        <v>16</v>
      </c>
      <c r="D1757">
        <v>1</v>
      </c>
      <c r="E1757">
        <v>17</v>
      </c>
      <c r="F1757" t="s">
        <v>504</v>
      </c>
      <c r="G1757">
        <v>18</v>
      </c>
      <c r="H1757" t="s">
        <v>18</v>
      </c>
      <c r="I1757">
        <v>2</v>
      </c>
      <c r="J1757">
        <v>31.4</v>
      </c>
      <c r="K1757">
        <v>4</v>
      </c>
      <c r="L1757">
        <v>3</v>
      </c>
      <c r="M1757">
        <v>21</v>
      </c>
      <c r="N1757" t="s">
        <v>66</v>
      </c>
    </row>
    <row r="1758" spans="1:14" x14ac:dyDescent="0.35">
      <c r="A1758" t="s">
        <v>802</v>
      </c>
      <c r="B1758" t="s">
        <v>62</v>
      </c>
      <c r="C1758" t="s">
        <v>16</v>
      </c>
      <c r="D1758">
        <v>0</v>
      </c>
      <c r="E1758">
        <v>18</v>
      </c>
      <c r="F1758" t="s">
        <v>67</v>
      </c>
      <c r="G1758">
        <v>18</v>
      </c>
      <c r="H1758" t="s">
        <v>18</v>
      </c>
      <c r="I1758">
        <v>5</v>
      </c>
      <c r="J1758">
        <v>23.1</v>
      </c>
      <c r="K1758">
        <v>4</v>
      </c>
      <c r="L1758">
        <v>4</v>
      </c>
      <c r="M1758">
        <v>22</v>
      </c>
      <c r="N1758" t="s">
        <v>413</v>
      </c>
    </row>
    <row r="1759" spans="1:14" x14ac:dyDescent="0.35">
      <c r="A1759" t="s">
        <v>802</v>
      </c>
      <c r="B1759" t="s">
        <v>56</v>
      </c>
      <c r="C1759" t="s">
        <v>29</v>
      </c>
      <c r="D1759">
        <v>2</v>
      </c>
      <c r="E1759">
        <v>16</v>
      </c>
      <c r="F1759" t="s">
        <v>415</v>
      </c>
      <c r="G1759">
        <v>18</v>
      </c>
      <c r="H1759" t="s">
        <v>18</v>
      </c>
      <c r="I1759">
        <v>16</v>
      </c>
      <c r="J1759">
        <v>20.8</v>
      </c>
      <c r="K1759">
        <v>1</v>
      </c>
      <c r="L1759">
        <v>5</v>
      </c>
      <c r="M1759">
        <v>23</v>
      </c>
      <c r="N1759" t="s">
        <v>60</v>
      </c>
    </row>
    <row r="1760" spans="1:14" x14ac:dyDescent="0.35">
      <c r="A1760" t="s">
        <v>802</v>
      </c>
      <c r="B1760" t="s">
        <v>65</v>
      </c>
      <c r="C1760" t="s">
        <v>16</v>
      </c>
      <c r="D1760">
        <v>0</v>
      </c>
      <c r="E1760">
        <v>19</v>
      </c>
      <c r="F1760" t="s">
        <v>279</v>
      </c>
      <c r="G1760">
        <v>18</v>
      </c>
      <c r="H1760" t="s">
        <v>18</v>
      </c>
      <c r="I1760">
        <v>4</v>
      </c>
      <c r="J1760">
        <v>28.2</v>
      </c>
      <c r="K1760">
        <v>4</v>
      </c>
      <c r="L1760">
        <v>4</v>
      </c>
      <c r="M1760">
        <v>22</v>
      </c>
      <c r="N1760" t="s">
        <v>286</v>
      </c>
    </row>
    <row r="1761" spans="1:14" x14ac:dyDescent="0.35">
      <c r="A1761" t="s">
        <v>802</v>
      </c>
      <c r="B1761" t="s">
        <v>280</v>
      </c>
      <c r="C1761" t="s">
        <v>16</v>
      </c>
      <c r="D1761">
        <v>1</v>
      </c>
      <c r="E1761">
        <v>19</v>
      </c>
      <c r="F1761" t="s">
        <v>505</v>
      </c>
      <c r="G1761">
        <v>18</v>
      </c>
      <c r="H1761" t="s">
        <v>18</v>
      </c>
      <c r="I1761">
        <v>12</v>
      </c>
      <c r="J1761">
        <v>29.4</v>
      </c>
      <c r="K1761">
        <v>2</v>
      </c>
      <c r="L1761">
        <v>3</v>
      </c>
      <c r="M1761">
        <v>21</v>
      </c>
      <c r="N1761" t="s">
        <v>282</v>
      </c>
    </row>
    <row r="1762" spans="1:14" x14ac:dyDescent="0.35">
      <c r="A1762" t="s">
        <v>802</v>
      </c>
      <c r="B1762" t="s">
        <v>281</v>
      </c>
      <c r="C1762" t="s">
        <v>16</v>
      </c>
      <c r="D1762">
        <v>2</v>
      </c>
      <c r="E1762">
        <v>17</v>
      </c>
      <c r="F1762" t="s">
        <v>284</v>
      </c>
      <c r="G1762">
        <v>18</v>
      </c>
      <c r="H1762" t="s">
        <v>18</v>
      </c>
      <c r="I1762">
        <v>13</v>
      </c>
      <c r="J1762">
        <v>23.1</v>
      </c>
      <c r="K1762">
        <v>0</v>
      </c>
      <c r="L1762">
        <v>0</v>
      </c>
      <c r="M1762">
        <v>18</v>
      </c>
      <c r="N1762" t="s">
        <v>293</v>
      </c>
    </row>
    <row r="1763" spans="1:14" x14ac:dyDescent="0.35">
      <c r="A1763" t="s">
        <v>802</v>
      </c>
      <c r="B1763" t="s">
        <v>286</v>
      </c>
      <c r="C1763" t="s">
        <v>16</v>
      </c>
      <c r="D1763">
        <v>1</v>
      </c>
      <c r="E1763">
        <v>19</v>
      </c>
      <c r="F1763" t="s">
        <v>417</v>
      </c>
      <c r="G1763">
        <v>18</v>
      </c>
      <c r="H1763" t="s">
        <v>18</v>
      </c>
      <c r="I1763">
        <v>6</v>
      </c>
      <c r="J1763">
        <v>30.7</v>
      </c>
      <c r="K1763">
        <v>2</v>
      </c>
      <c r="L1763">
        <v>2</v>
      </c>
      <c r="M1763">
        <v>20</v>
      </c>
      <c r="N1763" t="s">
        <v>301</v>
      </c>
    </row>
    <row r="1764" spans="1:14" x14ac:dyDescent="0.35">
      <c r="A1764" t="s">
        <v>802</v>
      </c>
      <c r="B1764" t="s">
        <v>279</v>
      </c>
      <c r="C1764" t="s">
        <v>29</v>
      </c>
      <c r="D1764">
        <v>0</v>
      </c>
      <c r="E1764">
        <v>19</v>
      </c>
      <c r="F1764" t="s">
        <v>417</v>
      </c>
      <c r="G1764">
        <v>18</v>
      </c>
      <c r="H1764" t="s">
        <v>18</v>
      </c>
      <c r="I1764">
        <v>34</v>
      </c>
      <c r="J1764">
        <v>25</v>
      </c>
      <c r="K1764">
        <v>2</v>
      </c>
      <c r="L1764">
        <v>3</v>
      </c>
      <c r="M1764">
        <v>21</v>
      </c>
      <c r="N1764" t="s">
        <v>295</v>
      </c>
    </row>
    <row r="1765" spans="1:14" x14ac:dyDescent="0.35">
      <c r="A1765" t="s">
        <v>802</v>
      </c>
      <c r="B1765" t="s">
        <v>287</v>
      </c>
      <c r="C1765" t="s">
        <v>16</v>
      </c>
      <c r="D1765">
        <v>2</v>
      </c>
      <c r="E1765">
        <v>18</v>
      </c>
      <c r="F1765" t="s">
        <v>644</v>
      </c>
      <c r="G1765">
        <v>18</v>
      </c>
      <c r="H1765" t="s">
        <v>18</v>
      </c>
      <c r="I1765">
        <v>3</v>
      </c>
      <c r="J1765">
        <v>26.9</v>
      </c>
      <c r="K1765">
        <v>0</v>
      </c>
      <c r="L1765">
        <v>0</v>
      </c>
      <c r="M1765">
        <v>18</v>
      </c>
      <c r="N1765" t="s">
        <v>301</v>
      </c>
    </row>
    <row r="1766" spans="1:14" x14ac:dyDescent="0.35">
      <c r="A1766" t="s">
        <v>802</v>
      </c>
      <c r="B1766" t="s">
        <v>288</v>
      </c>
      <c r="C1766" t="s">
        <v>16</v>
      </c>
      <c r="D1766">
        <v>2</v>
      </c>
      <c r="E1766">
        <v>20</v>
      </c>
      <c r="F1766" t="s">
        <v>82</v>
      </c>
      <c r="G1766">
        <v>18</v>
      </c>
      <c r="H1766" t="s">
        <v>18</v>
      </c>
      <c r="I1766">
        <v>2</v>
      </c>
      <c r="J1766">
        <v>26.5</v>
      </c>
      <c r="K1766">
        <v>0</v>
      </c>
      <c r="L1766">
        <v>0</v>
      </c>
      <c r="M1766">
        <v>18</v>
      </c>
      <c r="N1766" t="s">
        <v>81</v>
      </c>
    </row>
    <row r="1767" spans="1:14" x14ac:dyDescent="0.35">
      <c r="A1767" t="s">
        <v>802</v>
      </c>
      <c r="B1767" t="s">
        <v>282</v>
      </c>
      <c r="C1767" t="s">
        <v>16</v>
      </c>
      <c r="D1767">
        <v>4</v>
      </c>
      <c r="E1767">
        <v>14</v>
      </c>
      <c r="F1767" t="s">
        <v>83</v>
      </c>
      <c r="G1767">
        <v>18</v>
      </c>
      <c r="H1767" t="s">
        <v>18</v>
      </c>
      <c r="I1767">
        <v>2</v>
      </c>
      <c r="J1767">
        <v>33.1</v>
      </c>
      <c r="K1767">
        <v>2</v>
      </c>
      <c r="L1767">
        <v>4</v>
      </c>
      <c r="M1767">
        <v>22</v>
      </c>
      <c r="N1767" t="s">
        <v>92</v>
      </c>
    </row>
    <row r="1768" spans="1:14" x14ac:dyDescent="0.35">
      <c r="A1768" t="s">
        <v>802</v>
      </c>
      <c r="B1768" t="s">
        <v>85</v>
      </c>
      <c r="C1768" t="s">
        <v>16</v>
      </c>
      <c r="D1768">
        <v>0</v>
      </c>
      <c r="E1768">
        <v>23</v>
      </c>
      <c r="F1768" t="s">
        <v>73</v>
      </c>
      <c r="G1768">
        <v>18</v>
      </c>
      <c r="H1768" t="s">
        <v>18</v>
      </c>
      <c r="I1768">
        <v>3</v>
      </c>
      <c r="J1768">
        <v>28.3</v>
      </c>
      <c r="K1768">
        <v>2</v>
      </c>
      <c r="L1768">
        <v>3</v>
      </c>
      <c r="M1768">
        <v>21</v>
      </c>
      <c r="N1768" t="s">
        <v>101</v>
      </c>
    </row>
    <row r="1769" spans="1:14" x14ac:dyDescent="0.35">
      <c r="A1769" t="s">
        <v>802</v>
      </c>
      <c r="B1769" t="s">
        <v>287</v>
      </c>
      <c r="C1769" t="s">
        <v>29</v>
      </c>
      <c r="D1769">
        <v>1</v>
      </c>
      <c r="E1769">
        <v>18</v>
      </c>
      <c r="F1769" t="s">
        <v>73</v>
      </c>
      <c r="G1769">
        <v>18</v>
      </c>
      <c r="H1769" t="s">
        <v>18</v>
      </c>
      <c r="I1769">
        <v>13</v>
      </c>
      <c r="J1769">
        <v>21.4</v>
      </c>
      <c r="K1769">
        <v>3</v>
      </c>
      <c r="L1769">
        <v>4</v>
      </c>
      <c r="M1769">
        <v>22</v>
      </c>
      <c r="N1769" t="s">
        <v>418</v>
      </c>
    </row>
    <row r="1770" spans="1:14" x14ac:dyDescent="0.35">
      <c r="A1770" t="s">
        <v>802</v>
      </c>
      <c r="B1770" t="s">
        <v>87</v>
      </c>
      <c r="C1770" t="s">
        <v>16</v>
      </c>
      <c r="D1770">
        <v>5</v>
      </c>
      <c r="E1770">
        <v>15</v>
      </c>
      <c r="F1770" t="s">
        <v>88</v>
      </c>
      <c r="G1770">
        <v>18</v>
      </c>
      <c r="H1770" t="s">
        <v>18</v>
      </c>
      <c r="I1770">
        <v>2</v>
      </c>
      <c r="J1770">
        <v>26.5</v>
      </c>
      <c r="K1770">
        <v>0</v>
      </c>
      <c r="L1770">
        <v>0</v>
      </c>
      <c r="M1770">
        <v>18</v>
      </c>
      <c r="N1770" t="s">
        <v>92</v>
      </c>
    </row>
    <row r="1771" spans="1:14" x14ac:dyDescent="0.35">
      <c r="A1771" t="s">
        <v>802</v>
      </c>
      <c r="B1771" t="s">
        <v>93</v>
      </c>
      <c r="C1771" t="s">
        <v>16</v>
      </c>
      <c r="D1771">
        <v>2</v>
      </c>
      <c r="E1771">
        <v>16</v>
      </c>
      <c r="F1771" t="s">
        <v>91</v>
      </c>
      <c r="G1771">
        <v>18</v>
      </c>
      <c r="H1771" t="s">
        <v>18</v>
      </c>
      <c r="I1771">
        <v>2</v>
      </c>
      <c r="J1771">
        <v>24.2</v>
      </c>
      <c r="K1771">
        <v>2</v>
      </c>
      <c r="L1771">
        <v>3</v>
      </c>
      <c r="M1771">
        <v>21</v>
      </c>
      <c r="N1771" t="s">
        <v>89</v>
      </c>
    </row>
    <row r="1772" spans="1:14" x14ac:dyDescent="0.35">
      <c r="A1772" t="s">
        <v>802</v>
      </c>
      <c r="B1772" t="s">
        <v>76</v>
      </c>
      <c r="C1772" t="s">
        <v>16</v>
      </c>
      <c r="D1772">
        <v>0</v>
      </c>
      <c r="E1772">
        <v>19</v>
      </c>
      <c r="F1772" t="s">
        <v>94</v>
      </c>
      <c r="G1772">
        <v>18</v>
      </c>
      <c r="H1772" t="s">
        <v>18</v>
      </c>
      <c r="I1772">
        <v>2</v>
      </c>
      <c r="J1772">
        <v>29.7</v>
      </c>
      <c r="K1772">
        <v>0</v>
      </c>
      <c r="L1772">
        <v>0</v>
      </c>
      <c r="M1772">
        <v>18</v>
      </c>
      <c r="N1772" t="s">
        <v>424</v>
      </c>
    </row>
    <row r="1773" spans="1:14" x14ac:dyDescent="0.35">
      <c r="A1773" t="s">
        <v>802</v>
      </c>
      <c r="B1773" t="s">
        <v>87</v>
      </c>
      <c r="C1773" t="s">
        <v>29</v>
      </c>
      <c r="D1773">
        <v>1</v>
      </c>
      <c r="E1773">
        <v>17</v>
      </c>
      <c r="F1773" t="s">
        <v>74</v>
      </c>
      <c r="G1773">
        <v>18</v>
      </c>
      <c r="H1773" t="s">
        <v>18</v>
      </c>
      <c r="I1773">
        <v>11</v>
      </c>
      <c r="J1773">
        <v>27.4</v>
      </c>
      <c r="K1773">
        <v>0</v>
      </c>
      <c r="L1773">
        <v>0</v>
      </c>
      <c r="M1773">
        <v>18</v>
      </c>
      <c r="N1773" t="s">
        <v>104</v>
      </c>
    </row>
    <row r="1774" spans="1:14" x14ac:dyDescent="0.35">
      <c r="A1774" t="s">
        <v>802</v>
      </c>
      <c r="B1774" t="s">
        <v>96</v>
      </c>
      <c r="C1774" t="s">
        <v>16</v>
      </c>
      <c r="D1774">
        <v>1</v>
      </c>
      <c r="E1774">
        <v>18</v>
      </c>
      <c r="F1774" t="s">
        <v>580</v>
      </c>
      <c r="G1774">
        <v>18</v>
      </c>
      <c r="H1774" t="s">
        <v>18</v>
      </c>
      <c r="I1774">
        <v>7</v>
      </c>
      <c r="J1774">
        <v>22.8</v>
      </c>
      <c r="K1774">
        <v>2</v>
      </c>
      <c r="L1774">
        <v>4</v>
      </c>
      <c r="M1774">
        <v>22</v>
      </c>
      <c r="N1774" t="s">
        <v>104</v>
      </c>
    </row>
    <row r="1775" spans="1:14" x14ac:dyDescent="0.35">
      <c r="A1775" t="s">
        <v>802</v>
      </c>
      <c r="B1775" t="s">
        <v>509</v>
      </c>
      <c r="C1775" t="s">
        <v>16</v>
      </c>
      <c r="D1775">
        <v>1</v>
      </c>
      <c r="E1775">
        <v>19</v>
      </c>
      <c r="F1775" t="s">
        <v>299</v>
      </c>
      <c r="G1775">
        <v>18</v>
      </c>
      <c r="H1775" t="s">
        <v>18</v>
      </c>
      <c r="I1775">
        <v>9</v>
      </c>
      <c r="J1775">
        <v>27.7</v>
      </c>
      <c r="K1775">
        <v>4</v>
      </c>
      <c r="L1775">
        <v>3</v>
      </c>
      <c r="M1775">
        <v>21</v>
      </c>
      <c r="N1775" t="s">
        <v>803</v>
      </c>
    </row>
    <row r="1776" spans="1:14" x14ac:dyDescent="0.35">
      <c r="A1776" t="s">
        <v>802</v>
      </c>
      <c r="B1776" t="s">
        <v>101</v>
      </c>
      <c r="C1776" t="s">
        <v>16</v>
      </c>
      <c r="D1776">
        <v>2</v>
      </c>
      <c r="E1776">
        <v>16</v>
      </c>
      <c r="F1776" t="s">
        <v>579</v>
      </c>
      <c r="G1776">
        <v>18</v>
      </c>
      <c r="H1776" t="s">
        <v>18</v>
      </c>
      <c r="I1776">
        <v>7</v>
      </c>
      <c r="J1776">
        <v>27.8</v>
      </c>
      <c r="K1776">
        <v>1</v>
      </c>
      <c r="L1776">
        <v>4</v>
      </c>
      <c r="M1776">
        <v>22</v>
      </c>
      <c r="N1776" t="s">
        <v>111</v>
      </c>
    </row>
    <row r="1777" spans="1:14" x14ac:dyDescent="0.35">
      <c r="A1777" t="s">
        <v>802</v>
      </c>
      <c r="B1777" t="s">
        <v>97</v>
      </c>
      <c r="C1777" t="s">
        <v>16</v>
      </c>
      <c r="D1777">
        <v>0</v>
      </c>
      <c r="E1777">
        <v>20</v>
      </c>
      <c r="F1777" t="s">
        <v>315</v>
      </c>
      <c r="G1777">
        <v>18</v>
      </c>
      <c r="H1777" t="s">
        <v>18</v>
      </c>
      <c r="I1777">
        <v>19</v>
      </c>
      <c r="J1777">
        <v>29.1</v>
      </c>
      <c r="K1777">
        <v>3</v>
      </c>
      <c r="L1777">
        <v>2</v>
      </c>
      <c r="M1777">
        <v>20</v>
      </c>
      <c r="N1777" t="s">
        <v>683</v>
      </c>
    </row>
    <row r="1778" spans="1:14" x14ac:dyDescent="0.35">
      <c r="A1778" t="s">
        <v>802</v>
      </c>
      <c r="B1778" t="s">
        <v>580</v>
      </c>
      <c r="C1778" t="s">
        <v>29</v>
      </c>
      <c r="D1778">
        <v>0</v>
      </c>
      <c r="E1778">
        <v>18</v>
      </c>
      <c r="F1778" t="s">
        <v>768</v>
      </c>
      <c r="G1778">
        <v>18</v>
      </c>
      <c r="H1778" t="s">
        <v>18</v>
      </c>
      <c r="I1778">
        <v>50</v>
      </c>
      <c r="J1778">
        <v>17.7</v>
      </c>
      <c r="K1778">
        <v>4</v>
      </c>
      <c r="L1778">
        <v>0</v>
      </c>
      <c r="M1778">
        <v>18</v>
      </c>
      <c r="N1778" t="s">
        <v>114</v>
      </c>
    </row>
    <row r="1779" spans="1:14" x14ac:dyDescent="0.35">
      <c r="A1779" t="s">
        <v>802</v>
      </c>
      <c r="B1779" t="s">
        <v>721</v>
      </c>
      <c r="C1779" t="s">
        <v>16</v>
      </c>
      <c r="D1779">
        <v>2</v>
      </c>
      <c r="E1779">
        <v>16</v>
      </c>
      <c r="F1779" t="s">
        <v>109</v>
      </c>
      <c r="G1779">
        <v>18</v>
      </c>
      <c r="H1779" t="s">
        <v>18</v>
      </c>
      <c r="I1779">
        <v>22</v>
      </c>
      <c r="J1779">
        <v>28.7</v>
      </c>
      <c r="K1779">
        <v>4</v>
      </c>
      <c r="L1779">
        <v>0</v>
      </c>
      <c r="M1779">
        <v>18</v>
      </c>
      <c r="N1779" t="s">
        <v>519</v>
      </c>
    </row>
    <row r="1780" spans="1:14" x14ac:dyDescent="0.35">
      <c r="A1780" t="s">
        <v>802</v>
      </c>
      <c r="B1780" t="s">
        <v>622</v>
      </c>
      <c r="C1780" t="s">
        <v>16</v>
      </c>
      <c r="D1780">
        <v>0</v>
      </c>
      <c r="E1780">
        <v>18</v>
      </c>
      <c r="F1780" t="s">
        <v>110</v>
      </c>
      <c r="G1780">
        <v>18</v>
      </c>
      <c r="H1780" t="s">
        <v>18</v>
      </c>
      <c r="I1780">
        <v>20</v>
      </c>
      <c r="J1780">
        <v>26.7</v>
      </c>
      <c r="K1780">
        <v>3</v>
      </c>
      <c r="L1780">
        <v>3</v>
      </c>
      <c r="M1780">
        <v>21</v>
      </c>
      <c r="N1780" t="s">
        <v>520</v>
      </c>
    </row>
    <row r="1781" spans="1:14" x14ac:dyDescent="0.35">
      <c r="A1781" t="s">
        <v>802</v>
      </c>
      <c r="B1781" t="s">
        <v>117</v>
      </c>
      <c r="C1781" t="s">
        <v>16</v>
      </c>
      <c r="D1781">
        <v>0</v>
      </c>
      <c r="E1781">
        <v>18</v>
      </c>
      <c r="F1781" t="s">
        <v>705</v>
      </c>
      <c r="G1781">
        <v>18</v>
      </c>
      <c r="H1781" t="s">
        <v>18</v>
      </c>
      <c r="I1781">
        <v>18</v>
      </c>
      <c r="J1781">
        <v>29.3</v>
      </c>
      <c r="K1781">
        <v>0</v>
      </c>
      <c r="L1781">
        <v>0</v>
      </c>
      <c r="M1781">
        <v>18</v>
      </c>
      <c r="N1781" t="s">
        <v>434</v>
      </c>
    </row>
    <row r="1782" spans="1:14" x14ac:dyDescent="0.35">
      <c r="A1782" t="s">
        <v>802</v>
      </c>
      <c r="B1782" t="s">
        <v>620</v>
      </c>
      <c r="C1782" t="s">
        <v>29</v>
      </c>
      <c r="D1782">
        <v>0</v>
      </c>
      <c r="E1782">
        <v>18</v>
      </c>
      <c r="F1782" t="s">
        <v>316</v>
      </c>
      <c r="G1782">
        <v>18</v>
      </c>
      <c r="H1782" t="s">
        <v>18</v>
      </c>
      <c r="I1782">
        <v>70</v>
      </c>
      <c r="J1782">
        <v>18.600000000000001</v>
      </c>
      <c r="K1782">
        <v>0</v>
      </c>
      <c r="L1782">
        <v>0</v>
      </c>
      <c r="M1782">
        <v>18</v>
      </c>
      <c r="N1782" t="s">
        <v>585</v>
      </c>
    </row>
    <row r="1783" spans="1:14" x14ac:dyDescent="0.35">
      <c r="A1783" t="s">
        <v>802</v>
      </c>
      <c r="B1783" t="s">
        <v>432</v>
      </c>
      <c r="C1783" t="s">
        <v>16</v>
      </c>
      <c r="D1783">
        <v>0</v>
      </c>
      <c r="E1783">
        <v>18</v>
      </c>
      <c r="F1783" t="s">
        <v>431</v>
      </c>
      <c r="G1783">
        <v>18</v>
      </c>
      <c r="H1783" t="s">
        <v>18</v>
      </c>
      <c r="I1783">
        <v>24</v>
      </c>
      <c r="J1783">
        <v>29.5</v>
      </c>
      <c r="K1783">
        <v>4</v>
      </c>
      <c r="L1783">
        <v>1</v>
      </c>
      <c r="M1783">
        <v>19</v>
      </c>
      <c r="N1783" t="s">
        <v>324</v>
      </c>
    </row>
    <row r="1784" spans="1:14" x14ac:dyDescent="0.35">
      <c r="A1784" t="s">
        <v>802</v>
      </c>
      <c r="B1784" t="s">
        <v>586</v>
      </c>
      <c r="C1784" t="s">
        <v>16</v>
      </c>
      <c r="D1784">
        <v>0</v>
      </c>
      <c r="E1784">
        <v>21</v>
      </c>
      <c r="F1784" t="s">
        <v>124</v>
      </c>
      <c r="G1784">
        <v>18</v>
      </c>
      <c r="H1784" t="s">
        <v>18</v>
      </c>
      <c r="I1784">
        <v>16</v>
      </c>
      <c r="J1784">
        <v>30.1</v>
      </c>
      <c r="K1784">
        <v>4</v>
      </c>
      <c r="L1784">
        <v>4</v>
      </c>
      <c r="M1784">
        <v>22</v>
      </c>
      <c r="N1784" t="s">
        <v>149</v>
      </c>
    </row>
    <row r="1785" spans="1:14" x14ac:dyDescent="0.35">
      <c r="A1785" t="s">
        <v>802</v>
      </c>
      <c r="B1785" t="s">
        <v>137</v>
      </c>
      <c r="C1785" t="s">
        <v>16</v>
      </c>
      <c r="D1785">
        <v>3</v>
      </c>
      <c r="E1785">
        <v>19</v>
      </c>
      <c r="F1785" t="s">
        <v>320</v>
      </c>
      <c r="G1785">
        <v>18</v>
      </c>
      <c r="H1785" t="s">
        <v>18</v>
      </c>
      <c r="I1785">
        <v>5</v>
      </c>
      <c r="J1785">
        <v>26.5</v>
      </c>
      <c r="K1785">
        <v>3</v>
      </c>
      <c r="L1785">
        <v>4</v>
      </c>
      <c r="M1785">
        <v>22</v>
      </c>
      <c r="N1785" t="s">
        <v>327</v>
      </c>
    </row>
    <row r="1786" spans="1:14" x14ac:dyDescent="0.35">
      <c r="A1786" t="s">
        <v>802</v>
      </c>
      <c r="B1786" t="s">
        <v>129</v>
      </c>
      <c r="C1786" t="s">
        <v>16</v>
      </c>
      <c r="D1786">
        <v>4</v>
      </c>
      <c r="E1786">
        <v>16</v>
      </c>
      <c r="F1786" t="s">
        <v>134</v>
      </c>
      <c r="G1786">
        <v>18</v>
      </c>
      <c r="H1786" t="s">
        <v>18</v>
      </c>
      <c r="I1786">
        <v>3</v>
      </c>
      <c r="J1786">
        <v>23.8</v>
      </c>
      <c r="K1786">
        <v>3</v>
      </c>
      <c r="L1786">
        <v>4</v>
      </c>
      <c r="M1786">
        <v>22</v>
      </c>
      <c r="N1786" t="s">
        <v>151</v>
      </c>
    </row>
    <row r="1787" spans="1:14" x14ac:dyDescent="0.35">
      <c r="A1787" t="s">
        <v>802</v>
      </c>
      <c r="B1787" t="s">
        <v>770</v>
      </c>
      <c r="C1787" t="s">
        <v>29</v>
      </c>
      <c r="D1787">
        <v>0</v>
      </c>
      <c r="E1787">
        <v>18</v>
      </c>
      <c r="F1787" t="s">
        <v>322</v>
      </c>
      <c r="G1787">
        <v>18</v>
      </c>
      <c r="H1787" t="s">
        <v>18</v>
      </c>
      <c r="I1787">
        <v>32</v>
      </c>
      <c r="J1787">
        <v>19.600000000000001</v>
      </c>
      <c r="K1787">
        <v>3</v>
      </c>
      <c r="L1787">
        <v>6</v>
      </c>
      <c r="M1787">
        <v>24</v>
      </c>
      <c r="N1787" t="s">
        <v>149</v>
      </c>
    </row>
    <row r="1788" spans="1:14" x14ac:dyDescent="0.35">
      <c r="A1788" t="s">
        <v>802</v>
      </c>
      <c r="B1788" t="s">
        <v>322</v>
      </c>
      <c r="C1788" t="s">
        <v>16</v>
      </c>
      <c r="D1788">
        <v>2</v>
      </c>
      <c r="E1788">
        <v>19</v>
      </c>
      <c r="F1788" t="s">
        <v>138</v>
      </c>
      <c r="G1788">
        <v>18</v>
      </c>
      <c r="H1788" t="s">
        <v>18</v>
      </c>
      <c r="I1788">
        <v>4</v>
      </c>
      <c r="J1788">
        <v>29.4</v>
      </c>
      <c r="K1788">
        <v>3</v>
      </c>
      <c r="L1788">
        <v>4</v>
      </c>
      <c r="M1788">
        <v>22</v>
      </c>
      <c r="N1788" t="s">
        <v>152</v>
      </c>
    </row>
    <row r="1789" spans="1:14" x14ac:dyDescent="0.35">
      <c r="A1789" t="s">
        <v>802</v>
      </c>
      <c r="B1789" t="s">
        <v>139</v>
      </c>
      <c r="C1789" t="s">
        <v>16</v>
      </c>
      <c r="D1789">
        <v>3</v>
      </c>
      <c r="E1789">
        <v>15</v>
      </c>
      <c r="F1789" t="s">
        <v>439</v>
      </c>
      <c r="G1789">
        <v>18</v>
      </c>
      <c r="H1789" t="s">
        <v>18</v>
      </c>
      <c r="I1789">
        <v>3</v>
      </c>
      <c r="J1789">
        <v>30</v>
      </c>
      <c r="K1789">
        <v>4</v>
      </c>
      <c r="L1789">
        <v>2</v>
      </c>
      <c r="M1789">
        <v>20</v>
      </c>
      <c r="N1789" t="s">
        <v>440</v>
      </c>
    </row>
    <row r="1790" spans="1:14" x14ac:dyDescent="0.35">
      <c r="A1790" t="s">
        <v>802</v>
      </c>
      <c r="B1790" t="s">
        <v>122</v>
      </c>
      <c r="C1790" t="s">
        <v>16</v>
      </c>
      <c r="D1790">
        <v>0</v>
      </c>
      <c r="E1790">
        <v>18</v>
      </c>
      <c r="F1790" t="s">
        <v>522</v>
      </c>
      <c r="G1790">
        <v>18</v>
      </c>
      <c r="H1790" t="s">
        <v>18</v>
      </c>
      <c r="I1790">
        <v>4</v>
      </c>
      <c r="J1790">
        <v>29.8</v>
      </c>
      <c r="K1790">
        <v>3</v>
      </c>
      <c r="L1790">
        <v>5</v>
      </c>
      <c r="M1790">
        <v>23</v>
      </c>
      <c r="N1790" t="s">
        <v>739</v>
      </c>
    </row>
    <row r="1791" spans="1:14" x14ac:dyDescent="0.35">
      <c r="A1791" t="s">
        <v>802</v>
      </c>
      <c r="B1791" t="s">
        <v>525</v>
      </c>
      <c r="C1791" t="s">
        <v>29</v>
      </c>
      <c r="D1791">
        <v>0</v>
      </c>
      <c r="E1791">
        <v>18</v>
      </c>
      <c r="F1791" t="s">
        <v>147</v>
      </c>
      <c r="G1791">
        <v>18</v>
      </c>
      <c r="H1791" t="s">
        <v>18</v>
      </c>
      <c r="I1791">
        <v>13</v>
      </c>
      <c r="J1791">
        <v>23.2</v>
      </c>
      <c r="K1791">
        <v>4</v>
      </c>
      <c r="L1791">
        <v>5</v>
      </c>
      <c r="M1791">
        <v>23</v>
      </c>
      <c r="N1791" t="s">
        <v>440</v>
      </c>
    </row>
    <row r="1792" spans="1:14" x14ac:dyDescent="0.35">
      <c r="A1792" t="s">
        <v>802</v>
      </c>
      <c r="B1792" t="s">
        <v>145</v>
      </c>
      <c r="C1792" t="s">
        <v>16</v>
      </c>
      <c r="D1792">
        <v>0</v>
      </c>
      <c r="E1792">
        <v>18</v>
      </c>
      <c r="F1792" t="s">
        <v>524</v>
      </c>
      <c r="G1792">
        <v>18</v>
      </c>
      <c r="H1792" t="s">
        <v>18</v>
      </c>
      <c r="I1792">
        <v>3</v>
      </c>
      <c r="J1792">
        <v>30.4</v>
      </c>
      <c r="K1792">
        <v>0</v>
      </c>
      <c r="L1792">
        <v>0</v>
      </c>
      <c r="M1792">
        <v>18</v>
      </c>
      <c r="N1792" t="s">
        <v>159</v>
      </c>
    </row>
    <row r="1793" spans="1:14" x14ac:dyDescent="0.35">
      <c r="A1793" t="s">
        <v>802</v>
      </c>
      <c r="B1793" t="s">
        <v>319</v>
      </c>
      <c r="C1793" t="s">
        <v>16</v>
      </c>
      <c r="D1793">
        <v>0</v>
      </c>
      <c r="E1793">
        <v>19</v>
      </c>
      <c r="F1793" t="s">
        <v>438</v>
      </c>
      <c r="G1793">
        <v>18</v>
      </c>
      <c r="H1793" t="s">
        <v>18</v>
      </c>
      <c r="I1793">
        <v>11</v>
      </c>
      <c r="J1793">
        <v>29.6</v>
      </c>
      <c r="K1793">
        <v>1</v>
      </c>
      <c r="L1793">
        <v>3</v>
      </c>
      <c r="M1793">
        <v>21</v>
      </c>
      <c r="N1793" t="s">
        <v>163</v>
      </c>
    </row>
    <row r="1794" spans="1:14" x14ac:dyDescent="0.35">
      <c r="A1794" t="s">
        <v>802</v>
      </c>
      <c r="B1794" t="s">
        <v>155</v>
      </c>
      <c r="C1794" t="s">
        <v>29</v>
      </c>
      <c r="D1794">
        <v>0</v>
      </c>
      <c r="E1794">
        <v>18</v>
      </c>
      <c r="F1794" t="s">
        <v>739</v>
      </c>
      <c r="G1794">
        <v>18</v>
      </c>
      <c r="H1794" t="s">
        <v>18</v>
      </c>
      <c r="I1794">
        <v>26</v>
      </c>
      <c r="J1794">
        <v>24.2</v>
      </c>
      <c r="K1794">
        <v>2</v>
      </c>
      <c r="L1794">
        <v>5</v>
      </c>
      <c r="M1794">
        <v>23</v>
      </c>
      <c r="N1794" t="s">
        <v>448</v>
      </c>
    </row>
    <row r="1795" spans="1:14" x14ac:dyDescent="0.35">
      <c r="A1795" t="s">
        <v>802</v>
      </c>
      <c r="B1795" t="s">
        <v>623</v>
      </c>
      <c r="C1795" t="s">
        <v>16</v>
      </c>
      <c r="D1795">
        <v>1</v>
      </c>
      <c r="E1795">
        <v>17</v>
      </c>
      <c r="F1795" t="s">
        <v>156</v>
      </c>
      <c r="G1795">
        <v>18</v>
      </c>
      <c r="H1795" t="s">
        <v>18</v>
      </c>
      <c r="I1795">
        <v>19</v>
      </c>
      <c r="J1795">
        <v>32.9</v>
      </c>
      <c r="K1795">
        <v>1</v>
      </c>
      <c r="L1795">
        <v>3</v>
      </c>
      <c r="M1795">
        <v>21</v>
      </c>
      <c r="N1795" t="s">
        <v>449</v>
      </c>
    </row>
    <row r="1796" spans="1:14" x14ac:dyDescent="0.35">
      <c r="A1796" t="s">
        <v>802</v>
      </c>
      <c r="B1796" t="s">
        <v>328</v>
      </c>
      <c r="C1796" t="s">
        <v>16</v>
      </c>
      <c r="D1796">
        <v>0</v>
      </c>
      <c r="E1796">
        <v>20</v>
      </c>
      <c r="F1796" t="s">
        <v>162</v>
      </c>
      <c r="G1796">
        <v>18</v>
      </c>
      <c r="H1796" t="s">
        <v>18</v>
      </c>
      <c r="I1796">
        <v>5</v>
      </c>
      <c r="J1796">
        <v>26.4</v>
      </c>
      <c r="K1796">
        <v>4</v>
      </c>
      <c r="L1796">
        <v>2</v>
      </c>
      <c r="M1796">
        <v>20</v>
      </c>
      <c r="N1796" t="s">
        <v>449</v>
      </c>
    </row>
    <row r="1797" spans="1:14" x14ac:dyDescent="0.35">
      <c r="A1797" t="s">
        <v>802</v>
      </c>
      <c r="B1797" t="s">
        <v>329</v>
      </c>
      <c r="C1797" t="s">
        <v>16</v>
      </c>
      <c r="D1797">
        <v>2</v>
      </c>
      <c r="E1797">
        <v>17</v>
      </c>
      <c r="F1797" t="s">
        <v>163</v>
      </c>
      <c r="G1797">
        <v>18</v>
      </c>
      <c r="H1797" t="s">
        <v>18</v>
      </c>
      <c r="I1797">
        <v>2</v>
      </c>
      <c r="J1797">
        <v>34.299999999999997</v>
      </c>
      <c r="K1797">
        <v>1</v>
      </c>
      <c r="L1797">
        <v>2</v>
      </c>
      <c r="M1797">
        <v>20</v>
      </c>
      <c r="N1797" t="s">
        <v>340</v>
      </c>
    </row>
    <row r="1798" spans="1:14" x14ac:dyDescent="0.35">
      <c r="A1798" t="s">
        <v>802</v>
      </c>
      <c r="B1798" t="s">
        <v>165</v>
      </c>
      <c r="C1798" t="s">
        <v>16</v>
      </c>
      <c r="D1798">
        <v>1</v>
      </c>
      <c r="E1798">
        <v>20</v>
      </c>
      <c r="F1798" t="s">
        <v>166</v>
      </c>
      <c r="G1798">
        <v>18</v>
      </c>
      <c r="H1798" t="s">
        <v>18</v>
      </c>
      <c r="I1798">
        <v>3</v>
      </c>
      <c r="J1798">
        <v>27.2</v>
      </c>
      <c r="K1798">
        <v>3</v>
      </c>
      <c r="L1798">
        <v>5</v>
      </c>
      <c r="M1798">
        <v>23</v>
      </c>
      <c r="N1798" t="s">
        <v>530</v>
      </c>
    </row>
    <row r="1799" spans="1:14" x14ac:dyDescent="0.35">
      <c r="A1799" t="s">
        <v>802</v>
      </c>
      <c r="B1799" t="s">
        <v>156</v>
      </c>
      <c r="C1799" t="s">
        <v>29</v>
      </c>
      <c r="D1799">
        <v>0</v>
      </c>
      <c r="E1799">
        <v>18</v>
      </c>
      <c r="F1799" t="s">
        <v>166</v>
      </c>
      <c r="G1799">
        <v>18</v>
      </c>
      <c r="H1799" t="s">
        <v>18</v>
      </c>
      <c r="I1799">
        <v>13</v>
      </c>
      <c r="J1799">
        <v>22.9</v>
      </c>
      <c r="K1799">
        <v>3</v>
      </c>
      <c r="L1799">
        <v>5</v>
      </c>
      <c r="M1799">
        <v>23</v>
      </c>
      <c r="N1799" t="s">
        <v>167</v>
      </c>
    </row>
    <row r="1800" spans="1:14" x14ac:dyDescent="0.35">
      <c r="A1800" t="s">
        <v>802</v>
      </c>
      <c r="B1800" t="s">
        <v>168</v>
      </c>
      <c r="C1800" t="s">
        <v>16</v>
      </c>
      <c r="D1800">
        <v>3</v>
      </c>
      <c r="E1800">
        <v>15</v>
      </c>
      <c r="F1800" t="s">
        <v>448</v>
      </c>
      <c r="G1800">
        <v>18</v>
      </c>
      <c r="H1800" t="s">
        <v>18</v>
      </c>
      <c r="I1800">
        <v>3</v>
      </c>
      <c r="J1800">
        <v>33.1</v>
      </c>
      <c r="K1800">
        <v>3</v>
      </c>
      <c r="L1800">
        <v>3</v>
      </c>
      <c r="M1800">
        <v>21</v>
      </c>
      <c r="N1800" t="s">
        <v>337</v>
      </c>
    </row>
    <row r="1801" spans="1:14" x14ac:dyDescent="0.35">
      <c r="A1801" t="s">
        <v>802</v>
      </c>
      <c r="B1801" t="s">
        <v>590</v>
      </c>
      <c r="C1801" t="s">
        <v>16</v>
      </c>
      <c r="D1801">
        <v>0</v>
      </c>
      <c r="E1801">
        <v>19</v>
      </c>
      <c r="F1801" t="s">
        <v>158</v>
      </c>
      <c r="G1801">
        <v>18</v>
      </c>
      <c r="H1801" t="s">
        <v>18</v>
      </c>
      <c r="I1801">
        <v>4</v>
      </c>
      <c r="J1801">
        <v>28.8</v>
      </c>
      <c r="K1801">
        <v>4</v>
      </c>
      <c r="L1801">
        <v>5</v>
      </c>
      <c r="M1801">
        <v>23</v>
      </c>
      <c r="N1801" t="s">
        <v>337</v>
      </c>
    </row>
    <row r="1802" spans="1:14" x14ac:dyDescent="0.35">
      <c r="A1802" t="s">
        <v>802</v>
      </c>
      <c r="B1802" t="s">
        <v>168</v>
      </c>
      <c r="C1802" t="s">
        <v>29</v>
      </c>
      <c r="D1802">
        <v>0</v>
      </c>
      <c r="E1802">
        <v>18</v>
      </c>
      <c r="F1802" t="s">
        <v>154</v>
      </c>
      <c r="G1802">
        <v>18</v>
      </c>
      <c r="H1802" t="s">
        <v>18</v>
      </c>
      <c r="I1802">
        <v>12</v>
      </c>
      <c r="J1802">
        <v>25.9</v>
      </c>
      <c r="K1802">
        <v>2</v>
      </c>
      <c r="L1802">
        <v>4</v>
      </c>
      <c r="M1802">
        <v>22</v>
      </c>
      <c r="N1802" t="s">
        <v>174</v>
      </c>
    </row>
    <row r="1803" spans="1:14" x14ac:dyDescent="0.35">
      <c r="A1803" t="s">
        <v>802</v>
      </c>
      <c r="B1803" t="s">
        <v>175</v>
      </c>
      <c r="C1803" t="s">
        <v>16</v>
      </c>
      <c r="D1803">
        <v>1</v>
      </c>
      <c r="E1803">
        <v>23</v>
      </c>
      <c r="F1803" t="s">
        <v>176</v>
      </c>
      <c r="G1803">
        <v>18</v>
      </c>
      <c r="H1803" t="s">
        <v>18</v>
      </c>
      <c r="I1803">
        <v>4</v>
      </c>
      <c r="J1803">
        <v>29.4</v>
      </c>
      <c r="K1803">
        <v>2</v>
      </c>
      <c r="L1803">
        <v>5</v>
      </c>
      <c r="M1803">
        <v>23</v>
      </c>
      <c r="N1803" t="s">
        <v>624</v>
      </c>
    </row>
    <row r="1804" spans="1:14" x14ac:dyDescent="0.35">
      <c r="A1804" t="s">
        <v>802</v>
      </c>
      <c r="B1804" t="s">
        <v>178</v>
      </c>
      <c r="C1804" t="s">
        <v>16</v>
      </c>
      <c r="D1804">
        <v>6</v>
      </c>
      <c r="E1804">
        <v>15</v>
      </c>
      <c r="F1804" t="s">
        <v>449</v>
      </c>
      <c r="G1804">
        <v>18</v>
      </c>
      <c r="H1804" t="s">
        <v>18</v>
      </c>
      <c r="I1804">
        <v>4</v>
      </c>
      <c r="J1804">
        <v>29.5</v>
      </c>
      <c r="K1804">
        <v>2</v>
      </c>
      <c r="L1804">
        <v>2</v>
      </c>
      <c r="M1804">
        <v>20</v>
      </c>
      <c r="N1804" t="s">
        <v>759</v>
      </c>
    </row>
    <row r="1805" spans="1:14" x14ac:dyDescent="0.35">
      <c r="A1805" t="s">
        <v>802</v>
      </c>
      <c r="B1805" t="s">
        <v>445</v>
      </c>
      <c r="C1805" t="s">
        <v>16</v>
      </c>
      <c r="D1805">
        <v>3</v>
      </c>
      <c r="E1805">
        <v>15</v>
      </c>
      <c r="F1805" t="s">
        <v>186</v>
      </c>
      <c r="G1805">
        <v>18</v>
      </c>
      <c r="H1805" t="s">
        <v>18</v>
      </c>
      <c r="I1805">
        <v>9</v>
      </c>
      <c r="J1805">
        <v>31.4</v>
      </c>
      <c r="K1805">
        <v>2</v>
      </c>
      <c r="L1805">
        <v>2</v>
      </c>
      <c r="M1805">
        <v>20</v>
      </c>
      <c r="N1805" t="s">
        <v>341</v>
      </c>
    </row>
    <row r="1806" spans="1:14" x14ac:dyDescent="0.35">
      <c r="A1806" t="s">
        <v>802</v>
      </c>
      <c r="B1806" t="s">
        <v>178</v>
      </c>
      <c r="C1806" t="s">
        <v>29</v>
      </c>
      <c r="D1806">
        <v>0</v>
      </c>
      <c r="E1806">
        <v>12</v>
      </c>
      <c r="F1806" t="s">
        <v>340</v>
      </c>
      <c r="G1806">
        <v>12</v>
      </c>
      <c r="H1806" t="s">
        <v>157</v>
      </c>
      <c r="I1806">
        <v>15</v>
      </c>
      <c r="J1806">
        <v>24.9</v>
      </c>
      <c r="K1806">
        <v>0</v>
      </c>
      <c r="L1806">
        <v>0</v>
      </c>
      <c r="M1806">
        <v>12</v>
      </c>
      <c r="N1806" t="s">
        <v>348</v>
      </c>
    </row>
    <row r="1807" spans="1:14" x14ac:dyDescent="0.35">
      <c r="A1807" t="s">
        <v>802</v>
      </c>
      <c r="B1807" t="s">
        <v>340</v>
      </c>
      <c r="C1807" t="s">
        <v>16</v>
      </c>
      <c r="D1807">
        <v>0</v>
      </c>
      <c r="E1807">
        <v>22</v>
      </c>
      <c r="F1807" t="s">
        <v>189</v>
      </c>
      <c r="G1807">
        <v>18</v>
      </c>
      <c r="H1807" t="s">
        <v>18</v>
      </c>
      <c r="I1807">
        <v>6</v>
      </c>
      <c r="J1807">
        <v>30.9</v>
      </c>
      <c r="K1807">
        <v>3</v>
      </c>
      <c r="L1807">
        <v>3</v>
      </c>
      <c r="M1807">
        <v>21</v>
      </c>
      <c r="N1807" t="s">
        <v>342</v>
      </c>
    </row>
    <row r="1808" spans="1:14" x14ac:dyDescent="0.35">
      <c r="A1808" t="s">
        <v>802</v>
      </c>
      <c r="B1808" t="s">
        <v>337</v>
      </c>
      <c r="C1808" t="s">
        <v>16</v>
      </c>
      <c r="D1808">
        <v>4</v>
      </c>
      <c r="E1808">
        <v>14</v>
      </c>
      <c r="F1808" t="s">
        <v>338</v>
      </c>
      <c r="G1808">
        <v>18</v>
      </c>
      <c r="H1808" t="s">
        <v>18</v>
      </c>
      <c r="I1808">
        <v>4</v>
      </c>
      <c r="J1808">
        <v>25.9</v>
      </c>
      <c r="K1808">
        <v>2</v>
      </c>
      <c r="L1808">
        <v>3</v>
      </c>
      <c r="M1808">
        <v>21</v>
      </c>
      <c r="N1808" t="s">
        <v>342</v>
      </c>
    </row>
    <row r="1809" spans="1:14" x14ac:dyDescent="0.35">
      <c r="A1809" t="s">
        <v>802</v>
      </c>
      <c r="B1809" t="s">
        <v>337</v>
      </c>
      <c r="C1809" t="s">
        <v>29</v>
      </c>
      <c r="D1809">
        <v>0</v>
      </c>
      <c r="E1809">
        <v>9</v>
      </c>
      <c r="F1809" t="s">
        <v>180</v>
      </c>
      <c r="G1809">
        <v>9</v>
      </c>
      <c r="H1809" t="s">
        <v>157</v>
      </c>
      <c r="I1809">
        <v>15</v>
      </c>
      <c r="J1809">
        <v>24.8</v>
      </c>
      <c r="K1809">
        <v>2</v>
      </c>
      <c r="L1809">
        <v>0</v>
      </c>
      <c r="M1809">
        <v>9</v>
      </c>
      <c r="N1809" t="s">
        <v>452</v>
      </c>
    </row>
    <row r="1810" spans="1:14" x14ac:dyDescent="0.35">
      <c r="A1810" t="s">
        <v>802</v>
      </c>
      <c r="B1810" t="s">
        <v>531</v>
      </c>
      <c r="C1810" t="s">
        <v>16</v>
      </c>
      <c r="D1810">
        <v>0</v>
      </c>
      <c r="E1810">
        <v>11</v>
      </c>
      <c r="F1810" t="s">
        <v>658</v>
      </c>
      <c r="G1810">
        <v>11</v>
      </c>
      <c r="H1810" t="s">
        <v>157</v>
      </c>
      <c r="I1810">
        <v>15</v>
      </c>
      <c r="J1810">
        <v>23.4</v>
      </c>
      <c r="K1810">
        <v>3</v>
      </c>
      <c r="L1810">
        <v>2</v>
      </c>
      <c r="M1810">
        <v>13</v>
      </c>
      <c r="N1810" t="s">
        <v>537</v>
      </c>
    </row>
    <row r="1811" spans="1:14" x14ac:dyDescent="0.35">
      <c r="A1811" t="s">
        <v>802</v>
      </c>
      <c r="B1811" t="s">
        <v>450</v>
      </c>
      <c r="C1811" t="s">
        <v>16</v>
      </c>
      <c r="D1811">
        <v>0</v>
      </c>
      <c r="E1811">
        <v>13</v>
      </c>
      <c r="F1811" t="s">
        <v>191</v>
      </c>
      <c r="G1811">
        <v>13</v>
      </c>
      <c r="H1811" t="s">
        <v>157</v>
      </c>
      <c r="I1811">
        <v>15</v>
      </c>
      <c r="J1811">
        <v>29.8</v>
      </c>
      <c r="K1811">
        <v>2</v>
      </c>
      <c r="L1811">
        <v>2</v>
      </c>
      <c r="M1811">
        <v>15</v>
      </c>
      <c r="N1811" t="s">
        <v>464</v>
      </c>
    </row>
    <row r="1812" spans="1:14" x14ac:dyDescent="0.35">
      <c r="A1812" t="s">
        <v>802</v>
      </c>
      <c r="B1812" t="s">
        <v>192</v>
      </c>
      <c r="C1812" t="s">
        <v>29</v>
      </c>
      <c r="D1812">
        <v>0</v>
      </c>
      <c r="E1812">
        <v>3</v>
      </c>
      <c r="F1812" t="s">
        <v>537</v>
      </c>
      <c r="G1812">
        <v>3</v>
      </c>
      <c r="H1812" t="s">
        <v>157</v>
      </c>
      <c r="I1812">
        <v>15</v>
      </c>
      <c r="J1812">
        <v>18.8</v>
      </c>
      <c r="K1812">
        <v>2</v>
      </c>
      <c r="L1812">
        <v>0</v>
      </c>
      <c r="M1812">
        <v>3</v>
      </c>
      <c r="N1812" t="s">
        <v>350</v>
      </c>
    </row>
    <row r="1813" spans="1:14" x14ac:dyDescent="0.35">
      <c r="A1813" t="s">
        <v>802</v>
      </c>
      <c r="B1813" t="s">
        <v>452</v>
      </c>
      <c r="C1813" t="s">
        <v>16</v>
      </c>
      <c r="D1813">
        <v>0</v>
      </c>
      <c r="E1813">
        <v>18</v>
      </c>
      <c r="F1813" t="s">
        <v>771</v>
      </c>
      <c r="G1813">
        <v>18</v>
      </c>
      <c r="H1813" t="s">
        <v>18</v>
      </c>
      <c r="I1813">
        <v>10</v>
      </c>
      <c r="J1813">
        <v>31.4</v>
      </c>
      <c r="K1813">
        <v>3</v>
      </c>
      <c r="L1813">
        <v>3</v>
      </c>
      <c r="M1813">
        <v>21</v>
      </c>
      <c r="N1813" t="s">
        <v>207</v>
      </c>
    </row>
    <row r="1814" spans="1:14" x14ac:dyDescent="0.35">
      <c r="A1814" t="s">
        <v>802</v>
      </c>
      <c r="B1814" t="s">
        <v>456</v>
      </c>
      <c r="C1814" t="s">
        <v>16</v>
      </c>
      <c r="D1814">
        <v>0</v>
      </c>
      <c r="E1814">
        <v>14</v>
      </c>
      <c r="F1814" t="s">
        <v>538</v>
      </c>
      <c r="G1814">
        <v>14</v>
      </c>
      <c r="H1814" t="s">
        <v>157</v>
      </c>
      <c r="I1814">
        <v>15</v>
      </c>
      <c r="J1814">
        <v>33</v>
      </c>
      <c r="K1814">
        <v>2</v>
      </c>
      <c r="L1814">
        <v>1</v>
      </c>
      <c r="M1814">
        <v>15</v>
      </c>
      <c r="N1814" t="s">
        <v>688</v>
      </c>
    </row>
    <row r="1815" spans="1:14" x14ac:dyDescent="0.35">
      <c r="A1815" t="s">
        <v>802</v>
      </c>
      <c r="B1815" t="s">
        <v>193</v>
      </c>
      <c r="C1815" t="s">
        <v>29</v>
      </c>
      <c r="D1815">
        <v>0</v>
      </c>
      <c r="E1815">
        <v>7</v>
      </c>
      <c r="F1815" t="s">
        <v>464</v>
      </c>
      <c r="G1815">
        <v>7</v>
      </c>
      <c r="H1815" t="s">
        <v>157</v>
      </c>
      <c r="I1815">
        <v>15</v>
      </c>
      <c r="J1815">
        <v>23.3</v>
      </c>
      <c r="K1815">
        <v>1</v>
      </c>
      <c r="L1815">
        <v>0</v>
      </c>
      <c r="M1815">
        <v>7</v>
      </c>
      <c r="N1815" t="s">
        <v>710</v>
      </c>
    </row>
    <row r="1816" spans="1:14" x14ac:dyDescent="0.35">
      <c r="A1816" t="s">
        <v>802</v>
      </c>
      <c r="B1816" t="s">
        <v>464</v>
      </c>
      <c r="C1816" t="s">
        <v>16</v>
      </c>
      <c r="D1816">
        <v>0</v>
      </c>
      <c r="E1816">
        <v>9</v>
      </c>
      <c r="F1816" t="s">
        <v>352</v>
      </c>
      <c r="G1816">
        <v>9</v>
      </c>
      <c r="H1816" t="s">
        <v>157</v>
      </c>
      <c r="I1816">
        <v>15</v>
      </c>
      <c r="J1816">
        <v>27.7</v>
      </c>
      <c r="K1816">
        <v>3</v>
      </c>
      <c r="L1816">
        <v>1</v>
      </c>
      <c r="M1816">
        <v>10</v>
      </c>
      <c r="N1816" t="s">
        <v>596</v>
      </c>
    </row>
    <row r="1817" spans="1:14" x14ac:dyDescent="0.35">
      <c r="A1817" t="s">
        <v>802</v>
      </c>
      <c r="B1817" t="s">
        <v>706</v>
      </c>
      <c r="C1817" t="s">
        <v>16</v>
      </c>
      <c r="D1817">
        <v>0</v>
      </c>
      <c r="E1817">
        <v>10</v>
      </c>
      <c r="F1817" t="s">
        <v>210</v>
      </c>
      <c r="G1817">
        <v>10</v>
      </c>
      <c r="H1817" t="s">
        <v>157</v>
      </c>
      <c r="I1817">
        <v>15</v>
      </c>
      <c r="J1817">
        <v>26.2</v>
      </c>
      <c r="K1817">
        <v>4</v>
      </c>
      <c r="L1817">
        <v>2</v>
      </c>
      <c r="M1817">
        <v>12</v>
      </c>
      <c r="N1817" t="s">
        <v>663</v>
      </c>
    </row>
    <row r="1818" spans="1:14" x14ac:dyDescent="0.35">
      <c r="A1818" t="s">
        <v>802</v>
      </c>
      <c r="B1818" t="s">
        <v>688</v>
      </c>
      <c r="C1818" t="s">
        <v>16</v>
      </c>
      <c r="D1818">
        <v>0</v>
      </c>
      <c r="E1818">
        <v>13</v>
      </c>
      <c r="F1818" t="s">
        <v>632</v>
      </c>
      <c r="G1818">
        <v>13</v>
      </c>
      <c r="H1818" t="s">
        <v>157</v>
      </c>
      <c r="I1818">
        <v>15</v>
      </c>
      <c r="J1818">
        <v>31.7</v>
      </c>
      <c r="K1818">
        <v>4</v>
      </c>
      <c r="L1818">
        <v>2</v>
      </c>
      <c r="M1818">
        <v>15</v>
      </c>
      <c r="N1818" t="s">
        <v>367</v>
      </c>
    </row>
    <row r="1819" spans="1:14" x14ac:dyDescent="0.35">
      <c r="A1819" t="s">
        <v>802</v>
      </c>
      <c r="B1819" t="s">
        <v>541</v>
      </c>
      <c r="C1819" t="s">
        <v>16</v>
      </c>
      <c r="D1819">
        <v>0</v>
      </c>
      <c r="E1819">
        <v>12</v>
      </c>
      <c r="F1819" t="s">
        <v>214</v>
      </c>
      <c r="G1819">
        <v>12</v>
      </c>
      <c r="H1819" t="s">
        <v>157</v>
      </c>
      <c r="I1819">
        <v>15</v>
      </c>
      <c r="J1819">
        <v>29.3</v>
      </c>
      <c r="K1819">
        <v>3</v>
      </c>
      <c r="L1819">
        <v>0</v>
      </c>
      <c r="M1819">
        <v>12</v>
      </c>
      <c r="N1819" t="s">
        <v>743</v>
      </c>
    </row>
    <row r="1820" spans="1:14" x14ac:dyDescent="0.35">
      <c r="A1820" t="s">
        <v>802</v>
      </c>
      <c r="B1820" t="s">
        <v>216</v>
      </c>
      <c r="C1820" t="s">
        <v>16</v>
      </c>
      <c r="D1820">
        <v>0</v>
      </c>
      <c r="E1820">
        <v>8</v>
      </c>
      <c r="F1820" t="s">
        <v>217</v>
      </c>
      <c r="G1820">
        <v>8</v>
      </c>
      <c r="H1820" t="s">
        <v>157</v>
      </c>
      <c r="I1820">
        <v>15</v>
      </c>
      <c r="J1820">
        <v>22.4</v>
      </c>
      <c r="K1820">
        <v>0</v>
      </c>
      <c r="L1820">
        <v>0</v>
      </c>
      <c r="M1820">
        <v>8</v>
      </c>
      <c r="N1820" t="s">
        <v>741</v>
      </c>
    </row>
    <row r="1821" spans="1:14" x14ac:dyDescent="0.35">
      <c r="A1821" t="s">
        <v>802</v>
      </c>
      <c r="B1821" t="s">
        <v>750</v>
      </c>
      <c r="C1821" t="s">
        <v>16</v>
      </c>
      <c r="D1821">
        <v>0</v>
      </c>
      <c r="E1821">
        <v>15</v>
      </c>
      <c r="F1821" t="s">
        <v>469</v>
      </c>
      <c r="G1821">
        <v>15</v>
      </c>
      <c r="H1821" t="s">
        <v>157</v>
      </c>
      <c r="I1821">
        <v>15</v>
      </c>
      <c r="J1821">
        <v>28.9</v>
      </c>
      <c r="K1821">
        <v>4</v>
      </c>
      <c r="L1821">
        <v>2</v>
      </c>
      <c r="M1821">
        <v>17</v>
      </c>
      <c r="N1821" t="s">
        <v>668</v>
      </c>
    </row>
    <row r="1822" spans="1:14" x14ac:dyDescent="0.35">
      <c r="A1822" t="s">
        <v>802</v>
      </c>
      <c r="B1822" t="s">
        <v>373</v>
      </c>
      <c r="C1822" t="s">
        <v>16</v>
      </c>
      <c r="D1822">
        <v>0</v>
      </c>
      <c r="E1822">
        <v>12</v>
      </c>
      <c r="F1822" t="s">
        <v>225</v>
      </c>
      <c r="G1822">
        <v>12</v>
      </c>
      <c r="H1822" t="s">
        <v>157</v>
      </c>
      <c r="I1822">
        <v>15</v>
      </c>
      <c r="J1822">
        <v>29.2</v>
      </c>
      <c r="K1822">
        <v>1</v>
      </c>
      <c r="L1822">
        <v>0</v>
      </c>
      <c r="M1822">
        <v>12</v>
      </c>
      <c r="N1822" t="s">
        <v>744</v>
      </c>
    </row>
    <row r="1823" spans="1:14" x14ac:dyDescent="0.35">
      <c r="A1823" t="s">
        <v>802</v>
      </c>
      <c r="B1823" t="s">
        <v>692</v>
      </c>
      <c r="C1823" t="s">
        <v>16</v>
      </c>
      <c r="D1823">
        <v>0</v>
      </c>
      <c r="E1823">
        <v>10</v>
      </c>
      <c r="F1823" t="s">
        <v>381</v>
      </c>
      <c r="G1823">
        <v>10</v>
      </c>
      <c r="H1823" t="s">
        <v>157</v>
      </c>
      <c r="I1823">
        <v>15</v>
      </c>
      <c r="J1823">
        <v>27</v>
      </c>
      <c r="K1823">
        <v>4</v>
      </c>
      <c r="L1823">
        <v>0</v>
      </c>
      <c r="M1823">
        <v>10</v>
      </c>
      <c r="N1823" t="s">
        <v>729</v>
      </c>
    </row>
    <row r="1824" spans="1:14" x14ac:dyDescent="0.35">
      <c r="A1824" t="s">
        <v>802</v>
      </c>
      <c r="B1824" t="s">
        <v>603</v>
      </c>
      <c r="C1824" t="s">
        <v>16</v>
      </c>
      <c r="D1824">
        <v>0</v>
      </c>
      <c r="E1824">
        <v>15</v>
      </c>
      <c r="F1824" t="s">
        <v>383</v>
      </c>
      <c r="G1824">
        <v>15</v>
      </c>
      <c r="H1824" t="s">
        <v>157</v>
      </c>
      <c r="I1824">
        <v>15</v>
      </c>
      <c r="J1824">
        <v>30</v>
      </c>
      <c r="K1824">
        <v>2</v>
      </c>
      <c r="L1824">
        <v>2</v>
      </c>
      <c r="M1824">
        <v>17</v>
      </c>
      <c r="N1824" t="s">
        <v>235</v>
      </c>
    </row>
    <row r="1825" spans="1:14" x14ac:dyDescent="0.35">
      <c r="A1825" t="s">
        <v>802</v>
      </c>
      <c r="B1825" t="s">
        <v>606</v>
      </c>
      <c r="C1825" t="s">
        <v>16</v>
      </c>
      <c r="D1825">
        <v>0</v>
      </c>
      <c r="E1825">
        <v>12</v>
      </c>
      <c r="F1825" t="s">
        <v>385</v>
      </c>
      <c r="G1825">
        <v>12</v>
      </c>
      <c r="H1825" t="s">
        <v>157</v>
      </c>
      <c r="I1825">
        <v>15</v>
      </c>
      <c r="J1825">
        <v>27.4</v>
      </c>
      <c r="K1825">
        <v>1</v>
      </c>
      <c r="L1825">
        <v>2</v>
      </c>
      <c r="M1825">
        <v>14</v>
      </c>
      <c r="N1825" t="s">
        <v>714</v>
      </c>
    </row>
    <row r="1826" spans="1:14" x14ac:dyDescent="0.35">
      <c r="A1826" t="s">
        <v>802</v>
      </c>
      <c r="B1826" t="s">
        <v>604</v>
      </c>
      <c r="C1826" t="s">
        <v>16</v>
      </c>
      <c r="D1826">
        <v>0</v>
      </c>
      <c r="E1826">
        <v>16</v>
      </c>
      <c r="F1826" t="s">
        <v>237</v>
      </c>
      <c r="G1826">
        <v>16</v>
      </c>
      <c r="H1826" t="s">
        <v>157</v>
      </c>
      <c r="I1826">
        <v>15</v>
      </c>
      <c r="J1826">
        <v>29.6</v>
      </c>
      <c r="K1826">
        <v>0</v>
      </c>
      <c r="L1826">
        <v>0</v>
      </c>
      <c r="M1826">
        <v>16</v>
      </c>
      <c r="N1826" t="s">
        <v>243</v>
      </c>
    </row>
    <row r="1827" spans="1:14" x14ac:dyDescent="0.35">
      <c r="A1827" t="s">
        <v>802</v>
      </c>
      <c r="B1827" t="s">
        <v>772</v>
      </c>
      <c r="C1827" t="s">
        <v>16</v>
      </c>
      <c r="D1827">
        <v>0</v>
      </c>
      <c r="E1827">
        <v>18</v>
      </c>
      <c r="F1827" t="s">
        <v>389</v>
      </c>
      <c r="G1827">
        <v>18</v>
      </c>
      <c r="H1827" t="s">
        <v>18</v>
      </c>
      <c r="I1827">
        <v>13</v>
      </c>
      <c r="J1827">
        <v>32.4</v>
      </c>
      <c r="K1827">
        <v>1</v>
      </c>
      <c r="L1827">
        <v>2</v>
      </c>
      <c r="M1827">
        <v>20</v>
      </c>
      <c r="N1827" t="s">
        <v>564</v>
      </c>
    </row>
    <row r="1828" spans="1:14" x14ac:dyDescent="0.35">
      <c r="A1828" t="s">
        <v>802</v>
      </c>
      <c r="B1828" t="s">
        <v>238</v>
      </c>
      <c r="C1828" t="s">
        <v>16</v>
      </c>
      <c r="D1828">
        <v>0</v>
      </c>
      <c r="E1828">
        <v>11</v>
      </c>
      <c r="F1828" t="s">
        <v>637</v>
      </c>
      <c r="G1828">
        <v>11</v>
      </c>
      <c r="H1828" t="s">
        <v>157</v>
      </c>
      <c r="I1828">
        <v>15</v>
      </c>
      <c r="J1828">
        <v>28.1</v>
      </c>
      <c r="K1828">
        <v>3</v>
      </c>
      <c r="L1828">
        <v>2</v>
      </c>
      <c r="M1828">
        <v>13</v>
      </c>
      <c r="N1828" t="s">
        <v>569</v>
      </c>
    </row>
    <row r="1829" spans="1:14" x14ac:dyDescent="0.35">
      <c r="A1829" t="s">
        <v>802</v>
      </c>
      <c r="B1829" t="s">
        <v>391</v>
      </c>
      <c r="C1829" t="s">
        <v>16</v>
      </c>
      <c r="D1829">
        <v>0</v>
      </c>
      <c r="E1829">
        <v>17</v>
      </c>
      <c r="F1829" t="s">
        <v>564</v>
      </c>
      <c r="G1829">
        <v>17</v>
      </c>
      <c r="H1829" t="s">
        <v>157</v>
      </c>
      <c r="I1829">
        <v>15</v>
      </c>
      <c r="J1829">
        <v>26.6</v>
      </c>
      <c r="K1829">
        <v>0</v>
      </c>
      <c r="L1829">
        <v>0</v>
      </c>
      <c r="M1829">
        <v>17</v>
      </c>
      <c r="N1829" t="s">
        <v>641</v>
      </c>
    </row>
    <row r="1830" spans="1:14" x14ac:dyDescent="0.35">
      <c r="A1830" t="s">
        <v>802</v>
      </c>
      <c r="B1830" t="s">
        <v>762</v>
      </c>
      <c r="C1830" t="s">
        <v>16</v>
      </c>
      <c r="D1830">
        <v>0</v>
      </c>
      <c r="E1830">
        <v>14</v>
      </c>
      <c r="F1830" t="s">
        <v>779</v>
      </c>
      <c r="G1830">
        <v>14</v>
      </c>
      <c r="H1830" t="s">
        <v>157</v>
      </c>
      <c r="I1830">
        <v>15</v>
      </c>
      <c r="J1830">
        <v>25.9</v>
      </c>
      <c r="K1830">
        <v>0</v>
      </c>
      <c r="L1830">
        <v>0</v>
      </c>
      <c r="M1830">
        <v>14</v>
      </c>
      <c r="N1830" t="s">
        <v>614</v>
      </c>
    </row>
    <row r="1831" spans="1:14" x14ac:dyDescent="0.35">
      <c r="A1831" t="s">
        <v>802</v>
      </c>
      <c r="B1831" t="s">
        <v>249</v>
      </c>
      <c r="C1831" t="s">
        <v>16</v>
      </c>
      <c r="D1831">
        <v>0</v>
      </c>
      <c r="E1831">
        <v>15</v>
      </c>
      <c r="F1831" t="s">
        <v>250</v>
      </c>
      <c r="G1831">
        <v>15</v>
      </c>
      <c r="H1831" t="s">
        <v>157</v>
      </c>
      <c r="I1831">
        <v>15</v>
      </c>
      <c r="J1831">
        <v>26.7</v>
      </c>
      <c r="K1831">
        <v>4</v>
      </c>
      <c r="L1831">
        <v>0</v>
      </c>
      <c r="M1831">
        <v>15</v>
      </c>
      <c r="N1831" t="s">
        <v>570</v>
      </c>
    </row>
    <row r="1832" spans="1:14" x14ac:dyDescent="0.35">
      <c r="A1832" t="s">
        <v>802</v>
      </c>
      <c r="B1832" t="s">
        <v>801</v>
      </c>
      <c r="C1832" t="s">
        <v>16</v>
      </c>
      <c r="D1832">
        <v>0</v>
      </c>
      <c r="E1832">
        <v>18</v>
      </c>
      <c r="F1832" t="s">
        <v>572</v>
      </c>
      <c r="G1832">
        <v>18</v>
      </c>
      <c r="H1832" t="s">
        <v>18</v>
      </c>
      <c r="I1832">
        <v>12</v>
      </c>
      <c r="J1832">
        <v>30.3</v>
      </c>
      <c r="K1832">
        <v>0</v>
      </c>
      <c r="L1832">
        <v>0</v>
      </c>
      <c r="M1832">
        <v>18</v>
      </c>
      <c r="N1832" t="s">
        <v>573</v>
      </c>
    </row>
    <row r="1833" spans="1:14" x14ac:dyDescent="0.35">
      <c r="A1833" t="s">
        <v>804</v>
      </c>
      <c r="B1833" t="s">
        <v>15</v>
      </c>
      <c r="C1833" t="s">
        <v>16</v>
      </c>
      <c r="D1833">
        <v>0</v>
      </c>
      <c r="E1833">
        <v>18</v>
      </c>
      <c r="F1833" t="s">
        <v>20</v>
      </c>
      <c r="G1833">
        <v>18</v>
      </c>
      <c r="H1833" t="s">
        <v>18</v>
      </c>
      <c r="I1833">
        <v>4</v>
      </c>
      <c r="J1833">
        <v>28</v>
      </c>
      <c r="K1833">
        <v>1</v>
      </c>
      <c r="L1833">
        <v>2</v>
      </c>
      <c r="M1833">
        <v>20</v>
      </c>
      <c r="N1833" t="s">
        <v>19</v>
      </c>
    </row>
    <row r="1834" spans="1:14" x14ac:dyDescent="0.35">
      <c r="A1834" t="s">
        <v>804</v>
      </c>
      <c r="B1834" t="s">
        <v>254</v>
      </c>
      <c r="C1834" t="s">
        <v>16</v>
      </c>
      <c r="D1834">
        <v>0</v>
      </c>
      <c r="E1834">
        <v>18</v>
      </c>
      <c r="F1834" t="s">
        <v>404</v>
      </c>
      <c r="G1834">
        <v>18</v>
      </c>
      <c r="H1834" t="s">
        <v>18</v>
      </c>
      <c r="I1834">
        <v>4</v>
      </c>
      <c r="J1834">
        <v>30.7</v>
      </c>
      <c r="K1834">
        <v>0</v>
      </c>
      <c r="L1834">
        <v>0</v>
      </c>
      <c r="M1834">
        <v>18</v>
      </c>
      <c r="N1834" t="s">
        <v>264</v>
      </c>
    </row>
    <row r="1835" spans="1:14" x14ac:dyDescent="0.35">
      <c r="A1835" t="s">
        <v>804</v>
      </c>
      <c r="B1835" t="s">
        <v>405</v>
      </c>
      <c r="C1835" t="s">
        <v>29</v>
      </c>
      <c r="D1835">
        <v>0</v>
      </c>
      <c r="E1835">
        <v>19</v>
      </c>
      <c r="F1835" t="s">
        <v>24</v>
      </c>
      <c r="G1835">
        <v>18</v>
      </c>
      <c r="H1835" t="s">
        <v>18</v>
      </c>
      <c r="I1835">
        <v>9</v>
      </c>
      <c r="J1835">
        <v>18.100000000000001</v>
      </c>
      <c r="K1835">
        <v>3</v>
      </c>
      <c r="L1835">
        <v>3</v>
      </c>
      <c r="M1835">
        <v>21</v>
      </c>
      <c r="N1835" t="s">
        <v>50</v>
      </c>
    </row>
    <row r="1836" spans="1:14" x14ac:dyDescent="0.35">
      <c r="A1836" t="s">
        <v>804</v>
      </c>
      <c r="B1836" t="s">
        <v>24</v>
      </c>
      <c r="C1836" t="s">
        <v>16</v>
      </c>
      <c r="D1836">
        <v>0</v>
      </c>
      <c r="E1836">
        <v>26</v>
      </c>
      <c r="F1836" t="s">
        <v>27</v>
      </c>
      <c r="G1836">
        <v>18</v>
      </c>
      <c r="H1836" t="s">
        <v>18</v>
      </c>
      <c r="I1836">
        <v>6</v>
      </c>
      <c r="J1836">
        <v>26.8</v>
      </c>
      <c r="K1836">
        <v>1</v>
      </c>
      <c r="L1836">
        <v>5</v>
      </c>
      <c r="M1836">
        <v>23</v>
      </c>
      <c r="N1836" t="s">
        <v>497</v>
      </c>
    </row>
    <row r="1837" spans="1:14" x14ac:dyDescent="0.35">
      <c r="A1837" t="s">
        <v>804</v>
      </c>
      <c r="B1837" t="s">
        <v>30</v>
      </c>
      <c r="C1837" t="s">
        <v>16</v>
      </c>
      <c r="D1837">
        <v>8</v>
      </c>
      <c r="E1837">
        <v>14</v>
      </c>
      <c r="F1837" t="s">
        <v>260</v>
      </c>
      <c r="G1837">
        <v>18</v>
      </c>
      <c r="H1837" t="s">
        <v>18</v>
      </c>
      <c r="I1837">
        <v>2</v>
      </c>
      <c r="J1837">
        <v>28.4</v>
      </c>
      <c r="K1837">
        <v>3</v>
      </c>
      <c r="L1837">
        <v>4</v>
      </c>
      <c r="M1837">
        <v>22</v>
      </c>
      <c r="N1837" t="s">
        <v>42</v>
      </c>
    </row>
    <row r="1838" spans="1:14" x14ac:dyDescent="0.35">
      <c r="A1838" t="s">
        <v>804</v>
      </c>
      <c r="B1838" t="s">
        <v>31</v>
      </c>
      <c r="C1838" t="s">
        <v>16</v>
      </c>
      <c r="D1838">
        <v>4</v>
      </c>
      <c r="E1838">
        <v>17</v>
      </c>
      <c r="F1838" t="s">
        <v>406</v>
      </c>
      <c r="G1838">
        <v>18</v>
      </c>
      <c r="H1838" t="s">
        <v>18</v>
      </c>
      <c r="I1838">
        <v>3</v>
      </c>
      <c r="J1838">
        <v>28.7</v>
      </c>
      <c r="K1838">
        <v>4</v>
      </c>
      <c r="L1838">
        <v>4</v>
      </c>
      <c r="M1838">
        <v>22</v>
      </c>
      <c r="N1838" t="s">
        <v>32</v>
      </c>
    </row>
    <row r="1839" spans="1:14" x14ac:dyDescent="0.35">
      <c r="A1839" t="s">
        <v>804</v>
      </c>
      <c r="B1839" t="s">
        <v>26</v>
      </c>
      <c r="C1839" t="s">
        <v>29</v>
      </c>
      <c r="D1839">
        <v>1</v>
      </c>
      <c r="E1839">
        <v>20</v>
      </c>
      <c r="F1839" t="s">
        <v>34</v>
      </c>
      <c r="G1839">
        <v>18</v>
      </c>
      <c r="H1839" t="s">
        <v>18</v>
      </c>
      <c r="I1839">
        <v>14</v>
      </c>
      <c r="J1839">
        <v>19.7</v>
      </c>
      <c r="K1839">
        <v>4</v>
      </c>
      <c r="L1839">
        <v>4</v>
      </c>
      <c r="M1839">
        <v>22</v>
      </c>
      <c r="N1839" t="s">
        <v>681</v>
      </c>
    </row>
    <row r="1840" spans="1:14" x14ac:dyDescent="0.35">
      <c r="A1840" t="s">
        <v>804</v>
      </c>
      <c r="B1840" t="s">
        <v>261</v>
      </c>
      <c r="C1840" t="s">
        <v>16</v>
      </c>
      <c r="D1840">
        <v>3</v>
      </c>
      <c r="E1840">
        <v>16</v>
      </c>
      <c r="F1840" t="s">
        <v>50</v>
      </c>
      <c r="G1840">
        <v>18</v>
      </c>
      <c r="H1840" t="s">
        <v>18</v>
      </c>
      <c r="I1840">
        <v>4</v>
      </c>
      <c r="J1840">
        <v>33.4</v>
      </c>
      <c r="K1840">
        <v>3</v>
      </c>
      <c r="L1840">
        <v>4</v>
      </c>
      <c r="M1840">
        <v>22</v>
      </c>
      <c r="N1840" t="s">
        <v>267</v>
      </c>
    </row>
    <row r="1841" spans="1:14" x14ac:dyDescent="0.35">
      <c r="A1841" t="s">
        <v>804</v>
      </c>
      <c r="B1841" t="s">
        <v>39</v>
      </c>
      <c r="C1841" t="s">
        <v>16</v>
      </c>
      <c r="D1841">
        <v>1</v>
      </c>
      <c r="E1841">
        <v>18</v>
      </c>
      <c r="F1841" t="s">
        <v>22</v>
      </c>
      <c r="G1841">
        <v>18</v>
      </c>
      <c r="H1841" t="s">
        <v>18</v>
      </c>
      <c r="I1841">
        <v>5</v>
      </c>
      <c r="J1841">
        <v>25.5</v>
      </c>
      <c r="K1841">
        <v>3</v>
      </c>
      <c r="L1841">
        <v>2</v>
      </c>
      <c r="M1841">
        <v>20</v>
      </c>
      <c r="N1841" t="s">
        <v>409</v>
      </c>
    </row>
    <row r="1842" spans="1:14" x14ac:dyDescent="0.35">
      <c r="A1842" t="s">
        <v>804</v>
      </c>
      <c r="B1842" t="s">
        <v>38</v>
      </c>
      <c r="C1842" t="s">
        <v>29</v>
      </c>
      <c r="D1842">
        <v>3</v>
      </c>
      <c r="E1842">
        <v>15</v>
      </c>
      <c r="F1842" t="s">
        <v>262</v>
      </c>
      <c r="G1842">
        <v>18</v>
      </c>
      <c r="H1842" t="s">
        <v>18</v>
      </c>
      <c r="I1842">
        <v>24</v>
      </c>
      <c r="J1842">
        <v>23.4</v>
      </c>
      <c r="K1842">
        <v>3</v>
      </c>
      <c r="L1842">
        <v>3</v>
      </c>
      <c r="M1842">
        <v>21</v>
      </c>
      <c r="N1842" t="s">
        <v>43</v>
      </c>
    </row>
    <row r="1843" spans="1:14" x14ac:dyDescent="0.35">
      <c r="A1843" t="s">
        <v>804</v>
      </c>
      <c r="B1843" t="s">
        <v>257</v>
      </c>
      <c r="C1843" t="s">
        <v>16</v>
      </c>
      <c r="D1843">
        <v>1</v>
      </c>
      <c r="E1843">
        <v>18</v>
      </c>
      <c r="F1843" t="s">
        <v>32</v>
      </c>
      <c r="G1843">
        <v>18</v>
      </c>
      <c r="H1843" t="s">
        <v>18</v>
      </c>
      <c r="I1843">
        <v>16</v>
      </c>
      <c r="J1843">
        <v>26.2</v>
      </c>
      <c r="K1843">
        <v>1</v>
      </c>
      <c r="L1843">
        <v>3</v>
      </c>
      <c r="M1843">
        <v>21</v>
      </c>
      <c r="N1843" t="s">
        <v>61</v>
      </c>
    </row>
    <row r="1844" spans="1:14" x14ac:dyDescent="0.35">
      <c r="A1844" t="s">
        <v>804</v>
      </c>
      <c r="B1844" t="s">
        <v>266</v>
      </c>
      <c r="C1844" t="s">
        <v>16</v>
      </c>
      <c r="D1844">
        <v>1</v>
      </c>
      <c r="E1844">
        <v>17</v>
      </c>
      <c r="F1844" t="s">
        <v>267</v>
      </c>
      <c r="G1844">
        <v>18</v>
      </c>
      <c r="H1844" t="s">
        <v>18</v>
      </c>
      <c r="I1844">
        <v>9</v>
      </c>
      <c r="J1844">
        <v>24.3</v>
      </c>
      <c r="K1844">
        <v>1</v>
      </c>
      <c r="L1844">
        <v>4</v>
      </c>
      <c r="M1844">
        <v>22</v>
      </c>
      <c r="N1844" t="s">
        <v>65</v>
      </c>
    </row>
    <row r="1845" spans="1:14" x14ac:dyDescent="0.35">
      <c r="A1845" t="s">
        <v>804</v>
      </c>
      <c r="B1845" t="s">
        <v>269</v>
      </c>
      <c r="C1845" t="s">
        <v>16</v>
      </c>
      <c r="D1845">
        <v>0</v>
      </c>
      <c r="E1845">
        <v>20</v>
      </c>
      <c r="F1845" t="s">
        <v>270</v>
      </c>
      <c r="G1845">
        <v>18</v>
      </c>
      <c r="H1845" t="s">
        <v>18</v>
      </c>
      <c r="I1845">
        <v>5</v>
      </c>
      <c r="J1845">
        <v>25.2</v>
      </c>
      <c r="K1845">
        <v>3</v>
      </c>
      <c r="L1845">
        <v>2</v>
      </c>
      <c r="M1845">
        <v>20</v>
      </c>
      <c r="N1845" t="s">
        <v>410</v>
      </c>
    </row>
    <row r="1846" spans="1:14" x14ac:dyDescent="0.35">
      <c r="A1846" t="s">
        <v>804</v>
      </c>
      <c r="B1846" t="s">
        <v>272</v>
      </c>
      <c r="C1846" t="s">
        <v>16</v>
      </c>
      <c r="D1846">
        <v>2</v>
      </c>
      <c r="E1846">
        <v>20</v>
      </c>
      <c r="F1846" t="s">
        <v>55</v>
      </c>
      <c r="G1846">
        <v>18</v>
      </c>
      <c r="H1846" t="s">
        <v>18</v>
      </c>
      <c r="I1846">
        <v>2</v>
      </c>
      <c r="J1846">
        <v>27.7</v>
      </c>
      <c r="K1846">
        <v>1</v>
      </c>
      <c r="L1846">
        <v>4</v>
      </c>
      <c r="M1846">
        <v>22</v>
      </c>
      <c r="N1846" t="s">
        <v>412</v>
      </c>
    </row>
    <row r="1847" spans="1:14" x14ac:dyDescent="0.35">
      <c r="A1847" t="s">
        <v>804</v>
      </c>
      <c r="B1847" t="s">
        <v>32</v>
      </c>
      <c r="C1847" t="s">
        <v>29</v>
      </c>
      <c r="D1847">
        <v>0</v>
      </c>
      <c r="E1847">
        <v>18</v>
      </c>
      <c r="F1847" t="s">
        <v>273</v>
      </c>
      <c r="G1847">
        <v>18</v>
      </c>
      <c r="H1847" t="s">
        <v>18</v>
      </c>
      <c r="I1847">
        <v>20</v>
      </c>
      <c r="J1847">
        <v>25.8</v>
      </c>
      <c r="K1847">
        <v>3</v>
      </c>
      <c r="L1847">
        <v>4</v>
      </c>
      <c r="M1847">
        <v>22</v>
      </c>
      <c r="N1847" t="s">
        <v>271</v>
      </c>
    </row>
    <row r="1848" spans="1:14" x14ac:dyDescent="0.35">
      <c r="A1848" t="s">
        <v>804</v>
      </c>
      <c r="B1848" t="s">
        <v>273</v>
      </c>
      <c r="C1848" t="s">
        <v>16</v>
      </c>
      <c r="D1848">
        <v>4</v>
      </c>
      <c r="E1848">
        <v>16</v>
      </c>
      <c r="F1848" t="s">
        <v>43</v>
      </c>
      <c r="G1848">
        <v>18</v>
      </c>
      <c r="H1848" t="s">
        <v>18</v>
      </c>
      <c r="I1848">
        <v>2</v>
      </c>
      <c r="J1848">
        <v>26.2</v>
      </c>
      <c r="K1848">
        <v>0</v>
      </c>
      <c r="L1848">
        <v>0</v>
      </c>
      <c r="M1848">
        <v>18</v>
      </c>
      <c r="N1848" t="s">
        <v>54</v>
      </c>
    </row>
    <row r="1849" spans="1:14" x14ac:dyDescent="0.35">
      <c r="A1849" t="s">
        <v>804</v>
      </c>
      <c r="B1849" t="s">
        <v>414</v>
      </c>
      <c r="C1849" t="s">
        <v>16</v>
      </c>
      <c r="D1849">
        <v>2</v>
      </c>
      <c r="E1849">
        <v>17</v>
      </c>
      <c r="F1849" t="s">
        <v>62</v>
      </c>
      <c r="G1849">
        <v>18</v>
      </c>
      <c r="H1849" t="s">
        <v>18</v>
      </c>
      <c r="I1849">
        <v>5</v>
      </c>
      <c r="J1849">
        <v>26.4</v>
      </c>
      <c r="K1849">
        <v>4</v>
      </c>
      <c r="L1849">
        <v>4</v>
      </c>
      <c r="M1849">
        <v>22</v>
      </c>
      <c r="N1849" t="s">
        <v>72</v>
      </c>
    </row>
    <row r="1850" spans="1:14" x14ac:dyDescent="0.35">
      <c r="A1850" t="s">
        <v>804</v>
      </c>
      <c r="B1850" t="s">
        <v>63</v>
      </c>
      <c r="C1850" t="s">
        <v>16</v>
      </c>
      <c r="D1850">
        <v>1</v>
      </c>
      <c r="E1850">
        <v>18</v>
      </c>
      <c r="F1850" t="s">
        <v>67</v>
      </c>
      <c r="G1850">
        <v>18</v>
      </c>
      <c r="H1850" t="s">
        <v>18</v>
      </c>
      <c r="I1850">
        <v>4</v>
      </c>
      <c r="J1850">
        <v>21.7</v>
      </c>
      <c r="K1850">
        <v>0</v>
      </c>
      <c r="L1850">
        <v>0</v>
      </c>
      <c r="M1850">
        <v>18</v>
      </c>
      <c r="N1850" t="s">
        <v>72</v>
      </c>
    </row>
    <row r="1851" spans="1:14" x14ac:dyDescent="0.35">
      <c r="A1851" t="s">
        <v>804</v>
      </c>
      <c r="B1851" t="s">
        <v>414</v>
      </c>
      <c r="C1851" t="s">
        <v>29</v>
      </c>
      <c r="D1851">
        <v>0</v>
      </c>
      <c r="E1851">
        <v>18</v>
      </c>
      <c r="F1851" t="s">
        <v>65</v>
      </c>
      <c r="G1851">
        <v>18</v>
      </c>
      <c r="H1851" t="s">
        <v>18</v>
      </c>
      <c r="I1851">
        <v>11</v>
      </c>
      <c r="J1851">
        <v>19.3</v>
      </c>
      <c r="K1851">
        <v>3</v>
      </c>
      <c r="L1851">
        <v>3</v>
      </c>
      <c r="M1851">
        <v>21</v>
      </c>
      <c r="N1851" t="s">
        <v>283</v>
      </c>
    </row>
    <row r="1852" spans="1:14" x14ac:dyDescent="0.35">
      <c r="A1852" t="s">
        <v>804</v>
      </c>
      <c r="B1852" t="s">
        <v>65</v>
      </c>
      <c r="C1852" t="s">
        <v>16</v>
      </c>
      <c r="D1852">
        <v>1</v>
      </c>
      <c r="E1852">
        <v>21</v>
      </c>
      <c r="F1852" t="s">
        <v>268</v>
      </c>
      <c r="G1852">
        <v>18</v>
      </c>
      <c r="H1852" t="s">
        <v>18</v>
      </c>
      <c r="I1852">
        <v>6</v>
      </c>
      <c r="J1852">
        <v>25.1</v>
      </c>
      <c r="K1852">
        <v>0</v>
      </c>
      <c r="L1852">
        <v>0</v>
      </c>
      <c r="M1852">
        <v>18</v>
      </c>
      <c r="N1852" t="s">
        <v>284</v>
      </c>
    </row>
    <row r="1853" spans="1:14" x14ac:dyDescent="0.35">
      <c r="A1853" t="s">
        <v>804</v>
      </c>
      <c r="B1853" t="s">
        <v>410</v>
      </c>
      <c r="C1853" t="s">
        <v>16</v>
      </c>
      <c r="D1853">
        <v>4</v>
      </c>
      <c r="E1853">
        <v>14</v>
      </c>
      <c r="F1853" t="s">
        <v>57</v>
      </c>
      <c r="G1853">
        <v>18</v>
      </c>
      <c r="H1853" t="s">
        <v>18</v>
      </c>
      <c r="I1853">
        <v>8</v>
      </c>
      <c r="J1853">
        <v>26.8</v>
      </c>
      <c r="K1853">
        <v>0</v>
      </c>
      <c r="L1853">
        <v>0</v>
      </c>
      <c r="M1853">
        <v>18</v>
      </c>
      <c r="N1853" t="s">
        <v>79</v>
      </c>
    </row>
    <row r="1854" spans="1:14" x14ac:dyDescent="0.35">
      <c r="A1854" t="s">
        <v>804</v>
      </c>
      <c r="B1854" t="s">
        <v>577</v>
      </c>
      <c r="C1854" t="s">
        <v>16</v>
      </c>
      <c r="D1854">
        <v>0</v>
      </c>
      <c r="E1854">
        <v>19</v>
      </c>
      <c r="F1854" t="s">
        <v>60</v>
      </c>
      <c r="G1854">
        <v>18</v>
      </c>
      <c r="H1854" t="s">
        <v>18</v>
      </c>
      <c r="I1854">
        <v>7</v>
      </c>
      <c r="J1854">
        <v>24.1</v>
      </c>
      <c r="K1854">
        <v>3</v>
      </c>
      <c r="L1854">
        <v>2</v>
      </c>
      <c r="M1854">
        <v>20</v>
      </c>
      <c r="N1854" t="s">
        <v>290</v>
      </c>
    </row>
    <row r="1855" spans="1:14" x14ac:dyDescent="0.35">
      <c r="A1855" t="s">
        <v>804</v>
      </c>
      <c r="B1855" t="s">
        <v>66</v>
      </c>
      <c r="C1855" t="s">
        <v>16</v>
      </c>
      <c r="D1855">
        <v>1</v>
      </c>
      <c r="E1855">
        <v>18</v>
      </c>
      <c r="F1855" t="s">
        <v>75</v>
      </c>
      <c r="G1855">
        <v>18</v>
      </c>
      <c r="H1855" t="s">
        <v>18</v>
      </c>
      <c r="I1855">
        <v>12</v>
      </c>
      <c r="J1855">
        <v>26.4</v>
      </c>
      <c r="K1855">
        <v>4</v>
      </c>
      <c r="L1855">
        <v>3</v>
      </c>
      <c r="M1855">
        <v>21</v>
      </c>
      <c r="N1855" t="s">
        <v>96</v>
      </c>
    </row>
    <row r="1856" spans="1:14" x14ac:dyDescent="0.35">
      <c r="A1856" t="s">
        <v>804</v>
      </c>
      <c r="B1856" t="s">
        <v>68</v>
      </c>
      <c r="C1856" t="s">
        <v>29</v>
      </c>
      <c r="D1856">
        <v>0</v>
      </c>
      <c r="E1856">
        <v>18</v>
      </c>
      <c r="F1856" t="s">
        <v>417</v>
      </c>
      <c r="G1856">
        <v>18</v>
      </c>
      <c r="H1856" t="s">
        <v>18</v>
      </c>
      <c r="I1856">
        <v>37</v>
      </c>
      <c r="J1856">
        <v>20.6</v>
      </c>
      <c r="K1856">
        <v>3</v>
      </c>
      <c r="L1856">
        <v>5</v>
      </c>
      <c r="M1856">
        <v>23</v>
      </c>
      <c r="N1856" t="s">
        <v>91</v>
      </c>
    </row>
    <row r="1857" spans="1:14" x14ac:dyDescent="0.35">
      <c r="A1857" t="s">
        <v>804</v>
      </c>
      <c r="B1857" t="s">
        <v>90</v>
      </c>
      <c r="C1857" t="s">
        <v>16</v>
      </c>
      <c r="D1857">
        <v>1</v>
      </c>
      <c r="E1857">
        <v>21</v>
      </c>
      <c r="F1857" t="s">
        <v>79</v>
      </c>
      <c r="G1857">
        <v>18</v>
      </c>
      <c r="H1857" t="s">
        <v>18</v>
      </c>
      <c r="I1857">
        <v>4</v>
      </c>
      <c r="J1857">
        <v>28.1</v>
      </c>
      <c r="K1857">
        <v>0</v>
      </c>
      <c r="L1857">
        <v>0</v>
      </c>
      <c r="M1857">
        <v>18</v>
      </c>
      <c r="N1857" t="s">
        <v>580</v>
      </c>
    </row>
    <row r="1858" spans="1:14" x14ac:dyDescent="0.35">
      <c r="A1858" t="s">
        <v>804</v>
      </c>
      <c r="B1858" t="s">
        <v>644</v>
      </c>
      <c r="C1858" t="s">
        <v>16</v>
      </c>
      <c r="D1858">
        <v>4</v>
      </c>
      <c r="E1858">
        <v>15</v>
      </c>
      <c r="F1858" t="s">
        <v>80</v>
      </c>
      <c r="G1858">
        <v>18</v>
      </c>
      <c r="H1858" t="s">
        <v>18</v>
      </c>
      <c r="I1858">
        <v>2</v>
      </c>
      <c r="J1858">
        <v>29.2</v>
      </c>
      <c r="K1858">
        <v>2</v>
      </c>
      <c r="L1858">
        <v>4</v>
      </c>
      <c r="M1858">
        <v>22</v>
      </c>
      <c r="N1858" t="s">
        <v>418</v>
      </c>
    </row>
    <row r="1859" spans="1:14" x14ac:dyDescent="0.35">
      <c r="A1859" t="s">
        <v>804</v>
      </c>
      <c r="B1859" t="s">
        <v>82</v>
      </c>
      <c r="C1859" t="s">
        <v>16</v>
      </c>
      <c r="D1859">
        <v>1</v>
      </c>
      <c r="E1859">
        <v>17</v>
      </c>
      <c r="F1859" t="s">
        <v>85</v>
      </c>
      <c r="G1859">
        <v>18</v>
      </c>
      <c r="H1859" t="s">
        <v>18</v>
      </c>
      <c r="I1859">
        <v>4</v>
      </c>
      <c r="J1859">
        <v>25.1</v>
      </c>
      <c r="K1859">
        <v>2</v>
      </c>
      <c r="L1859">
        <v>2</v>
      </c>
      <c r="M1859">
        <v>20</v>
      </c>
      <c r="N1859" t="s">
        <v>99</v>
      </c>
    </row>
    <row r="1860" spans="1:14" x14ac:dyDescent="0.35">
      <c r="A1860" t="s">
        <v>804</v>
      </c>
      <c r="B1860" t="s">
        <v>292</v>
      </c>
      <c r="C1860" t="s">
        <v>16</v>
      </c>
      <c r="D1860">
        <v>0</v>
      </c>
      <c r="E1860">
        <v>20</v>
      </c>
      <c r="F1860" t="s">
        <v>73</v>
      </c>
      <c r="G1860">
        <v>18</v>
      </c>
      <c r="H1860" t="s">
        <v>18</v>
      </c>
      <c r="I1860">
        <v>2</v>
      </c>
      <c r="J1860">
        <v>34.1</v>
      </c>
      <c r="K1860">
        <v>4</v>
      </c>
      <c r="L1860">
        <v>3</v>
      </c>
      <c r="M1860">
        <v>21</v>
      </c>
      <c r="N1860" t="s">
        <v>645</v>
      </c>
    </row>
    <row r="1861" spans="1:14" x14ac:dyDescent="0.35">
      <c r="A1861" t="s">
        <v>804</v>
      </c>
      <c r="B1861" t="s">
        <v>287</v>
      </c>
      <c r="C1861" t="s">
        <v>29</v>
      </c>
      <c r="D1861">
        <v>0</v>
      </c>
      <c r="E1861">
        <v>18</v>
      </c>
      <c r="F1861" t="s">
        <v>87</v>
      </c>
      <c r="G1861">
        <v>18</v>
      </c>
      <c r="H1861" t="s">
        <v>18</v>
      </c>
      <c r="I1861">
        <v>14</v>
      </c>
      <c r="J1861">
        <v>21.4</v>
      </c>
      <c r="K1861">
        <v>4</v>
      </c>
      <c r="L1861">
        <v>3</v>
      </c>
      <c r="M1861">
        <v>21</v>
      </c>
      <c r="N1861" t="s">
        <v>99</v>
      </c>
    </row>
    <row r="1862" spans="1:14" x14ac:dyDescent="0.35">
      <c r="A1862" t="s">
        <v>804</v>
      </c>
      <c r="B1862" t="s">
        <v>87</v>
      </c>
      <c r="C1862" t="s">
        <v>16</v>
      </c>
      <c r="D1862">
        <v>2</v>
      </c>
      <c r="E1862">
        <v>19</v>
      </c>
      <c r="F1862" t="s">
        <v>93</v>
      </c>
      <c r="G1862">
        <v>18</v>
      </c>
      <c r="H1862" t="s">
        <v>18</v>
      </c>
      <c r="I1862">
        <v>3</v>
      </c>
      <c r="J1862">
        <v>27.4</v>
      </c>
      <c r="K1862">
        <v>3</v>
      </c>
      <c r="L1862">
        <v>4</v>
      </c>
      <c r="M1862">
        <v>22</v>
      </c>
      <c r="N1862" t="s">
        <v>702</v>
      </c>
    </row>
    <row r="1863" spans="1:14" x14ac:dyDescent="0.35">
      <c r="A1863" t="s">
        <v>804</v>
      </c>
      <c r="B1863" t="s">
        <v>285</v>
      </c>
      <c r="C1863" t="s">
        <v>16</v>
      </c>
      <c r="D1863">
        <v>3</v>
      </c>
      <c r="E1863">
        <v>20</v>
      </c>
      <c r="F1863" t="s">
        <v>420</v>
      </c>
      <c r="G1863">
        <v>18</v>
      </c>
      <c r="H1863" t="s">
        <v>18</v>
      </c>
      <c r="I1863">
        <v>3</v>
      </c>
      <c r="J1863">
        <v>29</v>
      </c>
      <c r="K1863">
        <v>2</v>
      </c>
      <c r="L1863">
        <v>4</v>
      </c>
      <c r="M1863">
        <v>22</v>
      </c>
      <c r="N1863" t="s">
        <v>97</v>
      </c>
    </row>
    <row r="1864" spans="1:14" x14ac:dyDescent="0.35">
      <c r="A1864" t="s">
        <v>804</v>
      </c>
      <c r="B1864" t="s">
        <v>88</v>
      </c>
      <c r="C1864" t="s">
        <v>29</v>
      </c>
      <c r="D1864">
        <v>0</v>
      </c>
      <c r="E1864">
        <v>18</v>
      </c>
      <c r="F1864" t="s">
        <v>74</v>
      </c>
      <c r="G1864">
        <v>18</v>
      </c>
      <c r="H1864" t="s">
        <v>18</v>
      </c>
      <c r="I1864">
        <v>9</v>
      </c>
      <c r="J1864">
        <v>20.100000000000001</v>
      </c>
      <c r="K1864">
        <v>4</v>
      </c>
      <c r="L1864">
        <v>4</v>
      </c>
      <c r="M1864">
        <v>22</v>
      </c>
      <c r="N1864" t="s">
        <v>294</v>
      </c>
    </row>
    <row r="1865" spans="1:14" x14ac:dyDescent="0.35">
      <c r="A1865" t="s">
        <v>804</v>
      </c>
      <c r="B1865" t="s">
        <v>94</v>
      </c>
      <c r="C1865" t="s">
        <v>16</v>
      </c>
      <c r="D1865">
        <v>5</v>
      </c>
      <c r="E1865">
        <v>13</v>
      </c>
      <c r="F1865" t="s">
        <v>98</v>
      </c>
      <c r="G1865">
        <v>18</v>
      </c>
      <c r="H1865" t="s">
        <v>18</v>
      </c>
      <c r="I1865">
        <v>4</v>
      </c>
      <c r="J1865">
        <v>26.3</v>
      </c>
      <c r="K1865">
        <v>3</v>
      </c>
      <c r="L1865">
        <v>4</v>
      </c>
      <c r="M1865">
        <v>22</v>
      </c>
      <c r="N1865" t="s">
        <v>104</v>
      </c>
    </row>
    <row r="1866" spans="1:14" x14ac:dyDescent="0.35">
      <c r="A1866" t="s">
        <v>804</v>
      </c>
      <c r="B1866" t="s">
        <v>78</v>
      </c>
      <c r="C1866" t="s">
        <v>16</v>
      </c>
      <c r="D1866">
        <v>0</v>
      </c>
      <c r="E1866">
        <v>18</v>
      </c>
      <c r="F1866" t="s">
        <v>291</v>
      </c>
      <c r="G1866">
        <v>18</v>
      </c>
      <c r="H1866" t="s">
        <v>18</v>
      </c>
      <c r="I1866">
        <v>9</v>
      </c>
      <c r="J1866">
        <v>24.2</v>
      </c>
      <c r="K1866">
        <v>3</v>
      </c>
      <c r="L1866">
        <v>3</v>
      </c>
      <c r="M1866">
        <v>21</v>
      </c>
      <c r="N1866" t="s">
        <v>423</v>
      </c>
    </row>
    <row r="1867" spans="1:14" x14ac:dyDescent="0.35">
      <c r="A1867" t="s">
        <v>804</v>
      </c>
      <c r="B1867" t="s">
        <v>84</v>
      </c>
      <c r="C1867" t="s">
        <v>16</v>
      </c>
      <c r="D1867">
        <v>0</v>
      </c>
      <c r="E1867">
        <v>18</v>
      </c>
      <c r="F1867" t="s">
        <v>579</v>
      </c>
      <c r="G1867">
        <v>18</v>
      </c>
      <c r="H1867" t="s">
        <v>18</v>
      </c>
      <c r="I1867">
        <v>10</v>
      </c>
      <c r="J1867">
        <v>25.7</v>
      </c>
      <c r="K1867">
        <v>3</v>
      </c>
      <c r="L1867">
        <v>2</v>
      </c>
      <c r="M1867">
        <v>20</v>
      </c>
      <c r="N1867" t="s">
        <v>514</v>
      </c>
    </row>
    <row r="1868" spans="1:14" x14ac:dyDescent="0.35">
      <c r="A1868" t="s">
        <v>804</v>
      </c>
      <c r="B1868" t="s">
        <v>97</v>
      </c>
      <c r="C1868" t="s">
        <v>16</v>
      </c>
      <c r="D1868">
        <v>0</v>
      </c>
      <c r="E1868">
        <v>18</v>
      </c>
      <c r="F1868" t="s">
        <v>510</v>
      </c>
      <c r="G1868">
        <v>18</v>
      </c>
      <c r="H1868" t="s">
        <v>18</v>
      </c>
      <c r="I1868">
        <v>21</v>
      </c>
      <c r="J1868">
        <v>29.6</v>
      </c>
      <c r="K1868">
        <v>1</v>
      </c>
      <c r="L1868">
        <v>2</v>
      </c>
      <c r="M1868">
        <v>20</v>
      </c>
      <c r="N1868" t="s">
        <v>307</v>
      </c>
    </row>
    <row r="1869" spans="1:14" x14ac:dyDescent="0.35">
      <c r="A1869" t="s">
        <v>804</v>
      </c>
      <c r="B1869" t="s">
        <v>98</v>
      </c>
      <c r="C1869" t="s">
        <v>29</v>
      </c>
      <c r="D1869">
        <v>0</v>
      </c>
      <c r="E1869">
        <v>18</v>
      </c>
      <c r="F1869" t="s">
        <v>746</v>
      </c>
      <c r="G1869">
        <v>18</v>
      </c>
      <c r="H1869" t="s">
        <v>18</v>
      </c>
      <c r="I1869">
        <v>65</v>
      </c>
      <c r="J1869">
        <v>19.5</v>
      </c>
      <c r="K1869">
        <v>3</v>
      </c>
      <c r="L1869">
        <v>3</v>
      </c>
      <c r="M1869">
        <v>21</v>
      </c>
      <c r="N1869" t="s">
        <v>758</v>
      </c>
    </row>
    <row r="1870" spans="1:14" x14ac:dyDescent="0.35">
      <c r="A1870" t="s">
        <v>804</v>
      </c>
      <c r="B1870" t="s">
        <v>514</v>
      </c>
      <c r="C1870" t="s">
        <v>16</v>
      </c>
      <c r="D1870">
        <v>0</v>
      </c>
      <c r="E1870">
        <v>18</v>
      </c>
      <c r="F1870" t="s">
        <v>683</v>
      </c>
      <c r="G1870">
        <v>18</v>
      </c>
      <c r="H1870" t="s">
        <v>18</v>
      </c>
      <c r="I1870">
        <v>25</v>
      </c>
      <c r="J1870">
        <v>30.3</v>
      </c>
      <c r="K1870">
        <v>0</v>
      </c>
      <c r="L1870">
        <v>0</v>
      </c>
      <c r="M1870">
        <v>18</v>
      </c>
      <c r="N1870" t="s">
        <v>308</v>
      </c>
    </row>
    <row r="1871" spans="1:14" x14ac:dyDescent="0.35">
      <c r="A1871" t="s">
        <v>804</v>
      </c>
      <c r="B1871" t="s">
        <v>798</v>
      </c>
      <c r="C1871" t="s">
        <v>16</v>
      </c>
      <c r="D1871">
        <v>0</v>
      </c>
      <c r="E1871">
        <v>18</v>
      </c>
      <c r="F1871" t="s">
        <v>736</v>
      </c>
      <c r="G1871">
        <v>18</v>
      </c>
      <c r="H1871" t="s">
        <v>18</v>
      </c>
      <c r="I1871">
        <v>27</v>
      </c>
      <c r="J1871">
        <v>28.5</v>
      </c>
      <c r="K1871">
        <v>0</v>
      </c>
      <c r="L1871">
        <v>0</v>
      </c>
      <c r="M1871">
        <v>18</v>
      </c>
      <c r="N1871" t="s">
        <v>433</v>
      </c>
    </row>
    <row r="1872" spans="1:14" x14ac:dyDescent="0.35">
      <c r="A1872" t="s">
        <v>804</v>
      </c>
      <c r="B1872" t="s">
        <v>427</v>
      </c>
      <c r="C1872" t="s">
        <v>16</v>
      </c>
      <c r="D1872">
        <v>0</v>
      </c>
      <c r="E1872">
        <v>19</v>
      </c>
      <c r="F1872" t="s">
        <v>653</v>
      </c>
      <c r="G1872">
        <v>18</v>
      </c>
      <c r="H1872" t="s">
        <v>18</v>
      </c>
      <c r="I1872">
        <v>17</v>
      </c>
      <c r="J1872">
        <v>28.2</v>
      </c>
      <c r="K1872">
        <v>3</v>
      </c>
      <c r="L1872">
        <v>0</v>
      </c>
      <c r="M1872">
        <v>18</v>
      </c>
      <c r="N1872" t="s">
        <v>137</v>
      </c>
    </row>
    <row r="1873" spans="1:14" x14ac:dyDescent="0.35">
      <c r="A1873" t="s">
        <v>804</v>
      </c>
      <c r="B1873" t="s">
        <v>649</v>
      </c>
      <c r="C1873" t="s">
        <v>29</v>
      </c>
      <c r="D1873">
        <v>0</v>
      </c>
      <c r="E1873">
        <v>18</v>
      </c>
      <c r="F1873" t="s">
        <v>314</v>
      </c>
      <c r="G1873">
        <v>18</v>
      </c>
      <c r="H1873" t="s">
        <v>18</v>
      </c>
      <c r="I1873">
        <v>77</v>
      </c>
      <c r="J1873">
        <v>19</v>
      </c>
      <c r="K1873">
        <v>0</v>
      </c>
      <c r="L1873">
        <v>0</v>
      </c>
      <c r="M1873">
        <v>18</v>
      </c>
      <c r="N1873" t="s">
        <v>525</v>
      </c>
    </row>
    <row r="1874" spans="1:14" x14ac:dyDescent="0.35">
      <c r="A1874" t="s">
        <v>804</v>
      </c>
      <c r="B1874" t="s">
        <v>311</v>
      </c>
      <c r="C1874" t="s">
        <v>16</v>
      </c>
      <c r="D1874">
        <v>1</v>
      </c>
      <c r="E1874">
        <v>17</v>
      </c>
      <c r="F1874" t="s">
        <v>654</v>
      </c>
      <c r="G1874">
        <v>18</v>
      </c>
      <c r="H1874" t="s">
        <v>18</v>
      </c>
      <c r="I1874">
        <v>24</v>
      </c>
      <c r="J1874">
        <v>28.5</v>
      </c>
      <c r="K1874">
        <v>1</v>
      </c>
      <c r="L1874">
        <v>1</v>
      </c>
      <c r="M1874">
        <v>19</v>
      </c>
      <c r="N1874" t="s">
        <v>147</v>
      </c>
    </row>
    <row r="1875" spans="1:14" x14ac:dyDescent="0.35">
      <c r="A1875" t="s">
        <v>804</v>
      </c>
      <c r="B1875" t="s">
        <v>124</v>
      </c>
      <c r="C1875" t="s">
        <v>16</v>
      </c>
      <c r="D1875">
        <v>0</v>
      </c>
      <c r="E1875">
        <v>20</v>
      </c>
      <c r="F1875" t="s">
        <v>435</v>
      </c>
      <c r="G1875">
        <v>18</v>
      </c>
      <c r="H1875" t="s">
        <v>18</v>
      </c>
      <c r="I1875">
        <v>4</v>
      </c>
      <c r="J1875">
        <v>27.8</v>
      </c>
      <c r="K1875">
        <v>2</v>
      </c>
      <c r="L1875">
        <v>2</v>
      </c>
      <c r="M1875">
        <v>20</v>
      </c>
      <c r="N1875" t="s">
        <v>127</v>
      </c>
    </row>
    <row r="1876" spans="1:14" x14ac:dyDescent="0.35">
      <c r="A1876" t="s">
        <v>804</v>
      </c>
      <c r="B1876" t="s">
        <v>436</v>
      </c>
      <c r="C1876" t="s">
        <v>16</v>
      </c>
      <c r="D1876">
        <v>2</v>
      </c>
      <c r="E1876">
        <v>17</v>
      </c>
      <c r="F1876" t="s">
        <v>132</v>
      </c>
      <c r="G1876">
        <v>18</v>
      </c>
      <c r="H1876" t="s">
        <v>18</v>
      </c>
      <c r="I1876">
        <v>4</v>
      </c>
      <c r="J1876">
        <v>28.9</v>
      </c>
      <c r="K1876">
        <v>2</v>
      </c>
      <c r="L1876">
        <v>6</v>
      </c>
      <c r="M1876">
        <v>24</v>
      </c>
      <c r="N1876" t="s">
        <v>437</v>
      </c>
    </row>
    <row r="1877" spans="1:14" x14ac:dyDescent="0.35">
      <c r="A1877" t="s">
        <v>804</v>
      </c>
      <c r="B1877" t="s">
        <v>134</v>
      </c>
      <c r="C1877" t="s">
        <v>16</v>
      </c>
      <c r="D1877">
        <v>1</v>
      </c>
      <c r="E1877">
        <v>17</v>
      </c>
      <c r="F1877" t="s">
        <v>525</v>
      </c>
      <c r="G1877">
        <v>18</v>
      </c>
      <c r="H1877" t="s">
        <v>18</v>
      </c>
      <c r="I1877">
        <v>3</v>
      </c>
      <c r="J1877">
        <v>26.7</v>
      </c>
      <c r="K1877">
        <v>3</v>
      </c>
      <c r="L1877">
        <v>3</v>
      </c>
      <c r="M1877">
        <v>21</v>
      </c>
      <c r="N1877" t="s">
        <v>589</v>
      </c>
    </row>
    <row r="1878" spans="1:14" x14ac:dyDescent="0.35">
      <c r="A1878" t="s">
        <v>804</v>
      </c>
      <c r="B1878" t="s">
        <v>585</v>
      </c>
      <c r="C1878" t="s">
        <v>29</v>
      </c>
      <c r="D1878">
        <v>0</v>
      </c>
      <c r="E1878">
        <v>20</v>
      </c>
      <c r="F1878" t="s">
        <v>139</v>
      </c>
      <c r="G1878">
        <v>18</v>
      </c>
      <c r="H1878" t="s">
        <v>18</v>
      </c>
      <c r="I1878">
        <v>20</v>
      </c>
      <c r="J1878">
        <v>21.4</v>
      </c>
      <c r="K1878">
        <v>3</v>
      </c>
      <c r="L1878">
        <v>4</v>
      </c>
      <c r="M1878">
        <v>22</v>
      </c>
      <c r="N1878" t="s">
        <v>437</v>
      </c>
    </row>
    <row r="1879" spans="1:14" x14ac:dyDescent="0.35">
      <c r="A1879" t="s">
        <v>804</v>
      </c>
      <c r="B1879" t="s">
        <v>135</v>
      </c>
      <c r="C1879" t="s">
        <v>16</v>
      </c>
      <c r="D1879">
        <v>0</v>
      </c>
      <c r="E1879">
        <v>18</v>
      </c>
      <c r="F1879" t="s">
        <v>439</v>
      </c>
      <c r="G1879">
        <v>18</v>
      </c>
      <c r="H1879" t="s">
        <v>18</v>
      </c>
      <c r="I1879">
        <v>5</v>
      </c>
      <c r="J1879">
        <v>27.2</v>
      </c>
      <c r="K1879">
        <v>3</v>
      </c>
      <c r="L1879">
        <v>2</v>
      </c>
      <c r="M1879">
        <v>20</v>
      </c>
      <c r="N1879" t="s">
        <v>442</v>
      </c>
    </row>
    <row r="1880" spans="1:14" x14ac:dyDescent="0.35">
      <c r="A1880" t="s">
        <v>804</v>
      </c>
      <c r="B1880" t="s">
        <v>122</v>
      </c>
      <c r="C1880" t="s">
        <v>16</v>
      </c>
      <c r="D1880">
        <v>0</v>
      </c>
      <c r="E1880">
        <v>20</v>
      </c>
      <c r="F1880" t="s">
        <v>522</v>
      </c>
      <c r="G1880">
        <v>18</v>
      </c>
      <c r="H1880" t="s">
        <v>18</v>
      </c>
      <c r="I1880">
        <v>4</v>
      </c>
      <c r="J1880">
        <v>24.2</v>
      </c>
      <c r="K1880">
        <v>0</v>
      </c>
      <c r="L1880">
        <v>0</v>
      </c>
      <c r="M1880">
        <v>18</v>
      </c>
      <c r="N1880" t="s">
        <v>326</v>
      </c>
    </row>
    <row r="1881" spans="1:14" x14ac:dyDescent="0.35">
      <c r="A1881" t="s">
        <v>804</v>
      </c>
      <c r="B1881" t="s">
        <v>141</v>
      </c>
      <c r="C1881" t="s">
        <v>29</v>
      </c>
      <c r="D1881">
        <v>2</v>
      </c>
      <c r="E1881">
        <v>16</v>
      </c>
      <c r="F1881" t="s">
        <v>522</v>
      </c>
      <c r="G1881">
        <v>18</v>
      </c>
      <c r="H1881" t="s">
        <v>18</v>
      </c>
      <c r="I1881">
        <v>7</v>
      </c>
      <c r="J1881">
        <v>28.8</v>
      </c>
      <c r="K1881">
        <v>1</v>
      </c>
      <c r="L1881">
        <v>3</v>
      </c>
      <c r="M1881">
        <v>21</v>
      </c>
      <c r="N1881" t="s">
        <v>527</v>
      </c>
    </row>
    <row r="1882" spans="1:14" x14ac:dyDescent="0.35">
      <c r="A1882" t="s">
        <v>804</v>
      </c>
      <c r="B1882" t="s">
        <v>145</v>
      </c>
      <c r="C1882" t="s">
        <v>16</v>
      </c>
      <c r="D1882">
        <v>2</v>
      </c>
      <c r="E1882">
        <v>18</v>
      </c>
      <c r="F1882" t="s">
        <v>155</v>
      </c>
      <c r="G1882">
        <v>18</v>
      </c>
      <c r="H1882" t="s">
        <v>18</v>
      </c>
      <c r="I1882">
        <v>2</v>
      </c>
      <c r="J1882">
        <v>27.4</v>
      </c>
      <c r="K1882">
        <v>0</v>
      </c>
      <c r="L1882">
        <v>0</v>
      </c>
      <c r="M1882">
        <v>18</v>
      </c>
      <c r="N1882" t="s">
        <v>146</v>
      </c>
    </row>
    <row r="1883" spans="1:14" x14ac:dyDescent="0.35">
      <c r="A1883" t="s">
        <v>804</v>
      </c>
      <c r="B1883" t="s">
        <v>524</v>
      </c>
      <c r="C1883" t="s">
        <v>16</v>
      </c>
      <c r="D1883">
        <v>2</v>
      </c>
      <c r="E1883">
        <v>16</v>
      </c>
      <c r="F1883" t="s">
        <v>151</v>
      </c>
      <c r="G1883">
        <v>18</v>
      </c>
      <c r="H1883" t="s">
        <v>18</v>
      </c>
      <c r="I1883">
        <v>5</v>
      </c>
      <c r="J1883">
        <v>28.8</v>
      </c>
      <c r="K1883">
        <v>1</v>
      </c>
      <c r="L1883">
        <v>1</v>
      </c>
      <c r="M1883">
        <v>19</v>
      </c>
      <c r="N1883" t="s">
        <v>328</v>
      </c>
    </row>
    <row r="1884" spans="1:14" x14ac:dyDescent="0.35">
      <c r="A1884" t="s">
        <v>804</v>
      </c>
      <c r="B1884" t="s">
        <v>588</v>
      </c>
      <c r="C1884" t="s">
        <v>16</v>
      </c>
      <c r="D1884">
        <v>0</v>
      </c>
      <c r="E1884">
        <v>18</v>
      </c>
      <c r="F1884" t="s">
        <v>623</v>
      </c>
      <c r="G1884">
        <v>18</v>
      </c>
      <c r="H1884" t="s">
        <v>18</v>
      </c>
      <c r="I1884">
        <v>7</v>
      </c>
      <c r="J1884">
        <v>29.1</v>
      </c>
      <c r="K1884">
        <v>2</v>
      </c>
      <c r="L1884">
        <v>2</v>
      </c>
      <c r="M1884">
        <v>20</v>
      </c>
      <c r="N1884" t="s">
        <v>165</v>
      </c>
    </row>
    <row r="1885" spans="1:14" x14ac:dyDescent="0.35">
      <c r="A1885" t="s">
        <v>804</v>
      </c>
      <c r="B1885" t="s">
        <v>145</v>
      </c>
      <c r="C1885" t="s">
        <v>29</v>
      </c>
      <c r="D1885">
        <v>0</v>
      </c>
      <c r="E1885">
        <v>18</v>
      </c>
      <c r="F1885" t="s">
        <v>440</v>
      </c>
      <c r="G1885">
        <v>18</v>
      </c>
      <c r="H1885" t="s">
        <v>18</v>
      </c>
      <c r="I1885">
        <v>24</v>
      </c>
      <c r="J1885">
        <v>19.100000000000001</v>
      </c>
      <c r="K1885">
        <v>1</v>
      </c>
      <c r="L1885">
        <v>2</v>
      </c>
      <c r="M1885">
        <v>20</v>
      </c>
      <c r="N1885" t="s">
        <v>331</v>
      </c>
    </row>
    <row r="1886" spans="1:14" x14ac:dyDescent="0.35">
      <c r="A1886" t="s">
        <v>804</v>
      </c>
      <c r="B1886" t="s">
        <v>656</v>
      </c>
      <c r="C1886" t="s">
        <v>16</v>
      </c>
      <c r="D1886">
        <v>0</v>
      </c>
      <c r="E1886">
        <v>18</v>
      </c>
      <c r="F1886" t="s">
        <v>143</v>
      </c>
      <c r="G1886">
        <v>18</v>
      </c>
      <c r="H1886" t="s">
        <v>18</v>
      </c>
      <c r="I1886">
        <v>14</v>
      </c>
      <c r="J1886">
        <v>30</v>
      </c>
      <c r="K1886">
        <v>4</v>
      </c>
      <c r="L1886">
        <v>2</v>
      </c>
      <c r="M1886">
        <v>20</v>
      </c>
      <c r="N1886" t="s">
        <v>154</v>
      </c>
    </row>
    <row r="1887" spans="1:14" x14ac:dyDescent="0.35">
      <c r="A1887" t="s">
        <v>804</v>
      </c>
      <c r="B1887" t="s">
        <v>657</v>
      </c>
      <c r="C1887" t="s">
        <v>16</v>
      </c>
      <c r="D1887">
        <v>0</v>
      </c>
      <c r="E1887">
        <v>21</v>
      </c>
      <c r="F1887" t="s">
        <v>441</v>
      </c>
      <c r="G1887">
        <v>18</v>
      </c>
      <c r="H1887" t="s">
        <v>18</v>
      </c>
      <c r="I1887">
        <v>7</v>
      </c>
      <c r="J1887">
        <v>30.2</v>
      </c>
      <c r="K1887">
        <v>4</v>
      </c>
      <c r="L1887">
        <v>2</v>
      </c>
      <c r="M1887">
        <v>20</v>
      </c>
      <c r="N1887" t="s">
        <v>330</v>
      </c>
    </row>
    <row r="1888" spans="1:14" x14ac:dyDescent="0.35">
      <c r="A1888" t="s">
        <v>804</v>
      </c>
      <c r="B1888" t="s">
        <v>140</v>
      </c>
      <c r="C1888" t="s">
        <v>29</v>
      </c>
      <c r="D1888">
        <v>0</v>
      </c>
      <c r="E1888">
        <v>7</v>
      </c>
      <c r="F1888" t="s">
        <v>160</v>
      </c>
      <c r="G1888">
        <v>7</v>
      </c>
      <c r="H1888" t="s">
        <v>157</v>
      </c>
      <c r="I1888">
        <v>15</v>
      </c>
      <c r="J1888">
        <v>23.5</v>
      </c>
      <c r="K1888">
        <v>0</v>
      </c>
      <c r="L1888">
        <v>0</v>
      </c>
      <c r="M1888">
        <v>7</v>
      </c>
      <c r="N1888" t="s">
        <v>178</v>
      </c>
    </row>
    <row r="1889" spans="1:14" x14ac:dyDescent="0.35">
      <c r="A1889" t="s">
        <v>804</v>
      </c>
      <c r="B1889" t="s">
        <v>160</v>
      </c>
      <c r="C1889" t="s">
        <v>16</v>
      </c>
      <c r="D1889">
        <v>3</v>
      </c>
      <c r="E1889">
        <v>18</v>
      </c>
      <c r="F1889" t="s">
        <v>331</v>
      </c>
      <c r="G1889">
        <v>18</v>
      </c>
      <c r="H1889" t="s">
        <v>18</v>
      </c>
      <c r="I1889">
        <v>3</v>
      </c>
      <c r="J1889">
        <v>30.2</v>
      </c>
      <c r="K1889">
        <v>1</v>
      </c>
      <c r="L1889">
        <v>3</v>
      </c>
      <c r="M1889">
        <v>21</v>
      </c>
      <c r="N1889" t="s">
        <v>446</v>
      </c>
    </row>
    <row r="1890" spans="1:14" x14ac:dyDescent="0.35">
      <c r="A1890" t="s">
        <v>804</v>
      </c>
      <c r="B1890" t="s">
        <v>163</v>
      </c>
      <c r="C1890" t="s">
        <v>16</v>
      </c>
      <c r="D1890">
        <v>3</v>
      </c>
      <c r="E1890">
        <v>15</v>
      </c>
      <c r="F1890" t="s">
        <v>332</v>
      </c>
      <c r="G1890">
        <v>18</v>
      </c>
      <c r="H1890" t="s">
        <v>18</v>
      </c>
      <c r="I1890">
        <v>3</v>
      </c>
      <c r="J1890">
        <v>25.2</v>
      </c>
      <c r="K1890">
        <v>0</v>
      </c>
      <c r="L1890">
        <v>0</v>
      </c>
      <c r="M1890">
        <v>18</v>
      </c>
      <c r="N1890" t="s">
        <v>183</v>
      </c>
    </row>
    <row r="1891" spans="1:14" x14ac:dyDescent="0.35">
      <c r="A1891" t="s">
        <v>804</v>
      </c>
      <c r="B1891" t="s">
        <v>166</v>
      </c>
      <c r="C1891" t="s">
        <v>16</v>
      </c>
      <c r="D1891">
        <v>0</v>
      </c>
      <c r="E1891">
        <v>21</v>
      </c>
      <c r="F1891" t="s">
        <v>448</v>
      </c>
      <c r="G1891">
        <v>18</v>
      </c>
      <c r="H1891" t="s">
        <v>18</v>
      </c>
      <c r="I1891">
        <v>4</v>
      </c>
      <c r="J1891">
        <v>25.4</v>
      </c>
      <c r="K1891">
        <v>1</v>
      </c>
      <c r="L1891">
        <v>3</v>
      </c>
      <c r="M1891">
        <v>21</v>
      </c>
      <c r="N1891" t="s">
        <v>186</v>
      </c>
    </row>
    <row r="1892" spans="1:14" x14ac:dyDescent="0.35">
      <c r="A1892" t="s">
        <v>804</v>
      </c>
      <c r="B1892" t="s">
        <v>162</v>
      </c>
      <c r="C1892" t="s">
        <v>29</v>
      </c>
      <c r="D1892">
        <v>0</v>
      </c>
      <c r="E1892">
        <v>18</v>
      </c>
      <c r="F1892" t="s">
        <v>590</v>
      </c>
      <c r="G1892">
        <v>18</v>
      </c>
      <c r="H1892" t="s">
        <v>18</v>
      </c>
      <c r="I1892">
        <v>12</v>
      </c>
      <c r="J1892">
        <v>27.4</v>
      </c>
      <c r="K1892">
        <v>1</v>
      </c>
      <c r="L1892">
        <v>4</v>
      </c>
      <c r="M1892">
        <v>22</v>
      </c>
      <c r="N1892" t="s">
        <v>343</v>
      </c>
    </row>
    <row r="1893" spans="1:14" x14ac:dyDescent="0.35">
      <c r="A1893" t="s">
        <v>804</v>
      </c>
      <c r="B1893" t="s">
        <v>590</v>
      </c>
      <c r="C1893" t="s">
        <v>16</v>
      </c>
      <c r="D1893">
        <v>3</v>
      </c>
      <c r="E1893">
        <v>16</v>
      </c>
      <c r="F1893" t="s">
        <v>158</v>
      </c>
      <c r="G1893">
        <v>18</v>
      </c>
      <c r="H1893" t="s">
        <v>18</v>
      </c>
      <c r="I1893">
        <v>4</v>
      </c>
      <c r="J1893">
        <v>32.4</v>
      </c>
      <c r="K1893">
        <v>0</v>
      </c>
      <c r="L1893">
        <v>0</v>
      </c>
      <c r="M1893">
        <v>18</v>
      </c>
      <c r="N1893" t="s">
        <v>338</v>
      </c>
    </row>
    <row r="1894" spans="1:14" x14ac:dyDescent="0.35">
      <c r="A1894" t="s">
        <v>804</v>
      </c>
      <c r="B1894" t="s">
        <v>169</v>
      </c>
      <c r="C1894" t="s">
        <v>29</v>
      </c>
      <c r="D1894">
        <v>0</v>
      </c>
      <c r="E1894">
        <v>18</v>
      </c>
      <c r="F1894" t="s">
        <v>154</v>
      </c>
      <c r="G1894">
        <v>18</v>
      </c>
      <c r="H1894" t="s">
        <v>18</v>
      </c>
      <c r="I1894">
        <v>7</v>
      </c>
      <c r="J1894">
        <v>22.2</v>
      </c>
      <c r="K1894">
        <v>2</v>
      </c>
      <c r="L1894">
        <v>2</v>
      </c>
      <c r="M1894">
        <v>20</v>
      </c>
      <c r="N1894" t="s">
        <v>451</v>
      </c>
    </row>
    <row r="1895" spans="1:14" x14ac:dyDescent="0.35">
      <c r="A1895" t="s">
        <v>804</v>
      </c>
      <c r="B1895" t="s">
        <v>175</v>
      </c>
      <c r="C1895" t="s">
        <v>16</v>
      </c>
      <c r="D1895">
        <v>1</v>
      </c>
      <c r="E1895">
        <v>24</v>
      </c>
      <c r="F1895" t="s">
        <v>178</v>
      </c>
      <c r="G1895">
        <v>18</v>
      </c>
      <c r="H1895" t="s">
        <v>18</v>
      </c>
      <c r="I1895">
        <v>5</v>
      </c>
      <c r="J1895">
        <v>27.1</v>
      </c>
      <c r="K1895">
        <v>1</v>
      </c>
      <c r="L1895">
        <v>3</v>
      </c>
      <c r="M1895">
        <v>21</v>
      </c>
      <c r="N1895" t="s">
        <v>531</v>
      </c>
    </row>
    <row r="1896" spans="1:14" x14ac:dyDescent="0.35">
      <c r="A1896" t="s">
        <v>804</v>
      </c>
      <c r="B1896" t="s">
        <v>339</v>
      </c>
      <c r="C1896" t="s">
        <v>16</v>
      </c>
      <c r="D1896">
        <v>7</v>
      </c>
      <c r="E1896">
        <v>12</v>
      </c>
      <c r="F1896" t="s">
        <v>445</v>
      </c>
      <c r="G1896">
        <v>18</v>
      </c>
      <c r="H1896" t="s">
        <v>18</v>
      </c>
      <c r="I1896">
        <v>4</v>
      </c>
      <c r="J1896">
        <v>29.5</v>
      </c>
      <c r="K1896">
        <v>0</v>
      </c>
      <c r="L1896">
        <v>0</v>
      </c>
      <c r="M1896">
        <v>18</v>
      </c>
      <c r="N1896" t="s">
        <v>190</v>
      </c>
    </row>
    <row r="1897" spans="1:14" x14ac:dyDescent="0.35">
      <c r="A1897" t="s">
        <v>804</v>
      </c>
      <c r="B1897" t="s">
        <v>176</v>
      </c>
      <c r="C1897" t="s">
        <v>29</v>
      </c>
      <c r="D1897">
        <v>0</v>
      </c>
      <c r="E1897">
        <v>9</v>
      </c>
      <c r="F1897" t="s">
        <v>186</v>
      </c>
      <c r="G1897">
        <v>9</v>
      </c>
      <c r="H1897" t="s">
        <v>157</v>
      </c>
      <c r="I1897">
        <v>15</v>
      </c>
      <c r="J1897">
        <v>26.6</v>
      </c>
      <c r="K1897">
        <v>3</v>
      </c>
      <c r="L1897">
        <v>2</v>
      </c>
      <c r="M1897">
        <v>11</v>
      </c>
      <c r="N1897" t="s">
        <v>453</v>
      </c>
    </row>
    <row r="1898" spans="1:14" x14ac:dyDescent="0.35">
      <c r="A1898" t="s">
        <v>804</v>
      </c>
      <c r="B1898" t="s">
        <v>330</v>
      </c>
      <c r="C1898" t="s">
        <v>16</v>
      </c>
      <c r="D1898">
        <v>1</v>
      </c>
      <c r="E1898">
        <v>18</v>
      </c>
      <c r="F1898" t="s">
        <v>451</v>
      </c>
      <c r="G1898">
        <v>18</v>
      </c>
      <c r="H1898" t="s">
        <v>18</v>
      </c>
      <c r="I1898">
        <v>14</v>
      </c>
      <c r="J1898">
        <v>25.4</v>
      </c>
      <c r="K1898">
        <v>1</v>
      </c>
      <c r="L1898">
        <v>2</v>
      </c>
      <c r="M1898">
        <v>20</v>
      </c>
      <c r="N1898" t="s">
        <v>341</v>
      </c>
    </row>
    <row r="1899" spans="1:14" x14ac:dyDescent="0.35">
      <c r="A1899" t="s">
        <v>804</v>
      </c>
      <c r="B1899" t="s">
        <v>189</v>
      </c>
      <c r="C1899" t="s">
        <v>16</v>
      </c>
      <c r="D1899">
        <v>1</v>
      </c>
      <c r="E1899">
        <v>17</v>
      </c>
      <c r="F1899" t="s">
        <v>534</v>
      </c>
      <c r="G1899">
        <v>18</v>
      </c>
      <c r="H1899" t="s">
        <v>18</v>
      </c>
      <c r="I1899">
        <v>9</v>
      </c>
      <c r="J1899">
        <v>26.1</v>
      </c>
      <c r="K1899">
        <v>4</v>
      </c>
      <c r="L1899">
        <v>6</v>
      </c>
      <c r="M1899">
        <v>24</v>
      </c>
      <c r="N1899" t="s">
        <v>188</v>
      </c>
    </row>
    <row r="1900" spans="1:14" x14ac:dyDescent="0.35">
      <c r="A1900" t="s">
        <v>804</v>
      </c>
      <c r="B1900" t="s">
        <v>340</v>
      </c>
      <c r="C1900" t="s">
        <v>29</v>
      </c>
      <c r="D1900">
        <v>0</v>
      </c>
      <c r="E1900">
        <v>4</v>
      </c>
      <c r="F1900" t="s">
        <v>534</v>
      </c>
      <c r="G1900">
        <v>4</v>
      </c>
      <c r="H1900" t="s">
        <v>157</v>
      </c>
      <c r="I1900">
        <v>15</v>
      </c>
      <c r="J1900">
        <v>22</v>
      </c>
      <c r="K1900">
        <v>0</v>
      </c>
      <c r="L1900">
        <v>0</v>
      </c>
      <c r="M1900">
        <v>4</v>
      </c>
      <c r="N1900" t="s">
        <v>194</v>
      </c>
    </row>
    <row r="1901" spans="1:14" x14ac:dyDescent="0.35">
      <c r="A1901" t="s">
        <v>804</v>
      </c>
      <c r="B1901" t="s">
        <v>447</v>
      </c>
      <c r="C1901" t="s">
        <v>16</v>
      </c>
      <c r="D1901">
        <v>0</v>
      </c>
      <c r="E1901">
        <v>11</v>
      </c>
      <c r="F1901" t="s">
        <v>185</v>
      </c>
      <c r="G1901">
        <v>11</v>
      </c>
      <c r="H1901" t="s">
        <v>157</v>
      </c>
      <c r="I1901">
        <v>15</v>
      </c>
      <c r="J1901">
        <v>26.2</v>
      </c>
      <c r="K1901">
        <v>3</v>
      </c>
      <c r="L1901">
        <v>1</v>
      </c>
      <c r="M1901">
        <v>12</v>
      </c>
      <c r="N1901" t="s">
        <v>456</v>
      </c>
    </row>
    <row r="1902" spans="1:14" x14ac:dyDescent="0.35">
      <c r="A1902" t="s">
        <v>804</v>
      </c>
      <c r="B1902" t="s">
        <v>687</v>
      </c>
      <c r="C1902" t="s">
        <v>29</v>
      </c>
      <c r="D1902">
        <v>0</v>
      </c>
      <c r="E1902">
        <v>2</v>
      </c>
      <c r="F1902" t="s">
        <v>342</v>
      </c>
      <c r="G1902">
        <v>2</v>
      </c>
      <c r="H1902" t="s">
        <v>157</v>
      </c>
      <c r="I1902">
        <v>15</v>
      </c>
      <c r="J1902">
        <v>27.7</v>
      </c>
      <c r="K1902">
        <v>1</v>
      </c>
      <c r="L1902">
        <v>0</v>
      </c>
      <c r="M1902">
        <v>2</v>
      </c>
      <c r="N1902" t="s">
        <v>199</v>
      </c>
    </row>
    <row r="1903" spans="1:14" x14ac:dyDescent="0.35">
      <c r="A1903" t="s">
        <v>804</v>
      </c>
      <c r="B1903" t="s">
        <v>455</v>
      </c>
      <c r="C1903" t="s">
        <v>16</v>
      </c>
      <c r="D1903">
        <v>0</v>
      </c>
      <c r="E1903">
        <v>16</v>
      </c>
      <c r="F1903" t="s">
        <v>535</v>
      </c>
      <c r="G1903">
        <v>16</v>
      </c>
      <c r="H1903" t="s">
        <v>157</v>
      </c>
      <c r="I1903">
        <v>15</v>
      </c>
      <c r="J1903">
        <v>26.6</v>
      </c>
      <c r="K1903">
        <v>3</v>
      </c>
      <c r="L1903">
        <v>0</v>
      </c>
      <c r="M1903">
        <v>16</v>
      </c>
      <c r="N1903" t="s">
        <v>464</v>
      </c>
    </row>
    <row r="1904" spans="1:14" x14ac:dyDescent="0.35">
      <c r="A1904" t="s">
        <v>804</v>
      </c>
      <c r="B1904" t="s">
        <v>351</v>
      </c>
      <c r="C1904" t="s">
        <v>29</v>
      </c>
      <c r="D1904">
        <v>0</v>
      </c>
      <c r="E1904">
        <v>3</v>
      </c>
      <c r="F1904" t="s">
        <v>193</v>
      </c>
      <c r="G1904">
        <v>3</v>
      </c>
      <c r="H1904" t="s">
        <v>157</v>
      </c>
      <c r="I1904">
        <v>15</v>
      </c>
      <c r="J1904">
        <v>21.9</v>
      </c>
      <c r="K1904">
        <v>1</v>
      </c>
      <c r="L1904">
        <v>3</v>
      </c>
      <c r="M1904">
        <v>6</v>
      </c>
      <c r="N1904" t="s">
        <v>708</v>
      </c>
    </row>
    <row r="1905" spans="1:14" x14ac:dyDescent="0.35">
      <c r="A1905" t="s">
        <v>804</v>
      </c>
      <c r="B1905" t="s">
        <v>537</v>
      </c>
      <c r="C1905" t="s">
        <v>16</v>
      </c>
      <c r="D1905">
        <v>0</v>
      </c>
      <c r="E1905">
        <v>11</v>
      </c>
      <c r="F1905" t="s">
        <v>592</v>
      </c>
      <c r="G1905">
        <v>11</v>
      </c>
      <c r="H1905" t="s">
        <v>157</v>
      </c>
      <c r="I1905">
        <v>15</v>
      </c>
      <c r="J1905">
        <v>29.9</v>
      </c>
      <c r="K1905">
        <v>4</v>
      </c>
      <c r="L1905">
        <v>3</v>
      </c>
      <c r="M1905">
        <v>14</v>
      </c>
      <c r="N1905" t="s">
        <v>749</v>
      </c>
    </row>
    <row r="1906" spans="1:14" x14ac:dyDescent="0.35">
      <c r="A1906" t="s">
        <v>804</v>
      </c>
      <c r="B1906" t="s">
        <v>540</v>
      </c>
      <c r="C1906" t="s">
        <v>16</v>
      </c>
      <c r="D1906">
        <v>0</v>
      </c>
      <c r="E1906">
        <v>13</v>
      </c>
      <c r="F1906" t="s">
        <v>462</v>
      </c>
      <c r="G1906">
        <v>13</v>
      </c>
      <c r="H1906" t="s">
        <v>157</v>
      </c>
      <c r="I1906">
        <v>15</v>
      </c>
      <c r="J1906">
        <v>25</v>
      </c>
      <c r="K1906">
        <v>2</v>
      </c>
      <c r="L1906">
        <v>1</v>
      </c>
      <c r="M1906">
        <v>14</v>
      </c>
      <c r="N1906" t="s">
        <v>761</v>
      </c>
    </row>
    <row r="1907" spans="1:14" x14ac:dyDescent="0.35">
      <c r="A1907" t="s">
        <v>804</v>
      </c>
      <c r="B1907" t="s">
        <v>355</v>
      </c>
      <c r="C1907" t="s">
        <v>16</v>
      </c>
      <c r="D1907">
        <v>0</v>
      </c>
      <c r="E1907">
        <v>10</v>
      </c>
      <c r="F1907" t="s">
        <v>707</v>
      </c>
      <c r="G1907">
        <v>10</v>
      </c>
      <c r="H1907" t="s">
        <v>157</v>
      </c>
      <c r="I1907">
        <v>15</v>
      </c>
      <c r="J1907">
        <v>27.5</v>
      </c>
      <c r="K1907">
        <v>0</v>
      </c>
      <c r="L1907">
        <v>0</v>
      </c>
      <c r="M1907">
        <v>10</v>
      </c>
      <c r="N1907" t="s">
        <v>595</v>
      </c>
    </row>
    <row r="1908" spans="1:14" x14ac:dyDescent="0.35">
      <c r="A1908" t="s">
        <v>804</v>
      </c>
      <c r="B1908" t="s">
        <v>542</v>
      </c>
      <c r="C1908" t="s">
        <v>16</v>
      </c>
      <c r="D1908">
        <v>0</v>
      </c>
      <c r="E1908">
        <v>14</v>
      </c>
      <c r="F1908" t="s">
        <v>543</v>
      </c>
      <c r="G1908">
        <v>14</v>
      </c>
      <c r="H1908" t="s">
        <v>157</v>
      </c>
      <c r="I1908">
        <v>15</v>
      </c>
      <c r="J1908">
        <v>30.4</v>
      </c>
      <c r="K1908">
        <v>4</v>
      </c>
      <c r="L1908">
        <v>0</v>
      </c>
      <c r="M1908">
        <v>14</v>
      </c>
      <c r="N1908" t="s">
        <v>470</v>
      </c>
    </row>
    <row r="1909" spans="1:14" x14ac:dyDescent="0.35">
      <c r="A1909" t="s">
        <v>804</v>
      </c>
      <c r="B1909" t="s">
        <v>631</v>
      </c>
      <c r="C1909" t="s">
        <v>16</v>
      </c>
      <c r="D1909">
        <v>0</v>
      </c>
      <c r="E1909">
        <v>18</v>
      </c>
      <c r="F1909" t="s">
        <v>547</v>
      </c>
      <c r="G1909">
        <v>18</v>
      </c>
      <c r="H1909" t="s">
        <v>18</v>
      </c>
      <c r="I1909">
        <v>14</v>
      </c>
      <c r="J1909">
        <v>31.8</v>
      </c>
      <c r="K1909">
        <v>2</v>
      </c>
      <c r="L1909">
        <v>1</v>
      </c>
      <c r="M1909">
        <v>19</v>
      </c>
      <c r="N1909" t="s">
        <v>215</v>
      </c>
    </row>
    <row r="1910" spans="1:14" x14ac:dyDescent="0.35">
      <c r="A1910" t="s">
        <v>804</v>
      </c>
      <c r="B1910" t="s">
        <v>711</v>
      </c>
      <c r="C1910" t="s">
        <v>16</v>
      </c>
      <c r="D1910">
        <v>0</v>
      </c>
      <c r="E1910">
        <v>9</v>
      </c>
      <c r="F1910" t="s">
        <v>549</v>
      </c>
      <c r="G1910">
        <v>9</v>
      </c>
      <c r="H1910" t="s">
        <v>157</v>
      </c>
      <c r="I1910">
        <v>15</v>
      </c>
      <c r="J1910">
        <v>26.8</v>
      </c>
      <c r="K1910">
        <v>1</v>
      </c>
      <c r="L1910">
        <v>2</v>
      </c>
      <c r="M1910">
        <v>11</v>
      </c>
      <c r="N1910" t="s">
        <v>741</v>
      </c>
    </row>
    <row r="1911" spans="1:14" x14ac:dyDescent="0.35">
      <c r="A1911" t="s">
        <v>804</v>
      </c>
      <c r="B1911" t="s">
        <v>805</v>
      </c>
      <c r="C1911" t="s">
        <v>16</v>
      </c>
      <c r="D1911">
        <v>0</v>
      </c>
      <c r="E1911">
        <v>8</v>
      </c>
      <c r="F1911" t="s">
        <v>551</v>
      </c>
      <c r="G1911">
        <v>8</v>
      </c>
      <c r="H1911" t="s">
        <v>157</v>
      </c>
      <c r="I1911">
        <v>15</v>
      </c>
      <c r="J1911">
        <v>26.5</v>
      </c>
      <c r="K1911">
        <v>2</v>
      </c>
      <c r="L1911">
        <v>0</v>
      </c>
      <c r="M1911">
        <v>8</v>
      </c>
      <c r="N1911" t="s">
        <v>554</v>
      </c>
    </row>
    <row r="1912" spans="1:14" x14ac:dyDescent="0.35">
      <c r="A1912" t="s">
        <v>804</v>
      </c>
      <c r="B1912" t="s">
        <v>743</v>
      </c>
      <c r="C1912" t="s">
        <v>16</v>
      </c>
      <c r="D1912">
        <v>0</v>
      </c>
      <c r="E1912">
        <v>10</v>
      </c>
      <c r="F1912" t="s">
        <v>727</v>
      </c>
      <c r="G1912">
        <v>10</v>
      </c>
      <c r="H1912" t="s">
        <v>157</v>
      </c>
      <c r="I1912">
        <v>15</v>
      </c>
      <c r="J1912">
        <v>26.6</v>
      </c>
      <c r="K1912">
        <v>1</v>
      </c>
      <c r="L1912">
        <v>2</v>
      </c>
      <c r="M1912">
        <v>12</v>
      </c>
      <c r="N1912" t="s">
        <v>605</v>
      </c>
    </row>
    <row r="1913" spans="1:14" x14ac:dyDescent="0.35">
      <c r="A1913" t="s">
        <v>804</v>
      </c>
      <c r="B1913" t="s">
        <v>218</v>
      </c>
      <c r="C1913" t="s">
        <v>16</v>
      </c>
      <c r="D1913">
        <v>0</v>
      </c>
      <c r="E1913">
        <v>14</v>
      </c>
      <c r="F1913" t="s">
        <v>374</v>
      </c>
      <c r="G1913">
        <v>14</v>
      </c>
      <c r="H1913" t="s">
        <v>157</v>
      </c>
      <c r="I1913">
        <v>15</v>
      </c>
      <c r="J1913">
        <v>30.8</v>
      </c>
      <c r="K1913">
        <v>4</v>
      </c>
      <c r="L1913">
        <v>1</v>
      </c>
      <c r="M1913">
        <v>15</v>
      </c>
      <c r="N1913" t="s">
        <v>476</v>
      </c>
    </row>
    <row r="1914" spans="1:14" x14ac:dyDescent="0.35">
      <c r="A1914" t="s">
        <v>804</v>
      </c>
      <c r="B1914" t="s">
        <v>800</v>
      </c>
      <c r="C1914" t="s">
        <v>16</v>
      </c>
      <c r="D1914">
        <v>0</v>
      </c>
      <c r="E1914">
        <v>11</v>
      </c>
      <c r="F1914" t="s">
        <v>602</v>
      </c>
      <c r="G1914">
        <v>11</v>
      </c>
      <c r="H1914" t="s">
        <v>157</v>
      </c>
      <c r="I1914">
        <v>15</v>
      </c>
      <c r="J1914">
        <v>28.9</v>
      </c>
      <c r="K1914">
        <v>3</v>
      </c>
      <c r="L1914">
        <v>3</v>
      </c>
      <c r="M1914">
        <v>14</v>
      </c>
      <c r="N1914" t="s">
        <v>608</v>
      </c>
    </row>
    <row r="1915" spans="1:14" x14ac:dyDescent="0.35">
      <c r="A1915" t="s">
        <v>804</v>
      </c>
      <c r="B1915" t="s">
        <v>744</v>
      </c>
      <c r="C1915" t="s">
        <v>16</v>
      </c>
      <c r="D1915">
        <v>0</v>
      </c>
      <c r="E1915">
        <v>12</v>
      </c>
      <c r="F1915" t="s">
        <v>636</v>
      </c>
      <c r="G1915">
        <v>12</v>
      </c>
      <c r="H1915" t="s">
        <v>157</v>
      </c>
      <c r="I1915">
        <v>15</v>
      </c>
      <c r="J1915">
        <v>27.4</v>
      </c>
      <c r="K1915">
        <v>0</v>
      </c>
      <c r="L1915">
        <v>0</v>
      </c>
      <c r="M1915">
        <v>12</v>
      </c>
      <c r="N1915" t="s">
        <v>609</v>
      </c>
    </row>
    <row r="1916" spans="1:14" x14ac:dyDescent="0.35">
      <c r="A1916" t="s">
        <v>804</v>
      </c>
      <c r="B1916" t="s">
        <v>729</v>
      </c>
      <c r="C1916" t="s">
        <v>16</v>
      </c>
      <c r="D1916">
        <v>0</v>
      </c>
      <c r="E1916">
        <v>15</v>
      </c>
      <c r="F1916" t="s">
        <v>672</v>
      </c>
      <c r="G1916">
        <v>15</v>
      </c>
      <c r="H1916" t="s">
        <v>157</v>
      </c>
      <c r="I1916">
        <v>15</v>
      </c>
      <c r="J1916">
        <v>31.7</v>
      </c>
      <c r="K1916">
        <v>3</v>
      </c>
      <c r="L1916">
        <v>3</v>
      </c>
      <c r="M1916">
        <v>18</v>
      </c>
      <c r="N1916" t="s">
        <v>236</v>
      </c>
    </row>
    <row r="1917" spans="1:14" x14ac:dyDescent="0.35">
      <c r="A1917" t="s">
        <v>804</v>
      </c>
      <c r="B1917" t="s">
        <v>731</v>
      </c>
      <c r="C1917" t="s">
        <v>16</v>
      </c>
      <c r="D1917">
        <v>0</v>
      </c>
      <c r="E1917">
        <v>13</v>
      </c>
      <c r="F1917" t="s">
        <v>673</v>
      </c>
      <c r="G1917">
        <v>13</v>
      </c>
      <c r="H1917" t="s">
        <v>157</v>
      </c>
      <c r="I1917">
        <v>15</v>
      </c>
      <c r="J1917">
        <v>30.5</v>
      </c>
      <c r="K1917">
        <v>1</v>
      </c>
      <c r="L1917">
        <v>3</v>
      </c>
      <c r="M1917">
        <v>16</v>
      </c>
      <c r="N1917" t="s">
        <v>390</v>
      </c>
    </row>
    <row r="1918" spans="1:14" x14ac:dyDescent="0.35">
      <c r="A1918" t="s">
        <v>804</v>
      </c>
      <c r="B1918" t="s">
        <v>607</v>
      </c>
      <c r="C1918" t="s">
        <v>16</v>
      </c>
      <c r="D1918">
        <v>0</v>
      </c>
      <c r="E1918">
        <v>14</v>
      </c>
      <c r="F1918" t="s">
        <v>715</v>
      </c>
      <c r="G1918">
        <v>14</v>
      </c>
      <c r="H1918" t="s">
        <v>157</v>
      </c>
      <c r="I1918">
        <v>15</v>
      </c>
      <c r="J1918">
        <v>24.6</v>
      </c>
      <c r="K1918">
        <v>3</v>
      </c>
      <c r="L1918">
        <v>1</v>
      </c>
      <c r="M1918">
        <v>15</v>
      </c>
      <c r="N1918" t="s">
        <v>487</v>
      </c>
    </row>
    <row r="1919" spans="1:14" x14ac:dyDescent="0.35">
      <c r="A1919" t="s">
        <v>804</v>
      </c>
      <c r="B1919" t="s">
        <v>610</v>
      </c>
      <c r="C1919" t="s">
        <v>16</v>
      </c>
      <c r="D1919">
        <v>0</v>
      </c>
      <c r="E1919">
        <v>12</v>
      </c>
      <c r="F1919" t="s">
        <v>695</v>
      </c>
      <c r="G1919">
        <v>12</v>
      </c>
      <c r="H1919" t="s">
        <v>157</v>
      </c>
      <c r="I1919">
        <v>15</v>
      </c>
      <c r="J1919">
        <v>28.1</v>
      </c>
      <c r="K1919">
        <v>4</v>
      </c>
      <c r="L1919">
        <v>3</v>
      </c>
      <c r="M1919">
        <v>15</v>
      </c>
      <c r="N1919" t="s">
        <v>245</v>
      </c>
    </row>
    <row r="1920" spans="1:14" x14ac:dyDescent="0.35">
      <c r="A1920" t="s">
        <v>804</v>
      </c>
      <c r="B1920" t="s">
        <v>244</v>
      </c>
      <c r="C1920" t="s">
        <v>16</v>
      </c>
      <c r="D1920">
        <v>0</v>
      </c>
      <c r="E1920">
        <v>10</v>
      </c>
      <c r="F1920" t="s">
        <v>392</v>
      </c>
      <c r="G1920">
        <v>10</v>
      </c>
      <c r="H1920" t="s">
        <v>157</v>
      </c>
      <c r="I1920">
        <v>15</v>
      </c>
      <c r="J1920">
        <v>27.5</v>
      </c>
      <c r="K1920">
        <v>0</v>
      </c>
      <c r="L1920">
        <v>0</v>
      </c>
      <c r="M1920">
        <v>10</v>
      </c>
      <c r="N1920" t="s">
        <v>248</v>
      </c>
    </row>
    <row r="1921" spans="1:14" x14ac:dyDescent="0.35">
      <c r="A1921" t="s">
        <v>804</v>
      </c>
      <c r="B1921" t="s">
        <v>717</v>
      </c>
      <c r="C1921" t="s">
        <v>16</v>
      </c>
      <c r="D1921">
        <v>0</v>
      </c>
      <c r="E1921">
        <v>11</v>
      </c>
      <c r="F1921" t="s">
        <v>571</v>
      </c>
      <c r="G1921">
        <v>11</v>
      </c>
      <c r="H1921" t="s">
        <v>157</v>
      </c>
      <c r="I1921">
        <v>15</v>
      </c>
      <c r="J1921">
        <v>26.6</v>
      </c>
      <c r="K1921">
        <v>3</v>
      </c>
      <c r="L1921">
        <v>2</v>
      </c>
      <c r="M1921">
        <v>13</v>
      </c>
      <c r="N1921" t="s">
        <v>698</v>
      </c>
    </row>
    <row r="1922" spans="1:14" x14ac:dyDescent="0.35">
      <c r="A1922" t="s">
        <v>804</v>
      </c>
      <c r="B1922" t="s">
        <v>493</v>
      </c>
      <c r="C1922" t="s">
        <v>16</v>
      </c>
      <c r="D1922">
        <v>0</v>
      </c>
      <c r="E1922">
        <v>11</v>
      </c>
      <c r="F1922" t="s">
        <v>494</v>
      </c>
      <c r="G1922">
        <v>11</v>
      </c>
      <c r="H1922" t="s">
        <v>157</v>
      </c>
      <c r="I1922">
        <v>15</v>
      </c>
      <c r="J1922">
        <v>27.5</v>
      </c>
      <c r="K1922">
        <v>4</v>
      </c>
      <c r="L1922">
        <v>3</v>
      </c>
      <c r="M1922">
        <v>14</v>
      </c>
      <c r="N1922" t="s">
        <v>495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demanda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Angeles Sánchez</cp:lastModifiedBy>
  <dcterms:created xsi:type="dcterms:W3CDTF">2026-08-21T04:04:22Z</dcterms:created>
  <dcterms:modified xsi:type="dcterms:W3CDTF">2026-08-21T06:17:07Z</dcterms:modified>
</cp:coreProperties>
</file>